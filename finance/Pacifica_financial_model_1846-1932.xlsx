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hanges" sheetId="2" state="visible" r:id="rId2"/>
    <sheet xmlns:r="http://schemas.openxmlformats.org/officeDocument/2006/relationships" name="Levers" sheetId="3" state="visible" r:id="rId3"/>
    <sheet xmlns:r="http://schemas.openxmlformats.org/officeDocument/2006/relationships" name="Events" sheetId="4" state="visible" r:id="rId4"/>
    <sheet xmlns:r="http://schemas.openxmlformats.org/officeDocument/2006/relationships" name="Paths" sheetId="5" state="visible" r:id="rId5"/>
    <sheet xmlns:r="http://schemas.openxmlformats.org/officeDocument/2006/relationships" name="People" sheetId="6" state="visible" r:id="rId6"/>
    <sheet xmlns:r="http://schemas.openxmlformats.org/officeDocument/2006/relationships" name="Economy" sheetId="7" state="visible" r:id="rId7"/>
    <sheet xmlns:r="http://schemas.openxmlformats.org/officeDocument/2006/relationships" name="Resources" sheetId="8" state="visible" r:id="rId8"/>
    <sheet xmlns:r="http://schemas.openxmlformats.org/officeDocument/2006/relationships" name="Budget" sheetId="9" state="visible" r:id="rId9"/>
    <sheet xmlns:r="http://schemas.openxmlformats.org/officeDocument/2006/relationships" name="Debt &amp; cash" sheetId="10" state="visible" r:id="rId10"/>
    <sheet xmlns:r="http://schemas.openxmlformats.org/officeDocument/2006/relationships" name="Loans" sheetId="11" state="visible" r:id="rId11"/>
    <sheet xmlns:r="http://schemas.openxmlformats.org/officeDocument/2006/relationships" name="Gold &amp; money" sheetId="12" state="visible" r:id="rId12"/>
    <sheet xmlns:r="http://schemas.openxmlformats.org/officeDocument/2006/relationships" name="Abroad" sheetId="13" state="visible" r:id="rId13"/>
    <sheet xmlns:r="http://schemas.openxmlformats.org/officeDocument/2006/relationships" name="Champions" sheetId="14" state="visible" r:id="rId14"/>
    <sheet xmlns:r="http://schemas.openxmlformats.org/officeDocument/2006/relationships" name="Labour" sheetId="15" state="visible" r:id="rId15"/>
    <sheet xmlns:r="http://schemas.openxmlformats.org/officeDocument/2006/relationships" name="Navy plan" sheetId="16" state="visible" r:id="rId16"/>
    <sheet xmlns:r="http://schemas.openxmlformats.org/officeDocument/2006/relationships" name="Navy" sheetId="17" state="visible" r:id="rId17"/>
    <sheet xmlns:r="http://schemas.openxmlformats.org/officeDocument/2006/relationships" name="Japan" sheetId="18" state="visible" r:id="rId18"/>
    <sheet xmlns:r="http://schemas.openxmlformats.org/officeDocument/2006/relationships" name="Partners" sheetId="19" state="visible" r:id="rId19"/>
    <sheet xmlns:r="http://schemas.openxmlformats.org/officeDocument/2006/relationships" name="Gulf" sheetId="20" state="visible" r:id="rId20"/>
    <sheet xmlns:r="http://schemas.openxmlformats.org/officeDocument/2006/relationships" name="World" sheetId="21" state="visible" r:id="rId21"/>
    <sheet xmlns:r="http://schemas.openxmlformats.org/officeDocument/2006/relationships" name="Checks" sheetId="22" state="visible" r:id="rId22"/>
  </sheets>
  <definedNames>
    <definedName name="case_sel">'Levers'!$E$4</definedName>
    <definedName name="pop_1846">'Levers'!$E$8</definedName>
    <definedName name="real_pc_1846">'Levers'!$E$9</definedName>
    <definedName name="prod_factor">'Levers'!$E$10</definedName>
    <definedName name="mig_scale">'Levers'!$E$11</definedName>
    <definedName name="dep_severity">'Levers'!$E$12</definedName>
    <definedName name="dep_asia">'Levers'!$E$13</definedName>
    <definedName name="assist_cost">'Levers'!$E$14</definedName>
    <definedName name="mining_va">'Levers'!$E$15</definedName>
    <definedName name="cust_coll">'Levers'!$E$17</definedName>
    <definedName name="roy_metal">'Levers'!$E$18</definedName>
    <definedName name="roy_oil">'Levers'!$E$19</definedName>
    <definedName name="canal_share">'Levers'!$E$20</definedName>
    <definedName name="canal_opcost">'Levers'!$E$21</definedName>
    <definedName name="fund_yield">'Levers'!$E$22</definedName>
    <definedName name="army_cost">'Levers'!$E$24</definedName>
    <definedName name="res_cost">'Levers'!$E$25</definedName>
    <definedName name="sailor_pay">'Levers'!$E$26</definedName>
    <definedName name="maint_rate">'Levers'!$E$27</definedName>
    <definedName name="navy_overhead">'Levers'!$E$28</definedName>
    <definedName name="oil_crew">'Levers'!$E$29</definedName>
    <definedName name="oil_fuel">'Levers'!$E$30</definedName>
    <definedName name="pac_quota">'Levers'!$E$31</definedName>
    <definedName name="opening_cash">'Levers'!$E$33</definedName>
    <definedName name="cash_target">'Levers'!$E$34</definedName>
    <definedName name="issue_price">'Levers'!$E$35</definedName>
    <definedName name="debt_amort">'Levers'!$E$36</definedName>
    <definedName name="repay_share">'Levers'!$E$37</definedName>
    <definedName name="mkt_capacity">'Levers'!$E$38</definedName>
    <definedName name="foreign_capacity">'Levers'!$E$39</definedName>
    <definedName name="cont_coupon">'Levers'!$E$41</definedName>
    <definedName name="cont_repay">'Levers'!$E$42</definedName>
    <definedName name="asia_coupon">'Levers'!$E$43</definedName>
    <definedName name="asia_repay">'Levers'!$E$44</definedName>
    <definedName name="rescue_coupon">'Levers'!$E$45</definedName>
    <definedName name="entente_total">'Levers'!$E$46</definedName>
    <definedName name="entente_public">'Levers'!$E$47</definedName>
    <definedName name="russia_writeoff">'Levers'!$E$48</definedName>
    <definedName name="union_vendor">'Levers'!$E$49</definedName>
    <definedName name="siberia_cost">'Levers'!$E$51</definedName>
    <definedName name="siberia_front">'Levers'!$E$52</definedName>
    <definedName name="union_rescue">'Levers'!$E$53</definedName>
    <definedName name="bank_recap">'Levers'!$E$54</definedName>
    <definedName name="cb_buy">'Levers'!$E$55</definedName>
    <definedName name="gold_retained">'Levers'!$E$57</definedName>
    <definedName name="conc_gold">'Levers'!$E$58</definedName>
    <definedName name="ext_gold">'Levers'!$E$59</definedName>
    <definedName name="money_ratio">'Levers'!$E$60</definedName>
    <definedName name="gold_cover">'Levers'!$E$61</definedName>
    <definedName name="gulf_on">'Levers'!$E$63</definedName>
    <definedName name="gulf_years_req">'Levers'!$E$64</definedName>
    <definedName name="gulf_year">'Levers'!$E$65</definedName>
    <definedName name="slump_price">'Levers'!$E$67</definedName>
    <definedName name="oil_compact">'Levers'!$E$68</definedName>
    <definedName name="compact_price">'Levers'!$E$69</definedName>
    <definedName name="compact_cut">'Levers'!$E$70</definedName>
    <definedName name="compact_year">'Levers'!$E$71</definedName>
    <definedName name="gulf_wage_dip">'Levers'!$E$72</definedName>
    <definedName name="gulf_glut_gdp">'Levers'!$E$73</definedName>
    <definedName name="debt_floor">'Levers'!$E$74</definedName>
    <definedName name="entente_private">'Levers'!$E$75</definedName>
    <definedName name="abroad_return">'Levers'!$E$76</definedName>
    <definedName name="abroad_repat">'Levers'!$E$77</definedName>
    <definedName name="abroad_loss">'Levers'!$E$78</definedName>
    <definedName name="abroad_slump">'Levers'!$E$79</definedName>
    <definedName name="abroad_tax">'Levers'!$E$80</definedName>
    <definedName name="dev_share">'Levers'!$E$82</definedName>
    <definedName name="dev_return">'Levers'!$E$83</definedName>
    <definedName name="dev_start">'Levers'!$E$84</definedName>
    <definedName name="dev_bonds">'Levers'!$E$85</definedName>
    <definedName name="reserve_buffer">'Levers'!$E$86</definedName>
    <definedName name="dev_cap">'Levers'!$E$87</definedName>
    <definedName name="dev_dep">'Levers'!$E$88</definedName>
    <definedName name="champ_scale">'Levers'!$E$90</definedName>
    <definedName name="champ_prem">'Levers'!$E$91</definedName>
    <definedName name="champ_spill">'Levers'!$E$92</definedName>
    <definedName name="chem_va">'Levers'!$E$93</definedName>
    <definedName name="elec_va">'Levers'!$E$94</definedName>
    <definedName name="roy_rate">'Levers'!$E$95</definedName>
    <definedName name="uw_fee">'Levers'!$E$96</definedName>
    <definedName name="oil_book">'Levers'!$E$97</definedName>
    <definedName name="ret_rail">'Levers'!$E$98</definedName>
    <definedName name="ret_tel">'Levers'!$E$99</definedName>
    <definedName name="ret_elec">'Levers'!$E$100</definedName>
    <definedName name="ret_auto">'Levers'!$E$101</definedName>
    <definedName name="ret_chem">'Levers'!$E$102</definedName>
    <definedName name="ret_steel">'Levers'!$E$103</definedName>
    <definedName name="champ_profit">'Levers'!$E$104</definedName>
    <definedName name="crown_charter">'Levers'!$E$105</definedName>
    <definedName name="crown_comp">'Levers'!$E$106</definedName>
    <definedName name="crown_payout">'Levers'!$E$107</definedName>
    <definedName name="crown_start">'Levers'!$E$108</definedName>
    <definedName name="mig_endo">'Levers'!$E$110</definedName>
    <definedName name="talent_start">'Levers'!$E$111</definedName>
    <definedName name="gap_base">'Levers'!$E$112</definedName>
    <definedName name="union_skill_share">'Levers'!$E$113</definedName>
    <definedName name="talent_rate_u">'Levers'!$E$114</definedName>
    <definedName name="talent_share_o">'Levers'!$E$115</definedName>
    <definedName name="entry_cap">'Levers'!$E$116</definedName>
    <definedName name="family_mult">'Levers'!$E$117</definedName>
    <definedName name="chain_rate">'Levers'!$E$118</definedName>
    <definedName name="skill_rel">'Levers'!$E$119</definedName>
    <definedName name="skill_spill">'Levers'!$E$120</definedName>
    <definedName name="skill_ret">'Levers'!$E$121</definedName>
    <definedName name="skill_base_share">'Levers'!$E$122</definedName>
    <definedName name="talent_champ">'Levers'!$E$123</definedName>
    <definedName name="lf_rate">'Levers'!$E$124</definedName>
    <definedName name="job_mult">'Levers'!$E$125</definedName>
    <definedName name="job_fill">'Levers'!$E$126</definedName>
    <definedName name="job_return">'Levers'!$E$127</definedName>
    <definedName name="job_family">'Levers'!$E$128</definedName>
    <definedName name="union_disp">'Levers'!$E$129</definedName>
    <definedName name="union_reabsorb">'Levers'!$E$130</definedName>
    <definedName name="pac_u_base">'Levers'!$E$131</definedName>
    <definedName name="pac_u_war">'Levers'!$E$132</definedName>
    <definedName name="okun">'Levers'!$E$133</definedName>
    <definedName name="talent_cost">'Levers'!$E$134</definedName>
    <definedName name="div_on">'Levers'!$E$136</definedName>
    <definedName name="div_start">'Levers'!$E$137</definedName>
    <definedName name="div_rate">'Levers'!$E$138</definedName>
    <definedName name="div_max">'Levers'!$E$139</definedName>
    <definedName name="div_rel">'Levers'!$E$140</definedName>
    <definedName name="div_assim">'Levers'!$E$141</definedName>
    <definedName name="union_nat">'Levers'!$E$142</definedName>
    <definedName name="bd_growth">'Levers'!$E$143</definedName>
    <definedName name="tg_k">'Levers'!$E$144</definedName>
    <definedName name="gw_union">'Levers'!$E$145</definedName>
    <definedName name="conv_beta">'Levers'!$E$147</definedName>
    <definedName name="conv_cap">'Levers'!$E$148</definedName>
    <definedName name="mkt_elast">'Levers'!$E$149</definedName>
    <definedName name="mkt_cap">'Levers'!$E$150</definedName>
    <definedName name="union_resp">'Levers'!$E$152</definedName>
    <definedName name="resp_start">'Levers'!$E$153</definedName>
    <definedName name="resp_full">'Levers'!$E$154</definedName>
    <definedName name="bd_keep">'Levers'!$E$155</definedName>
    <definedName name="eu_comp">'Levers'!$E$156</definedName>
    <definedName name="div_comp">'Levers'!$E$157</definedName>
    <definedName name="emu_g">'Levers'!$E$158</definedName>
    <definedName name="mkt_cut">'Levers'!$E$159</definedName>
    <definedName name="lic_cut">'Levers'!$E$160</definedName>
    <definedName name="tariff_cut">'Levers'!$E$161</definedName>
    <definedName name="talent_share_a">'Levers'!$E$162</definedName>
    <definedName name="gw_on">'Levers'!$E$164</definedName>
    <definedName name="gw_start">'Levers'!$E$165</definedName>
    <definedName name="gw_cover">'Levers'!$E$166</definedName>
    <definedName name="gw_gen">'Levers'!$E$167</definedName>
    <definedName name="gw_cap">'Levers'!$E$168</definedName>
    <definedName name="gw_adj">'Levers'!$E$169</definedName>
    <definedName name="gw_term">'Levers'!$E$170</definedName>
    <definedName name="gw_slump">'Levers'!$E$171</definedName>
    <definedName name="gw_conv">'Levers'!$E$172</definedName>
    <definedName name="gw_conv_family">'Levers'!$E$173</definedName>
    <definedName name="gw_asian">'Levers'!$E$174</definedName>
    <definedName name="gw_rel">'Levers'!$E$175</definedName>
    <definedName name="gw_wage_share">'Levers'!$E$176</definedName>
    <definedName name="gw_levy">'Levers'!$E$177</definedName>
    <definedName name="gw_remit">'Levers'!$E$178</definedName>
    <definedName name="gw_admin">'Levers'!$E$179</definedName>
    <definedName name="jp_uplift">'Levers'!$E$181</definedName>
    <definedName name="jp_coupon">'Levers'!$E$182</definedName>
    <definedName name="jp_foreign_repay">'Levers'!$E$183</definedName>
    <definedName name="cap_def">'Levers'!$E$185</definedName>
    <definedName name="cap_int">'Levers'!$E$186</definedName>
    <definedName name="cap_debt">'Levers'!$E$187</definedName>
    <definedName name="_xlnm._FilterDatabase" localSheetId="3" hidden="1">'Events'!$A$5:$M$158</definedName>
  </definedNames>
  <calcPr calcId="124519" fullCalcOnLoad="1"/>
</workbook>
</file>

<file path=xl/styles.xml><?xml version="1.0" encoding="utf-8"?>
<styleSheet xmlns="http://schemas.openxmlformats.org/spreadsheetml/2006/main">
  <numFmts count="9">
    <numFmt numFmtId="164" formatCode="#,##0.##"/>
    <numFmt numFmtId="165" formatCode="0.0%"/>
    <numFmt numFmtId="166" formatCode="#,##0;(#,##0);&quot;-&quot;"/>
    <numFmt numFmtId="167" formatCode="0.000;(0.000);&quot;-&quot;"/>
    <numFmt numFmtId="168" formatCode="#,##0.0;(#,##0.0);&quot;-&quot;"/>
    <numFmt numFmtId="169" formatCode="0.0%;(0.0%);&quot;-&quot;"/>
    <numFmt numFmtId="170" formatCode="0.00%;(0.00%);&quot;-&quot;"/>
    <numFmt numFmtId="171" formatCode="0.00;(0.00);&quot;-&quot;"/>
    <numFmt numFmtId="172" formatCode="0.0"/>
  </numFmts>
  <fonts count="15">
    <font>
      <name val="Calibri"/>
      <family val="2"/>
      <color theme="1"/>
      <sz val="11"/>
      <scheme val="minor"/>
    </font>
    <font>
      <name val="Arial"/>
      <b val="1"/>
      <color rgb="0012324A"/>
      <sz val="15"/>
    </font>
    <font>
      <name val="Arial"/>
      <i val="1"/>
      <color rgb="00555555"/>
      <sz val="10"/>
    </font>
    <font>
      <name val="Arial"/>
      <color rgb="00777777"/>
      <sz val="9"/>
    </font>
    <font>
      <name val="Arial"/>
      <b val="1"/>
      <sz val="10"/>
    </font>
    <font>
      <name val="Arial"/>
      <b val="1"/>
      <color rgb="000000FF"/>
      <sz val="12"/>
    </font>
    <font>
      <name val="Arial"/>
      <b val="1"/>
      <color rgb="00FFFFFF"/>
      <sz val="9"/>
    </font>
    <font>
      <name val="Arial"/>
      <b val="1"/>
      <color rgb="0012324A"/>
      <sz val="9"/>
    </font>
    <font>
      <name val="Arial"/>
      <sz val="10"/>
    </font>
    <font>
      <name val="Arial"/>
      <color rgb="000000FF"/>
      <sz val="10"/>
    </font>
    <font>
      <name val="Arial"/>
      <color rgb="00444444"/>
      <sz val="9"/>
    </font>
    <font>
      <name val="Arial"/>
      <color rgb="00008000"/>
      <sz val="10"/>
    </font>
    <font>
      <name val="Arial"/>
      <b val="1"/>
      <color rgb="0012324A"/>
      <sz val="18"/>
    </font>
    <font>
      <name val="Arial"/>
      <b val="1"/>
      <color rgb="00C00000"/>
      <sz val="11"/>
    </font>
    <font>
      <name val="Arial"/>
      <color rgb="000563C1"/>
      <sz val="10"/>
      <u val="single"/>
    </font>
  </fonts>
  <fills count="8">
    <fill>
      <patternFill/>
    </fill>
    <fill>
      <patternFill patternType="gray125"/>
    </fill>
    <fill>
      <patternFill patternType="solid">
        <fgColor rgb="00FFFF00"/>
      </patternFill>
    </fill>
    <fill>
      <patternFill patternType="solid">
        <fgColor rgb="001F4E6B"/>
      </patternFill>
    </fill>
    <fill>
      <patternFill patternType="solid">
        <fgColor rgb="00D6E4EC"/>
      </patternFill>
    </fill>
    <fill>
      <patternFill patternType="solid">
        <fgColor rgb="00FFF8DC"/>
      </patternFill>
    </fill>
    <fill>
      <patternFill patternType="solid">
        <fgColor rgb="00EEF3F6"/>
      </patternFill>
    </fill>
    <fill>
      <patternFill patternType="solid">
        <fgColor rgb="00FBE9E7"/>
      </patternFill>
    </fill>
  </fills>
  <borders count="2">
    <border>
      <left/>
      <right/>
      <top/>
      <bottom/>
      <diagonal/>
    </border>
    <border>
      <bottom style="thin">
        <color rgb="00C9D3DA"/>
      </bottom>
    </border>
  </borders>
  <cellStyleXfs count="1">
    <xf numFmtId="0" fontId="0" fillId="0" borderId="0"/>
  </cellStyleXfs>
  <cellXfs count="82">
    <xf numFmtId="0" fontId="0" fillId="0" borderId="0" pivotButton="0" quotePrefix="0" xfId="0"/>
    <xf numFmtId="0" fontId="12" fillId="0" borderId="0" pivotButton="0" quotePrefix="0" xfId="0"/>
    <xf numFmtId="0" fontId="2" fillId="0" borderId="0" pivotButton="0" quotePrefix="0" xfId="0"/>
    <xf numFmtId="0" fontId="4" fillId="0" borderId="0" pivotButton="0" quotePrefix="0" xfId="0"/>
    <xf numFmtId="0" fontId="13" fillId="0" borderId="0" pivotButton="0" quotePrefix="0" xfId="0"/>
    <xf numFmtId="0" fontId="6" fillId="3" borderId="0" applyAlignment="1" pivotButton="0" quotePrefix="0" xfId="0">
      <alignment horizontal="left"/>
    </xf>
    <xf numFmtId="0" fontId="6" fillId="3" borderId="0" applyAlignment="1" pivotButton="0" quotePrefix="0" xfId="0">
      <alignment horizontal="center" vertical="center" wrapText="1"/>
    </xf>
    <xf numFmtId="0" fontId="7" fillId="4" borderId="0" pivotButton="0" quotePrefix="0" xfId="0"/>
    <xf numFmtId="0" fontId="0" fillId="4" borderId="0" pivotButton="0" quotePrefix="0" xfId="0"/>
    <xf numFmtId="0" fontId="8" fillId="0" borderId="0" pivotButton="0" quotePrefix="0" xfId="0"/>
    <xf numFmtId="2" fontId="11" fillId="0" borderId="1" pivotButton="0" quotePrefix="0" xfId="0"/>
    <xf numFmtId="9" fontId="11" fillId="0" borderId="1" pivotButton="0" quotePrefix="0" xfId="0"/>
    <xf numFmtId="3" fontId="11" fillId="0" borderId="1" pivotButton="0" quotePrefix="0" xfId="0"/>
    <xf numFmtId="172" fontId="11" fillId="0" borderId="1" pivotButton="0" quotePrefix="0" xfId="0"/>
    <xf numFmtId="165" fontId="11" fillId="0" borderId="1" pivotButton="0" quotePrefix="0" xfId="0"/>
    <xf numFmtId="1" fontId="11" fillId="0" borderId="1" pivotButton="0" quotePrefix="0" xfId="0"/>
    <xf numFmtId="172" fontId="11" fillId="0" borderId="0" pivotButton="0" quotePrefix="0" xfId="0"/>
    <xf numFmtId="0" fontId="14" fillId="0" borderId="0" pivotButton="0" quotePrefix="0" xfId="0"/>
    <xf numFmtId="0" fontId="1" fillId="0" borderId="0" pivotButton="0" quotePrefix="0" xfId="0"/>
    <xf numFmtId="0" fontId="3" fillId="0" borderId="0" pivotButton="0" quotePrefix="0" xfId="0"/>
    <xf numFmtId="2" fontId="9" fillId="0" borderId="0" pivotButton="0" quotePrefix="0" xfId="0"/>
    <xf numFmtId="2" fontId="11" fillId="0" borderId="0" pivotButton="0" quotePrefix="0" xfId="0"/>
    <xf numFmtId="2" fontId="0" fillId="0" borderId="0" pivotButton="0" quotePrefix="0" xfId="0"/>
    <xf numFmtId="0" fontId="10" fillId="0" borderId="0" applyAlignment="1" pivotButton="0" quotePrefix="0" xfId="0">
      <alignment vertical="top" wrapText="1"/>
    </xf>
    <xf numFmtId="3" fontId="9" fillId="0" borderId="0" pivotButton="0" quotePrefix="0" xfId="0"/>
    <xf numFmtId="3" fontId="11" fillId="0" borderId="0" pivotButton="0" quotePrefix="0" xfId="0"/>
    <xf numFmtId="0" fontId="8" fillId="0" borderId="0" applyAlignment="1" pivotButton="0" quotePrefix="0" xfId="0">
      <alignment vertical="top" wrapText="1"/>
    </xf>
    <xf numFmtId="0" fontId="5" fillId="2" borderId="0" applyAlignment="1" pivotButton="0" quotePrefix="0" xfId="0">
      <alignment horizontal="center"/>
    </xf>
    <xf numFmtId="0" fontId="6" fillId="3" borderId="0" applyAlignment="1" pivotButton="0" quotePrefix="0" xfId="0">
      <alignment vertical="center" wrapText="1"/>
    </xf>
    <xf numFmtId="164" fontId="9" fillId="5" borderId="0" pivotButton="0" quotePrefix="0" xfId="0"/>
    <xf numFmtId="164" fontId="4" fillId="0" borderId="0" pivotButton="0" quotePrefix="0" xfId="0"/>
    <xf numFmtId="2" fontId="9" fillId="2" borderId="0" pivotButton="0" quotePrefix="0" xfId="0"/>
    <xf numFmtId="2" fontId="4" fillId="0" borderId="0" pivotButton="0" quotePrefix="0" xfId="0"/>
    <xf numFmtId="165" fontId="9" fillId="5" borderId="0" pivotButton="0" quotePrefix="0" xfId="0"/>
    <xf numFmtId="165" fontId="4" fillId="0" borderId="0" pivotButton="0" quotePrefix="0" xfId="0"/>
    <xf numFmtId="2" fontId="9" fillId="5" borderId="0" pivotButton="0" quotePrefix="0" xfId="0"/>
    <xf numFmtId="164" fontId="9" fillId="2" borderId="0" pivotButton="0" quotePrefix="0" xfId="0"/>
    <xf numFmtId="165" fontId="9" fillId="2" borderId="0" pivotButton="0" quotePrefix="0" xfId="0"/>
    <xf numFmtId="10" fontId="9" fillId="5" borderId="0" pivotButton="0" quotePrefix="0" xfId="0"/>
    <xf numFmtId="10" fontId="4" fillId="0" borderId="0" pivotButton="0" quotePrefix="0" xfId="0"/>
    <xf numFmtId="1" fontId="9" fillId="2" borderId="0" pivotButton="0" quotePrefix="0" xfId="0"/>
    <xf numFmtId="1" fontId="4" fillId="0" borderId="0" pivotButton="0" quotePrefix="0" xfId="0"/>
    <xf numFmtId="1" fontId="9" fillId="5" borderId="0" pivotButton="0" quotePrefix="0" xfId="0"/>
    <xf numFmtId="10" fontId="9" fillId="2" borderId="0" pivotButton="0" quotePrefix="0" xfId="0"/>
    <xf numFmtId="0" fontId="6" fillId="3" borderId="0" pivotButton="0" quotePrefix="0" xfId="0"/>
    <xf numFmtId="166" fontId="9" fillId="0" borderId="0" pivotButton="0" quotePrefix="0" xfId="0"/>
    <xf numFmtId="167" fontId="9" fillId="0" borderId="0" pivotButton="0" quotePrefix="0" xfId="0"/>
    <xf numFmtId="166" fontId="8" fillId="0" borderId="0" pivotButton="0" quotePrefix="0" xfId="0"/>
    <xf numFmtId="49" fontId="10" fillId="0" borderId="0" pivotButton="0" quotePrefix="0" xfId="0"/>
    <xf numFmtId="49" fontId="10" fillId="0" borderId="0" applyAlignment="1" pivotButton="0" quotePrefix="0" xfId="0">
      <alignment vertical="top" wrapText="1"/>
    </xf>
    <xf numFmtId="0" fontId="9" fillId="0" borderId="0" pivotButton="0" quotePrefix="0" xfId="0"/>
    <xf numFmtId="0" fontId="8" fillId="0" borderId="0" applyAlignment="1" pivotButton="0" quotePrefix="0" xfId="0">
      <alignment/>
    </xf>
    <xf numFmtId="168" fontId="9" fillId="0" borderId="0" pivotButton="0" quotePrefix="0" xfId="0"/>
    <xf numFmtId="168" fontId="8" fillId="0" borderId="0" pivotButton="0" quotePrefix="0" xfId="0"/>
    <xf numFmtId="0" fontId="10" fillId="0" borderId="0" applyAlignment="1" pivotButton="0" quotePrefix="0" xfId="0">
      <alignment/>
    </xf>
    <xf numFmtId="168" fontId="0" fillId="0" borderId="0" pivotButton="0" quotePrefix="0" xfId="0"/>
    <xf numFmtId="0" fontId="7" fillId="4" borderId="0" applyAlignment="1" pivotButton="0" quotePrefix="0" xfId="0">
      <alignment horizontal="center"/>
    </xf>
    <xf numFmtId="0" fontId="6" fillId="3" borderId="0" applyAlignment="1" pivotButton="0" quotePrefix="0" xfId="0">
      <alignment horizontal="center" vertical="center"/>
    </xf>
    <xf numFmtId="1" fontId="4" fillId="6" borderId="0" pivotButton="0" quotePrefix="0" xfId="0"/>
    <xf numFmtId="169" fontId="9" fillId="0" borderId="0" pivotButton="0" quotePrefix="0" xfId="0"/>
    <xf numFmtId="170" fontId="9" fillId="0" borderId="0" pivotButton="0" quotePrefix="0" xfId="0"/>
    <xf numFmtId="1" fontId="4" fillId="7" borderId="0" pivotButton="0" quotePrefix="0" xfId="0"/>
    <xf numFmtId="166" fontId="11" fillId="0" borderId="0" pivotButton="0" quotePrefix="0" xfId="0"/>
    <xf numFmtId="169" fontId="8" fillId="0" borderId="0" pivotButton="0" quotePrefix="0" xfId="0"/>
    <xf numFmtId="170" fontId="8" fillId="0" borderId="0" pivotButton="0" quotePrefix="0" xfId="0"/>
    <xf numFmtId="167" fontId="8" fillId="0" borderId="0" pivotButton="0" quotePrefix="0" xfId="0"/>
    <xf numFmtId="170" fontId="11" fillId="0" borderId="0" pivotButton="0" quotePrefix="0" xfId="0"/>
    <xf numFmtId="171" fontId="8" fillId="0" borderId="0" pivotButton="0" quotePrefix="0" xfId="0"/>
    <xf numFmtId="171" fontId="9" fillId="0" borderId="0" pivotButton="0" quotePrefix="0" xfId="0"/>
    <xf numFmtId="168" fontId="11" fillId="0" borderId="0" pivotButton="0" quotePrefix="0" xfId="0"/>
    <xf numFmtId="167" fontId="11" fillId="0" borderId="0" pivotButton="0" quotePrefix="0" xfId="0"/>
    <xf numFmtId="1" fontId="6" fillId="3" borderId="0" applyAlignment="1" pivotButton="0" quotePrefix="0" xfId="0">
      <alignment horizontal="center" vertical="center" wrapText="1"/>
    </xf>
    <xf numFmtId="0" fontId="10" fillId="0" borderId="0" pivotButton="0" quotePrefix="0" xfId="0"/>
    <xf numFmtId="172" fontId="4" fillId="0" borderId="0" pivotButton="0" quotePrefix="0" xfId="0"/>
    <xf numFmtId="172" fontId="8" fillId="0" borderId="0" pivotButton="0" quotePrefix="0" xfId="0"/>
    <xf numFmtId="2" fontId="8" fillId="0" borderId="0" pivotButton="0" quotePrefix="0" xfId="0"/>
    <xf numFmtId="172" fontId="9" fillId="0" borderId="0" pivotButton="0" quotePrefix="0" xfId="0"/>
    <xf numFmtId="165" fontId="9" fillId="0" borderId="0" pivotButton="0" quotePrefix="0" xfId="0"/>
    <xf numFmtId="165" fontId="11" fillId="0" borderId="0" pivotButton="0" quotePrefix="0" xfId="0"/>
    <xf numFmtId="1" fontId="11" fillId="0" borderId="0" pivotButton="0" quotePrefix="0" xfId="0"/>
    <xf numFmtId="49" fontId="8" fillId="0" borderId="0" pivotButton="0" quotePrefix="0" xfId="0"/>
    <xf numFmtId="169" fontId="11" fillId="0" borderId="0" pivotButton="0" quotePrefix="0" xfId="0"/>
  </cellXfs>
  <cellStyles count="1">
    <cellStyle name="Normal" xfId="0" builtinId="0" hidden="0"/>
  </cellStyles>
  <dxfs count="2">
    <dxf>
      <fill>
        <patternFill patternType="solid">
          <fgColor rgb="00F8CBAD"/>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Core GDP: Pacifica and Japan ($m)</a:t>
            </a:r>
          </a:p>
        </rich>
      </tx>
    </title>
    <plotArea>
      <lineChart>
        <grouping val="standard"/>
        <ser>
          <idx val="0"/>
          <order val="0"/>
          <tx>
            <v>Pacifica</v>
          </tx>
          <spPr>
            <a:ln xmlns:a="http://schemas.openxmlformats.org/drawingml/2006/main" w="22000">
              <a:prstDash val="solid"/>
            </a:ln>
          </spPr>
          <marker>
            <symbol val="none"/>
            <spPr>
              <a:ln xmlns:a="http://schemas.openxmlformats.org/drawingml/2006/main">
                <a:prstDash val="solid"/>
              </a:ln>
            </spPr>
          </marker>
          <cat>
            <numRef>
              <f>'Economy'!$A$10:$A$92</f>
            </numRef>
          </cat>
          <val>
            <numRef>
              <f>'Economy'!$O$10:$O$92</f>
            </numRef>
          </val>
          <smooth val="0"/>
        </ser>
        <ser>
          <idx val="1"/>
          <order val="1"/>
          <tx>
            <v>Japan</v>
          </tx>
          <spPr>
            <a:ln xmlns:a="http://schemas.openxmlformats.org/drawingml/2006/main" w="22000">
              <a:prstDash val="solid"/>
            </a:ln>
          </spPr>
          <marker>
            <symbol val="none"/>
            <spPr>
              <a:ln xmlns:a="http://schemas.openxmlformats.org/drawingml/2006/main">
                <a:prstDash val="solid"/>
              </a:ln>
            </spPr>
          </marker>
          <cat>
            <numRef>
              <f>'Economy'!$A$10:$A$92</f>
            </numRef>
          </cat>
          <val>
            <numRef>
              <f>'Japan'!$D$10:$D$92</f>
            </numRef>
          </val>
          <smooth val="0"/>
        </ser>
        <axId val="10"/>
        <axId val="100"/>
      </lineChart>
      <catAx>
        <axId val="10"/>
        <scaling>
          <orientation val="minMax"/>
        </scaling>
        <axPos val="l"/>
        <majorTickMark val="none"/>
        <minorTickMark val="none"/>
        <crossAx val="100"/>
        <lblOffset val="100"/>
        <tickLblSkip val="10"/>
        <tickMarkSkip val="10"/>
      </catAx>
      <valAx>
        <axId val="100"/>
        <scaling>
          <orientation val="minMax"/>
        </scaling>
        <axPos val="l"/>
        <majorGridlines/>
        <title>
          <tx>
            <rich>
              <a:bodyPr xmlns:a="http://schemas.openxmlformats.org/drawingml/2006/main"/>
              <a:p xmlns:a="http://schemas.openxmlformats.org/drawingml/2006/main">
                <a:pPr>
                  <a:defRPr/>
                </a:pPr>
                <a:r>
                  <a:t>$m</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Public debt and Reserve Fund / GDP</a:t>
            </a:r>
          </a:p>
        </rich>
      </tx>
    </title>
    <plotArea>
      <lineChart>
        <grouping val="standard"/>
        <ser>
          <idx val="0"/>
          <order val="0"/>
          <tx>
            <v>Public debt / GDP</v>
          </tx>
          <spPr>
            <a:ln xmlns:a="http://schemas.openxmlformats.org/drawingml/2006/main" w="22000">
              <a:prstDash val="solid"/>
            </a:ln>
          </spPr>
          <marker>
            <symbol val="none"/>
            <spPr>
              <a:ln xmlns:a="http://schemas.openxmlformats.org/drawingml/2006/main">
                <a:prstDash val="solid"/>
              </a:ln>
            </spPr>
          </marker>
          <cat>
            <numRef>
              <f>'Debt &amp; cash'!$A$10:$A$92</f>
            </numRef>
          </cat>
          <val>
            <numRef>
              <f>'Debt &amp; cash'!$V$10:$V$92</f>
            </numRef>
          </val>
          <smooth val="0"/>
        </ser>
        <ser>
          <idx val="1"/>
          <order val="1"/>
          <tx>
            <v>Reserve Fund / GDP</v>
          </tx>
          <spPr>
            <a:ln xmlns:a="http://schemas.openxmlformats.org/drawingml/2006/main" w="22000">
              <a:prstDash val="solid"/>
            </a:ln>
          </spPr>
          <marker>
            <symbol val="none"/>
            <spPr>
              <a:ln xmlns:a="http://schemas.openxmlformats.org/drawingml/2006/main">
                <a:prstDash val="solid"/>
              </a:ln>
            </spPr>
          </marker>
          <cat>
            <numRef>
              <f>'Debt &amp; cash'!$A$10:$A$92</f>
            </numRef>
          </cat>
          <val>
            <numRef>
              <f>'Debt &amp; cash'!$X$10:$X$92</f>
            </numRef>
          </val>
          <smooth val="0"/>
        </ser>
        <axId val="10"/>
        <axId val="100"/>
      </lineChart>
      <catAx>
        <axId val="10"/>
        <scaling>
          <orientation val="minMax"/>
        </scaling>
        <axPos val="l"/>
        <majorTickMark val="none"/>
        <minorTickMark val="none"/>
        <crossAx val="100"/>
        <lblOffset val="100"/>
        <tickLblSkip val="10"/>
        <tickMarkSkip val="10"/>
      </catAx>
      <valAx>
        <axId val="100"/>
        <scaling>
          <orientation val="minMax"/>
        </scaling>
        <axPos val="l"/>
        <majorGridlines/>
        <title>
          <tx>
            <rich>
              <a:bodyPr xmlns:a="http://schemas.openxmlformats.org/drawingml/2006/main"/>
              <a:p xmlns:a="http://schemas.openxmlformats.org/drawingml/2006/main">
                <a:pPr>
                  <a:defRPr/>
                </a:pPr>
                <a:r>
                  <a:t>share of GDP</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Capital ships: Pacifica + Japan vs Britain and the Union</a:t>
            </a:r>
          </a:p>
        </rich>
      </tx>
    </title>
    <plotArea>
      <lineChart>
        <grouping val="standard"/>
        <ser>
          <idx val="0"/>
          <order val="0"/>
          <tx>
            <v>Pacifica + Japan</v>
          </tx>
          <spPr>
            <a:ln xmlns:a="http://schemas.openxmlformats.org/drawingml/2006/main" w="22000">
              <a:prstDash val="solid"/>
            </a:ln>
          </spPr>
          <marker>
            <symbol val="none"/>
            <spPr>
              <a:ln xmlns:a="http://schemas.openxmlformats.org/drawingml/2006/main">
                <a:prstDash val="solid"/>
              </a:ln>
            </spPr>
          </marker>
          <cat>
            <numRef>
              <f>'Navy'!$A$10:$A$92</f>
            </numRef>
          </cat>
          <val>
            <numRef>
              <f>'Navy'!$AB$10:$AB$92</f>
            </numRef>
          </val>
          <smooth val="0"/>
        </ser>
        <ser>
          <idx val="1"/>
          <order val="1"/>
          <tx>
            <v>Britain</v>
          </tx>
          <spPr>
            <a:ln xmlns:a="http://schemas.openxmlformats.org/drawingml/2006/main" w="22000">
              <a:prstDash val="solid"/>
            </a:ln>
          </spPr>
          <marker>
            <symbol val="none"/>
            <spPr>
              <a:ln xmlns:a="http://schemas.openxmlformats.org/drawingml/2006/main">
                <a:prstDash val="solid"/>
              </a:ln>
            </spPr>
          </marker>
          <cat>
            <numRef>
              <f>'Navy'!$A$10:$A$92</f>
            </numRef>
          </cat>
          <val>
            <numRef>
              <f>'Navy'!$AC$10:$AC$92</f>
            </numRef>
          </val>
          <smooth val="0"/>
        </ser>
        <ser>
          <idx val="2"/>
          <order val="2"/>
          <tx>
            <v>Union</v>
          </tx>
          <spPr>
            <a:ln xmlns:a="http://schemas.openxmlformats.org/drawingml/2006/main" w="22000">
              <a:prstDash val="solid"/>
            </a:ln>
          </spPr>
          <marker>
            <symbol val="none"/>
            <spPr>
              <a:ln xmlns:a="http://schemas.openxmlformats.org/drawingml/2006/main">
                <a:prstDash val="solid"/>
              </a:ln>
            </spPr>
          </marker>
          <cat>
            <numRef>
              <f>'Navy'!$A$10:$A$92</f>
            </numRef>
          </cat>
          <val>
            <numRef>
              <f>'Navy'!$AD$10:$AD$92</f>
            </numRef>
          </val>
          <smooth val="0"/>
        </ser>
        <axId val="10"/>
        <axId val="100"/>
      </lineChart>
      <catAx>
        <axId val="10"/>
        <scaling>
          <orientation val="minMax"/>
        </scaling>
        <axPos val="l"/>
        <majorTickMark val="none"/>
        <minorTickMark val="none"/>
        <crossAx val="100"/>
        <lblOffset val="100"/>
        <tickLblSkip val="10"/>
        <tickMarkSkip val="10"/>
      </catAx>
      <valAx>
        <axId val="100"/>
        <scaling>
          <orientation val="minMax"/>
        </scaling>
        <axPos val="l"/>
        <majorGridlines/>
        <title>
          <tx>
            <rich>
              <a:bodyPr xmlns:a="http://schemas.openxmlformats.org/drawingml/2006/main"/>
              <a:p xmlns:a="http://schemas.openxmlformats.org/drawingml/2006/main">
                <a:pPr>
                  <a:defRPr/>
                </a:pPr>
                <a:r>
                  <a:t>ships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Pacifica's navy bill ($m)</a:t>
            </a:r>
          </a:p>
        </rich>
      </tx>
    </title>
    <plotArea>
      <lineChart>
        <grouping val="standard"/>
        <ser>
          <idx val="0"/>
          <order val="0"/>
          <tx>
            <v>Navy bill</v>
          </tx>
          <spPr>
            <a:ln xmlns:a="http://schemas.openxmlformats.org/drawingml/2006/main" w="22000">
              <a:prstDash val="solid"/>
            </a:ln>
          </spPr>
          <marker>
            <symbol val="none"/>
            <spPr>
              <a:ln xmlns:a="http://schemas.openxmlformats.org/drawingml/2006/main">
                <a:prstDash val="solid"/>
              </a:ln>
            </spPr>
          </marker>
          <cat>
            <numRef>
              <f>'Navy'!$A$10:$A$92</f>
            </numRef>
          </cat>
          <val>
            <numRef>
              <f>'Navy'!$Y$10:$Y$92</f>
            </numRef>
          </val>
          <smooth val="0"/>
        </ser>
        <axId val="10"/>
        <axId val="100"/>
      </lineChart>
      <catAx>
        <axId val="10"/>
        <scaling>
          <orientation val="minMax"/>
        </scaling>
        <axPos val="l"/>
        <majorTickMark val="none"/>
        <minorTickMark val="none"/>
        <crossAx val="100"/>
        <lblOffset val="100"/>
        <tickLblSkip val="10"/>
        <tickMarkSkip val="10"/>
      </catAx>
      <valAx>
        <axId val="100"/>
        <scaling>
          <orientation val="minMax"/>
        </scaling>
        <axPos val="l"/>
        <majorGridlines/>
        <title>
          <tx>
            <rich>
              <a:bodyPr xmlns:a="http://schemas.openxmlformats.org/drawingml/2006/main"/>
              <a:p xmlns:a="http://schemas.openxmlformats.org/drawingml/2006/main">
                <a:pPr>
                  <a:defRPr/>
                </a:pPr>
                <a:r>
                  <a:t>$m</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Model</author>
  </authors>
  <commentList>
    <comment ref="B5" authorId="0" shapeId="0">
      <text>
        <t>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text>
    </comment>
    <comment ref="C5" authorId="0" shapeId="0">
      <text>
        <t>Births minus deaths per resident. Low in the male-heavy gold-rush years, rising as the women's and family programmes even out the sex ratio; 1918 influenza dip. Model estimate.</t>
      </text>
    </comment>
    <comment ref="D5" authorId="0" shapeId="0">
      <text>
        <t>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text>
    </comment>
    <comment ref="E5" authorId="0" shapeId="0">
      <text>
        <t>Gold rush 1848-55; Civil War deserters and Europeans; 1866-72 demobilized engineers and veterans (§13); 1873-87 laid-off Union workers after the Panic of 1873 (§13); from 1888 skilled and sponsored-family entry only (§25).</t>
      </text>
    </comment>
    <comment ref="F5" authorId="0" shapeId="0">
      <text>
        <t>No exclusion act in Pacifica. 1868 treaty family-emigration article (§14); Hakka families lead (§15); the Asian family programme continues after 1888 (§25).</t>
      </text>
    </comment>
    <comment ref="G5" authorId="0" shapeId="0">
      <text>
        <t>Wakamatsu colony 1869 (§15); emigration opens 1885; 1907 compact secures family immigration and civic equality (§26).</t>
      </text>
    </comment>
    <comment ref="H5" authorId="0" shapeId="0">
      <text>
        <t>Reformers and families after 1876, mainly to Arizona and New Mexico; large flows once the insurgency ebbs (§15).</t>
      </text>
    </comment>
    <comment ref="I5" authorId="0" shapeId="0">
      <text>
        <t>Share of arrivals who leave again; high in the gold rush.</t>
      </text>
    </comment>
    <comment ref="J5" authorId="0" shapeId="0">
      <text>
        <t>Assisted passage for women and families from 1852; narrower after the 1888 selective-entry law.</t>
      </text>
    </comment>
    <comment ref="K5" authorId="0" shapeId="0">
      <text>
        <t>Separate crown or protectorate (§15). Not part of core Pacifica's economy or budget.</t>
      </text>
    </comment>
    <comment ref="L5" authorId="0" shapeId="0">
      <text>
        <t>Annual growth of real non-mining output per resident (held until the next anchor). Gold-rush services boom, Civil War, industrial programme, then slower growth after 1913. Stress case multiplies growth from 1896 by the productivity lever. Model estimate.</t>
      </text>
    </comment>
    <comment ref="M5" authorId="0" shapeId="0">
      <text>
        <t>Output relative to trend in slump years: 1857, 1873-77, 1884-85, 1893-96, 1907-08, 1914, 1921-22 and 1930-32. The story case keeps 1932 about 14% below trend (the US fell about 27%), because Pacifica keeps its market open and its central bank acts. Stress case deepens 1930-32.</t>
      </text>
    </comment>
    <comment ref="N5" authorId="0" shapeId="0">
      <text>
        <t>Old model 25-30%; falls as home industry grows.</t>
      </text>
    </comment>
    <comment ref="O5" authorId="0" shapeId="0">
      <text>
        <t>8% under the Republic, 12% from the 1852 constitution (old model).</t>
      </text>
    </comment>
    <comment ref="P5" authorId="0" shapeId="0">
      <text>
        <t>Rises with the 1855 Defense Law, the Civil War (9%), the 1915-20 war levies (10%) and the 1927 common taxes (§33).</t>
      </text>
    </comment>
    <comment ref="Q5" authorId="0" shapeId="0">
      <text>
        <t>Old model: 85%, lower in the slump.</t>
      </text>
    </comment>
    <comment ref="R5" authorId="0" shapeId="0">
      <text>
        <t>Telegraph, cable, power and railway dividends paid to the Treasury. Model estimate.</t>
      </text>
    </comment>
    <comment ref="S5" authorId="0" shapeId="0">
      <text>
        <t>Opens 1901 (canon: about 1900-02). Historical Panama tolls were $27m in 1929.</t>
      </text>
    </comment>
    <comment ref="T5" authorId="0" shapeId="0">
      <text>
        <t>Courts, schools, examinations, statistics, health.</t>
      </text>
    </comment>
    <comment ref="U5" authorId="0" shapeId="0">
      <text>
        <t>Railways, irrigation, ports, power. Raised in 1930-32 to keep skills employed.</t>
      </text>
    </comment>
    <comment ref="V5" authorId="0" shapeId="0">
      <text>
        <t>Polytechnic, institutes, testing stations, state works. The named oil, turbine and electrical programmes are added on top as Events.</t>
      </text>
    </comment>
    <comment ref="W5" authorId="0" shapeId="0">
      <text>
        <t>1861: about 20,000 regulars rising to a wartime peak (§9). Siberian contingent is costed separately in Events.</t>
      </text>
    </comment>
    <comment ref="X5" authorId="0" shapeId="0">
      <text>
        <t>About 90,000 trained reservists in 1861 (§9).</t>
      </text>
    </comment>
    <comment ref="Y5" authorId="0" shapeId="0">
      <text>
        <t>Falls as Pacifica's credit improves after 1895.</t>
      </text>
    </comment>
    <comment ref="Z5" authorId="0" shapeId="0">
      <text>
        <t>1923 funding: Britain's gold-dollar debt over 62 years at reduced interest (§30).</t>
      </text>
    </comment>
    <comment ref="AA5" authorId="0" shapeId="0">
      <text>
        <t>None during the war years; 1/62 a year from 1923; moratorium 1931-32.</t>
      </text>
    </comment>
    <comment ref="AB5" authorId="0" shapeId="0">
      <text>
        <t>Hoover's moratorium on war debts, June 1931 (§34).</t>
      </text>
    </comment>
    <comment ref="AC5" authorId="0" shapeId="0">
      <text>
        <t>Years exempt from the 4% peacetime ceiling: 1861-65, 1870-71, 1914-22.</t>
      </text>
    </comment>
    <comment ref="AD5" authorId="0" shapeId="0">
      <text>
        <t>Central-bank and treasury gold plus coin, rough historical totals. Used only for Pacifica's share.</t>
      </text>
    </comment>
  </commentList>
</comments>
</file>

<file path=xl/comments/comment2.xml><?xml version="1.0" encoding="utf-8"?>
<comments xmlns="http://schemas.openxmlformats.org/spreadsheetml/2006/main">
  <authors>
    <author>Model</author>
  </authors>
  <commentList>
    <comment ref="J5" authorId="0" shapeId="0">
      <text>
        <t>Skilled migrants, their families, relatives and workers for new jobs (Labour sheet, CR-020 B10).</t>
      </text>
    </comment>
    <comment ref="N5" authorId="0" shapeId="0">
      <text>
        <t>Arrivals who stay plus their descendants (same natural increase as everyone).</t>
      </text>
    </comment>
    <comment ref="S5" authorId="0" shapeId="0">
      <text>
        <t>The pool from which Hapa families grow (§15).</t>
      </text>
    </comment>
  </commentList>
</comments>
</file>

<file path=xl/comments/comment3.xml><?xml version="1.0" encoding="utf-8"?>
<comments xmlns="http://schemas.openxmlformats.org/spreadsheetml/2006/main">
  <authors>
    <author>Model</author>
  </authors>
  <commentList>
    <comment ref="D5" authorId="0" shapeId="0">
      <text>
        <t>Last year's development investment as a share of GDP, times its social return (CR-020 B8).</t>
      </text>
    </comment>
    <comment ref="H5" authorId="0" shapeId="0">
      <text>
        <t>The Paths price level, except that from 1930 Pacifica suffers only part of the US price fall (Levers, CR-020).</t>
      </text>
    </comment>
    <comment ref="L5" authorId="0" shapeId="0">
      <text>
        <t>CR-020 B11: guest workers, at a fraction of the average resident worker's output.</t>
      </text>
    </comment>
    <comment ref="M5" authorId="0" shapeId="0">
      <text>
        <t>CR-020 B9: the industries the Polytechnic seeds, beyond what the trend path already holds (Champions sheet).</t>
      </text>
    </comment>
    <comment ref="N5" authorId="0" shapeId="0">
      <text>
        <t>Zero unless the Gulf switch on Levers is on and the year has come.</t>
      </text>
    </comment>
    <comment ref="O5" authorId="0" shapeId="0">
      <text>
        <t>California, Hawaii, the Northwest, the interior, Alaska and Baja, plus the Gulf once it joins. Excludes the Philippine crown, Formosa and all partners.</t>
      </text>
    </comment>
    <comment ref="P5" authorId="0" shapeId="0">
      <text>
        <t>Everyone present, guest workers included, so their output does not flatter the figure.</t>
      </text>
    </comment>
    <comment ref="Q5" authorId="0" shapeId="0">
      <text>
        <t>Historical US GDP per person, current dollars, gold basis for 1862-78 (MeasuringWorth). Used only as a benchmark: historical California ran at about 1.4x the US average in 1929, the whole West at about 1.25x.</t>
      </text>
    </comment>
  </commentList>
</comments>
</file>

<file path=xl/comments/comment4.xml><?xml version="1.0" encoding="utf-8"?>
<comments xmlns="http://schemas.openxmlformats.org/spreadsheetml/2006/main">
  <authors>
    <author>Model</author>
  </authors>
  <commentList>
    <comment ref="B5" authorId="0" shapeId="0">
      <text>
        <t>Historical California output (the spring 1848 find matches the historical timing).</t>
      </text>
    </comment>
    <comment ref="C5" authorId="0" shapeId="0">
      <text>
        <t>Comstock (Washoe retaken 1863-64), Idaho and Montana camps, Utah silver, San Juan mines. Counted only once the territory is Pacifican.</t>
      </text>
    </comment>
    <comment ref="D5" authorId="0" shapeId="0">
      <text>
        <t>Tonopah 1900-01, Goldfield 1902: historical Nevada output, Pacifican in this timeline (CR-021 H).</t>
      </text>
    </comment>
    <comment ref="E5" authorId="0" shapeId="0">
      <text>
        <t>Juneau from 1880, Nome 1899, Fairbanks 1903 (historical Alaska).</t>
      </text>
    </comment>
    <comment ref="F5" authorId="0" shapeId="0">
      <text>
        <t>Butte (Pacific side of the divide), Arizona, Bingham and Nevada copper, plus Hawaiian bauxite later. Historical values, rounded.</t>
      </text>
    </comment>
    <comment ref="G5" authorId="0" shapeId="0">
      <text>
        <t>Unsan and other mines under the Pacifican guarantee; historically an American concession from 1897 (CR-021 H). Not Pacifican GDP.</t>
      </text>
    </comment>
    <comment ref="H5" authorId="0" shapeId="0">
      <text>
        <t>Found 1926-28; worked with free labour and Pacifican dredges, not the Soviet camps of history (CR-021 H). Not Pacifican GDP.</t>
      </text>
    </comment>
    <comment ref="I5" authorId="0" shapeId="0">
      <text>
        <t>Approved oil programme: Pico Canyon 1876; Los Angeles and Kern fields found about 1885-88 instead of 1892 and 1899, so output runs about seven years ahead of history until 1910, then follows history (300m barrels in 1929).</t>
      </text>
    </comment>
    <comment ref="J5" authorId="0" shapeId="0">
      <text>
        <t>California crude at the well, gold dollars.</t>
      </text>
    </comment>
    <comment ref="K5" authorId="0" shapeId="0">
      <text>
        <t>Cut under the oil compact from 1931 (Levers, CR-020).</t>
      </text>
    </comment>
    <comment ref="O5" authorId="0" shapeId="0">
      <text>
        <t>Gross output less fuel, explosives and other bought inputs.</t>
      </text>
    </comment>
    <comment ref="P5" authorId="0" shapeId="0">
      <text>
        <t>5% royalty, 90% collected.</t>
      </text>
    </comment>
    <comment ref="R5" authorId="0" shapeId="0">
      <text>
        <t>Home output times the retained share, plus concession gold sold to the Reserve Bank. Feeds the Gold &amp; money sheet.</t>
      </text>
    </comment>
  </commentList>
</comments>
</file>

<file path=xl/comments/comment5.xml><?xml version="1.0" encoding="utf-8"?>
<comments xmlns="http://schemas.openxmlformats.org/spreadsheetml/2006/main">
  <authors>
    <author>Model</author>
  </authors>
  <commentList>
    <comment ref="AC5" authorId="0" shapeId="0">
      <text>
        <t>Compared with the 4% peacetime ceiling on Checks.</t>
      </text>
    </comment>
  </commentList>
</comments>
</file>

<file path=xl/comments/comment6.xml><?xml version="1.0" encoding="utf-8"?>
<comments xmlns="http://schemas.openxmlformats.org/spreadsheetml/2006/main">
  <authors>
    <author>Model</author>
  </authors>
  <commentList>
    <comment ref="I5" authorId="0" shapeId="0">
      <text>
        <t>CR-020 B8: the first call on any surplus. Productive public investment that raises output growth the following year (see Economy).</t>
      </text>
    </comment>
    <comment ref="J5" authorId="0" shapeId="0">
      <text>
        <t>The Reserve Fund keeps a crisis buffer; the rest is invested by the Development Fund.</t>
      </text>
    </comment>
    <comment ref="N5" authorId="0" shapeId="0">
      <text>
        <t>Surplus share + reserve above the buffer + development bonds + infrastructure Events marked Investment (cables, harbour works). Drives the growth boost on Economy.</t>
      </text>
    </comment>
    <comment ref="O5" authorId="0" shapeId="0">
      <text>
        <t>Cumulative development investment less wear-out. For reference only.</t>
      </text>
    </comment>
    <comment ref="Q5" authorId="0" shapeId="0">
      <text>
        <t>OPEN-020-06: from 1887 the Treasury keeps bonds in issue up to the standing-debt share of GDP, so the Reserve Bank has securities to work with. The proceeds go into the Reserve Fund.</t>
      </text>
    </comment>
    <comment ref="S5" authorId="0" shapeId="0">
      <text>
        <t>Surpluses not used to repay debt are invested in partner and Union gold bonds. Drawn first when cash runs short. Model mechanism.</t>
      </text>
    </comment>
    <comment ref="U5" authorId="0" shapeId="0">
      <text>
        <t>Negative means the state is a net creditor.</t>
      </text>
    </comment>
    <comment ref="Y5" authorId="0" shapeId="0">
      <text>
        <t>New bonds less those bought by the Reserve Bank.</t>
      </text>
    </comment>
  </commentList>
</comments>
</file>

<file path=xl/comments/comment7.xml><?xml version="1.0" encoding="utf-8"?>
<comments xmlns="http://schemas.openxmlformats.org/spreadsheetml/2006/main">
  <authors>
    <author>Model</author>
  </authors>
  <commentList>
    <comment ref="B5" authorId="0" shapeId="0">
      <text>
        <t>Pacifican firms and savers buying factories, refineries, mills and bonds in Japan, China, the Philippines, the Gulf and Siberia (CR-020 B4). Model estimate.</t>
      </text>
    </comment>
    <comment ref="G5" authorId="0" shapeId="0">
      <text>
        <t>Russia's default on its Entente share in 1918; defaults and write-downs in 1931-32.</t>
      </text>
    </comment>
    <comment ref="N5" authorId="0" shapeId="0">
      <text>
        <t>Goes to the Budget sheet.</t>
      </text>
    </comment>
    <comment ref="P5" authorId="0" shapeId="0">
      <text>
        <t>Less what guest workers send home.</t>
      </text>
    </comment>
  </commentList>
</comments>
</file>

<file path=xl/comments/comment8.xml><?xml version="1.0" encoding="utf-8"?>
<comments xmlns="http://schemas.openxmlformats.org/spreadsheetml/2006/main">
  <authors>
    <author>Model</author>
  </authors>
  <commentList>
    <comment ref="B5" authorId="0" shapeId="0">
      <text>
        <t>The champions' scale lever, raised by the extra talent the migration loop brings (B10) and by richer markets abroad (B15), less Union tariffs (B13).</t>
      </text>
    </comment>
    <comment ref="C5" authorId="0" shapeId="0">
      <text>
        <t>The Polytechnic system (Berkeley, Pasadena, Honolulu, Seattle and the technical high schools). Model estimate.</t>
      </text>
    </comment>
    <comment ref="D5" authorId="0" shapeId="0">
      <text>
        <t>Chairs, laboratories and citizenship offered to the best of Europe and Asia; the post-1918 exodus from central Europe. Model estimate.</t>
      </text>
    </comment>
    <comment ref="F5" authorId="0" shapeId="0">
      <text>
        <t>The story path times the champions' effective scale: fewer in the stress case, more as talent migrants arrive.</t>
      </text>
    </comment>
    <comment ref="H5" authorId="0" shapeId="0">
      <text>
        <t>US Patent Office grants / population.</t>
      </text>
    </comment>
    <comment ref="L5" authorId="0" shapeId="0">
      <text>
        <t>Spindletop 1901, then Oklahoma and East Texas. Historical Texas, Louisiana and Oklahoma output, rounded.</t>
      </text>
    </comment>
    <comment ref="M5" authorId="0" shapeId="0">
      <text>
        <t>Pacifican capital gets to Spindletop before Pittsburgh and New York; Standard Oil is shut out of the Gulf by its antitrust laws.</t>
      </text>
    </comment>
    <comment ref="N5" authorId="0" shapeId="0">
      <text>
        <t>The 'oil for the lamps of China' trade that Standard Oil built historically, taken by the Pacifican trust from San Francisco.</t>
      </text>
    </comment>
    <comment ref="P5" authorId="0" shapeId="0">
      <text>
        <t>The Gulf part becomes domestic (inside Gulf GDP) once the Gulf joins.</t>
      </text>
    </comment>
    <comment ref="R5" authorId="0" shapeId="0">
      <text>
        <t>Utah and Washington coal, Eagle Mountain and Philippine ore, Pacific hydropower for electric furnaces. The Union made 57 Mt in 1929 historically.</t>
      </text>
    </comment>
    <comment ref="U5" authorId="0" shapeId="0">
      <text>
        <t>The moving assembly line comes from the Polytechnic's production-engineering school in 1911. The world built 6.3m vehicles in 1929.</t>
      </text>
    </comment>
    <comment ref="X5" authorId="0" shapeId="0">
      <text>
        <t>Rough historical world output; the war years reflect munitions.</t>
      </text>
    </comment>
    <comment ref="Y5" authorId="0" shapeId="0">
      <text>
        <t>From Giant Powder's dynamite licence (San Francisco, 1867) to dyes, drugs and plastics.</t>
      </text>
    </comment>
    <comment ref="AB5" authorId="0" shapeId="0">
      <text>
        <t>Less once the Union imposes compulsory licensing (CR-020 B13).</t>
      </text>
    </comment>
    <comment ref="AE5" authorId="0" shapeId="0">
      <text>
        <t>Pacifica, Japan, Korea, China's treaty ports, the Philippines, Siam, the Gulf, Latin America's Pacific coast, Siberia, Persia's oil fields.</t>
      </text>
    </comment>
    <comment ref="AG5" authorId="0" shapeId="0">
      <text>
        <t>Fees on equipment made by others to Pacifican patents.</t>
      </text>
    </comment>
    <comment ref="AH5" authorId="0" shapeId="0">
      <text>
        <t>A Pacifican Western Union, the trans-Pacific cables, Federal Telegraph's arc radio (Palo Alto, 1909) and de Forest's amplifier.</t>
      </text>
    </comment>
    <comment ref="AJ5" authorId="0" shapeId="0">
      <text>
        <t>The trans-Pacific liner conference, the canal route, Yangtze and coastal China.</t>
      </text>
    </comment>
    <comment ref="AL5" authorId="0" shapeId="0">
      <text>
        <t>Japan's war loans of 1904-05, China, Russia, Latin America, the Entente, the 1924 German loan.</t>
      </text>
    </comment>
    <comment ref="AN5" authorId="0" shapeId="0">
      <text>
        <t>Edison's patent trust has no force in Pacifica; sound patents from the electrical programme.</t>
      </text>
    </comment>
    <comment ref="AO5" authorId="0" shapeId="0">
      <text>
        <t>Hawaiian bauxite and hydropower; Douglas, Lockheed and Boeing are Pacifican.</t>
      </text>
    </comment>
    <comment ref="AQ5" authorId="0" shapeId="0">
      <text>
        <t>Only the champions' productivity premium over an average job, plus cluster spillovers: their workers are residents, already counted on Economy (CR-020 B10).</t>
      </text>
    </comment>
    <comment ref="AS5" authorId="0" shapeId="0">
      <text>
        <t>China's trunk lines, Korea, Mexico's west coast, Central America, Peru and Chile, Siam, the Siberian lines after 1921.</t>
      </text>
    </comment>
    <comment ref="AT5" authorId="0" shapeId="0">
      <text>
        <t>Chinese, Siamese and Latin American telegraph concessions; the cables to Asia and Australia.</t>
      </text>
    </comment>
    <comment ref="AX5" authorId="0" shapeId="0">
      <text>
        <t>Philippine and Chilean ore, a share in Hanyang's mills, and from 1901 Carnegie Steel itself: Pacifica Steel, the first billion-dollar company (OPEN-020-13).</t>
      </text>
    </comment>
    <comment ref="AZ5" authorId="0" shapeId="0">
      <text>
        <t>Oil, the yields on the other concessions, and royalties and licence fees. Goes to Abroad.</t>
      </text>
    </comment>
    <comment ref="BB5" authorId="0" shapeId="0">
      <text>
        <t>Oil, rail and port concessions, telegraph and cable, power companies, shipping on the canal route: where the state grants something scarce.</t>
      </text>
    </comment>
    <comment ref="BC5" authorId="0" shapeId="0">
      <text>
        <t>Steel, cars, chemicals, electrical equipment, film, aluminium and aircraft. Banking pays the Crown nothing: the Reserve Bank regulates it instead.</t>
      </text>
    </comment>
    <comment ref="BD5" authorId="0" shapeId="0">
      <text>
        <t>OPEN-020-10 decided: 25% equity where the state grants a charter or concession, a golden share and 8% in competitive industries licensed Polytechnic patents. Goes to Budget.</t>
      </text>
    </comment>
  </commentList>
</comments>
</file>

<file path=xl/comments/comment9.xml><?xml version="1.0" encoding="utf-8"?>
<comments xmlns="http://schemas.openxmlformats.org/spreadsheetml/2006/main">
  <authors>
    <author>Model</author>
  </authors>
  <commentList>
    <comment ref="C5" authorId="0" shapeId="0">
      <text>
        <t>Residents and guest workers together.</t>
      </text>
    </comment>
    <comment ref="D5" authorId="0" shapeId="0">
      <text>
        <t>Value added at home / (output per worker × the champions' productivity premium).</t>
      </text>
    </comment>
    <comment ref="I5" authorId="0" shapeId="0">
      <text>
        <t>Residents' unemployment: a low frictional rate in a labour-short economy (lower again in war years), plus half the shortfall of output below trend (Okun's rule), less the jobs guest workers vacate when their permits are not renewed.</t>
      </text>
    </comment>
    <comment ref="J5" authorId="0" shapeId="0">
      <text>
        <t>A share of the champion-related jobs, plus construction, docks, farms and domestic work; capped by the statutory quota.</t>
      </text>
    </comment>
    <comment ref="K5" authorId="0" shapeId="0">
      <text>
        <t>After six years and a trade test, a permit can become residence; the family follows.</t>
      </text>
    </comment>
    <comment ref="L5" authorId="0" shapeId="0">
      <text>
        <t>Permits adjust toward demand each year. In any slump a share is not renewed, in proportion to how far output falls below trend: the slump is partly exported.</t>
      </text>
    </comment>
    <comment ref="M5" authorId="0" shapeId="0">
      <text>
        <t>New workers plus replacements for those whose contracts end.</t>
      </text>
    </comment>
    <comment ref="Q5" authorId="0" shapeId="0">
      <text>
        <t>Singapore-style: employers pay a levy per permit, so a guest worker costs about as much as a resident. Goes to Budget.</t>
      </text>
    </comment>
    <comment ref="R5" authorId="0" shapeId="0">
      <text>
        <t>Leaves national income (Abroad sheet).</t>
      </text>
    </comment>
    <comment ref="S5" authorId="0" shapeId="0">
      <text>
        <t>CR-020 B13: after Whitney's single term, Roosevelt's 'national efficiency' campaign answers the brain drain from 1903; fully in force by 1910.</t>
      </text>
    </comment>
    <comment ref="U5" authorId="0" shapeId="0">
      <text>
        <t>The People sheet's arrival paths were set when Pacifica led the US by about 1.5 times. Only the lead beyond that draws extra people.</t>
      </text>
    </comment>
    <comment ref="V5" authorId="0" shapeId="0">
      <text>
        <t>The World sheet's Union, interpolated.</t>
      </text>
    </comment>
    <comment ref="W5" authorId="0" shapeId="0">
      <text>
        <t>Engineers, chemists, doctors, skilled machinists and tradesmen.</t>
      </text>
    </comment>
    <comment ref="X5" authorId="0" shapeId="0">
      <text>
        <t>Rough: about a tenth of the great European emigration, and the 1919-25 exodus from central Europe.</t>
      </text>
    </comment>
    <comment ref="Y5" authorId="0" shapeId="0">
      <text>
        <t>Cut to a third once the Union responds: its own laboratories and chairs, scholarship bonds, taxing citizens abroad.</t>
      </text>
    </comment>
    <comment ref="Z5" authorId="0" shapeId="0">
      <text>
        <t>The Union, three thousand miles closer to Europe, competes for the same scientists once it responds.</t>
      </text>
    </comment>
    <comment ref="AA5" authorId="0" shapeId="0">
      <text>
        <t>Japanese and Chinese graduates (the Boxer indemnity scholarships), Koreans, Filipinos, Indians. Rough.</t>
      </text>
    </comment>
    <comment ref="AB5" authorId="0" shapeId="0">
      <text>
        <t>CR-020 B13: Pacifica answers the Union's competition for Europeans by recruiting in Asia.</t>
      </text>
    </comment>
    <comment ref="AC5" authorId="0" shapeId="0">
      <text>
        <t>The ceiling Pacifica sets: the Polytechnic, chairs, licences and housing it is ready to provide.</t>
      </text>
    </comment>
    <comment ref="AI5" authorId="0" shapeId="0">
      <text>
        <t>Chain migration under the family programmes: brothers, parents, in-laws.</t>
      </text>
    </comment>
    <comment ref="AJ5" authorId="0" shapeId="0">
      <text>
        <t>Last year's new champion-related jobs that natural growth and the baseline arrivals do not fill; in a slump some workers leave.</t>
      </text>
    </comment>
    <comment ref="AL5" authorId="0" shapeId="0">
      <text>
        <t>Goes to the People sheet.</t>
      </text>
    </comment>
    <comment ref="AO5" authorId="0" shapeId="0">
      <text>
        <t>Each talent migrant produces skill_rel times an average worker and raises others' output by skill_spill; less the dilution while diverted immigrants learn the language and trades. Goes to Economy.</t>
      </text>
    </comment>
    <comment ref="AP5" authorId="0" shapeId="0">
      <text>
        <t>Extra skilled workers as a share of Pacifica's own skilled workforce, times an elasticity. Goes to Champions.</t>
      </text>
    </comment>
    <comment ref="AQ5" authorId="0" shapeId="0">
      <text>
        <t>Historical Statistics of the US, series C89. Most of it went to the states the Union holds.</t>
      </text>
    </comment>
    <comment ref="AR5" authorId="0" shapeId="0">
      <text>
        <t>Europeans bound for New York or Boston who sail for San Francisco instead, because Pacifica pays more. Goes to the People sheet.</t>
      </text>
    </comment>
    <comment ref="AY5" authorId="0" shapeId="0">
      <text>
        <t>Contract workers from the Union's Midwest and Mountain states; their families stay home.</t>
      </text>
    </comment>
    <comment ref="AZ5" authorId="0" shapeId="0">
      <text>
        <t>The Union keeps the richer Northeast and Midwest (World sheet's regional shares).</t>
      </text>
    </comment>
    <comment ref="BB5" authorId="0" shapeId="0">
      <text>
        <t>The firms its emigrants would have founded and the ideas that compound: a growth loss proportional to the share of its skilled workers who have left.</t>
      </text>
    </comment>
    <comment ref="BC5" authorId="0" shapeId="0">
      <text>
        <t>Lost Pacific markets, shipping, gold and the scale economies that went with them; it grows as Pacifica grows against the Union.</t>
      </text>
    </comment>
    <comment ref="BD5" authorId="0" shapeId="0">
      <text>
        <t>CR-020 B13: a Union central bank after 1895, national laboratories, trusts kept whole as national champions.</t>
      </text>
    </comment>
    <comment ref="BG5" authorId="0" shapeId="0">
      <text>
        <t>Above the average output that leaves with them as people (counted in the population).</t>
      </text>
    </comment>
    <comment ref="BH5" authorId="0" shapeId="0">
      <text>
        <t>The share of the champions' business that Union firms held historically: Gulf and Asian oil, Asian rails and power, car exports, dyes. Less once Union tariffs and licensing bite.</t>
      </text>
    </comment>
    <comment ref="BK5" authorId="0" shapeId="0">
      <text>
        <t>People who are still there × historical output per person × lost productivity × the crash, less the skill premium, business and guest workers that went west. Goes to the World sheet.</t>
      </text>
    </comment>
    <comment ref="BO5" authorId="0" shapeId="0">
      <text>
        <t>Lebergott.</t>
      </text>
    </comment>
  </commentList>
</comments>
</file>

<file path=xl/comments/comment10.xml><?xml version="1.0" encoding="utf-8"?>
<comments xmlns="http://schemas.openxmlformats.org/spreadsheetml/2006/main">
  <authors>
    <author>Model</author>
  </authors>
  <commentList>
    <comment ref="B5" authorId="0" shapeId="0">
      <text>
        <t>Ericsson turret ships from 1862 (Columbia), more for the 1870 Gulf war. (Canon)</t>
      </text>
    </comment>
    <comment ref="C5" authorId="0" shapeId="0">
      <text>
        <t>Wooden and iron steam cruisers for the ocean road, Manila and Vladivostok. (Canon)</t>
      </text>
    </comment>
    <comment ref="D5" authorId="0" shapeId="0">
      <text>
        <t>Oil-fired light craft in the 1880s (oil programme from 1876). (Approved)</t>
      </text>
    </comment>
    <comment ref="E5" authorId="0" shapeId="0">
      <text>
        <t>Water-tube boilers burning oil, early 1890s. (Approved)</t>
      </text>
    </comment>
    <comment ref="F5" authorId="0" shapeId="0">
      <text>
        <t>Turbine programme from 1885: destroyers 1893-95. (Approved)</t>
      </text>
    </comment>
    <comment ref="G5" authorId="0" shapeId="0">
      <text>
        <t>Turbine cruisers by 1898. (Approved)</t>
      </text>
    </comment>
    <comment ref="H5" authorId="0" shapeId="0">
      <text>
        <t>All-big-gun turbine ships from 1903, three years before HMS Dreadnought. (Proposed)</t>
      </text>
    </comment>
    <comment ref="I5" authorId="0" shapeId="0">
      <text>
        <t>Coastal and fleet submarines from 1900. (Proposed)</t>
      </text>
    </comment>
    <comment ref="J5" authorId="0" shapeId="0">
      <text>
        <t>Naval aviation in the 1920s; first carrier converted 1922. (Proposed)</t>
      </text>
    </comment>
    <comment ref="K5" authorId="0" shapeId="0">
      <text>
        <t>Anchors: 1855: $0.8m, 1862: $1.0m, 1870: $1.2m, 1880: $1.3m, 1890: $1.3m</t>
      </text>
    </comment>
    <comment ref="L5" authorId="0" shapeId="0">
      <text>
        <t>Anchors: 1850: $0.4m, 1860: $0.5m, 1870: $0.8m, 1880: $1.0m, 1890: $1.0m</t>
      </text>
    </comment>
    <comment ref="M5" authorId="0" shapeId="0">
      <text>
        <t>Anchors: 1880: $0.07m, 1890: $0.08m, 1900: $0.08m</t>
      </text>
    </comment>
    <comment ref="N5" authorId="0" shapeId="0">
      <text>
        <t>Anchors: 1888: $1.6m, 1890: $1.8m, 1900: $1.9m, 1913: $2.4m, 1920: $4.5m, 1932: $3.5m</t>
      </text>
    </comment>
    <comment ref="O5" authorId="0" shapeId="0">
      <text>
        <t>Anchors: 1893: $0.3m, 1900: $0.35m, 1905: $0.45m, 1910: $0.65m, 1913: $0.85m, 1917: $1.6m, 1920: $2.0m, 1925: $1.8m, 1932: $1.6m</t>
      </text>
    </comment>
    <comment ref="P5" authorId="0" shapeId="0">
      <text>
        <t>Anchors: 1897: $2.5m, 1905: $3.5m, 1913: $5.0m, 1918: $9.0m, 1925: $10.0m, 1932: $9.0m</t>
      </text>
    </comment>
    <comment ref="Q5" authorId="0" shapeId="0">
      <text>
        <t>Anchors: 1902: $6.0m, 1906: $8.0m, 1910: $11.0m, 1913: $14.0m, 1917: $20.0m, 1920: $30.0m, 1925: $28.0m, 1932: $25.0m</t>
      </text>
    </comment>
    <comment ref="R5" authorId="0" shapeId="0">
      <text>
        <t>Anchors: 1899: $0.2m, 1910: $0.4m, 1917: $1.2m, 1925: $1.5m, 1932: $1.4m</t>
      </text>
    </comment>
    <comment ref="S5" authorId="0" shapeId="0">
      <text>
        <t>Anchors: 1921: $15.0m, 1925: $22.0m, 1928: $25.0m, 1932: $25.0m</t>
      </text>
    </comment>
    <comment ref="T5" authorId="0" shapeId="0">
      <text>
        <t>Japanese dreadnought-type ships, partly to Pacifican designs.</t>
      </text>
    </comment>
    <comment ref="U5" authorId="0" shapeId="0">
      <text>
        <t>Dreadnought-type battleships and battlecruisers (historical to 1918). The 1919 limits bring Britain to parity with Pacifica + Japan by 1922: its 12-inch ships are scrapped or hulked in 1920-22, as under the real 1922 Washington treaty (§30).</t>
      </text>
    </comment>
    <comment ref="V5" authorId="0" shapeId="0">
      <text>
        <t>Outside the 1919 limits until 1932. Smaller than the historical US Navy: Wilson's neutrality and the Coolidge-era lending boom put money into banks, not battleships. Proposed.</t>
      </text>
    </comment>
    <comment ref="W5" authorId="0" shapeId="0">
      <text>
        <t>Undefeated Germany is limited below Pacifica + Japan in 1919 (§30), scrapping its oldest ships in 1920-22.</t>
      </text>
    </comment>
  </commentList>
</comments>
</file>

<file path=xl/comments/comment11.xml><?xml version="1.0" encoding="utf-8"?>
<comments xmlns="http://schemas.openxmlformats.org/spreadsheetml/2006/main">
  <authors>
    <author>Model</author>
  </authors>
  <commentList>
    <comment ref="B5" authorId="0" shapeId="0">
      <text>
        <t>Last year's fleet + ships completed − ships reaching the end of a 120-year service life.</t>
      </text>
    </comment>
    <comment ref="C5" authorId="0" shapeId="0">
      <text>
        <t>Last year's fleet + ships completed − ships reaching the end of a 250-year service life.</t>
      </text>
    </comment>
    <comment ref="D5" authorId="0" shapeId="0">
      <text>
        <t>Last year's fleet + ships completed − ships reaching the end of a 20-year service life.</t>
      </text>
    </comment>
    <comment ref="E5" authorId="0" shapeId="0">
      <text>
        <t>Last year's fleet + ships completed − ships reaching the end of a 280-year service life.</t>
      </text>
    </comment>
    <comment ref="F5" authorId="0" shapeId="0">
      <text>
        <t>Last year's fleet + ships completed − ships reaching the end of a 90-year service life.</t>
      </text>
    </comment>
    <comment ref="G5" authorId="0" shapeId="0">
      <text>
        <t>Last year's fleet + ships completed − ships reaching the end of a 400-year service life.</t>
      </text>
    </comment>
    <comment ref="H5" authorId="0" shapeId="0">
      <text>
        <t>Last year's fleet + ships completed − ships reaching the end of a 1000-year service life.</t>
      </text>
    </comment>
    <comment ref="I5" authorId="0" shapeId="0">
      <text>
        <t>Last year's fleet + ships completed − ships reaching the end of a 30-year service life.</t>
      </text>
    </comment>
    <comment ref="J5" authorId="0" shapeId="0">
      <text>
        <t>Last year's fleet + ships completed − ships reaching the end of a 1500-year service life.</t>
      </text>
    </comment>
    <comment ref="L5" authorId="0" shapeId="0">
      <text>
        <t>Half of each ship's cost is paid in the year before it is completed, half in the year it is completed.</t>
      </text>
    </comment>
    <comment ref="Q5" authorId="0" shapeId="0">
      <text>
        <t>5% a year of each ship's current replacement cost.</t>
      </text>
    </comment>
    <comment ref="Y5" authorId="0" shapeId="0">
      <text>
        <t>Goes to the Budget sheet.</t>
      </text>
    </comment>
    <comment ref="Z5" authorId="0" shapeId="0">
      <text>
        <t>Oil fuel cost in 1913 dollars at $0.60 a barrel. Canon check: a fleet of the 1895 size needs about a million barrels a year.</t>
      </text>
    </comment>
  </commentList>
</comments>
</file>

<file path=xl/comments/comment12.xml><?xml version="1.0" encoding="utf-8"?>
<comments xmlns="http://schemas.openxmlformats.org/spreadsheetml/2006/main">
  <authors>
    <author>Model</author>
  </authors>
  <commentList>
    <comment ref="B5" authorId="0" shapeId="0">
      <text>
        <t>Historical Japanese GNP (Ohkawa, LTES) converted to gold dollars: silver yen to 1896, then par $0.4985. Held at par in 1932 because the canon yen is supported through common finance (historically it fell to $0.28).</t>
      </text>
    </comment>
    <comment ref="C5" authorId="0" shapeId="0">
      <text>
        <t>CR-020 B14: from the Partners sheet. Polytechnic branches, the treaty ports' schools, Pacifican capital, standards and markets.</t>
      </text>
    </comment>
    <comment ref="I5" authorId="0" shapeId="0">
      <text>
        <t>Japan's own fleet. From 1927 it joins the common navy, whose cost is shared by quota.</t>
      </text>
    </comment>
    <comment ref="K5" authorId="0" shapeId="0">
      <text>
        <t>1894-95 Korea war; 1898-99 Primorye war on land; 1904-05 Russian war (historical cost about $860m); 1914 Tsingtao; 1918-22 Japan's share of the Siberian coalition (old model). The permanent front from 1923 is added by formula.</t>
      </text>
    </comment>
    <comment ref="M5" authorId="0" shapeId="0">
      <text>
        <t>1923 Kanto earthquake reconstruction (1923-26) and the 1927 bank crisis (Bank of Japan special loans were about $440m).</t>
      </text>
    </comment>
    <comment ref="N5" authorId="0" shapeId="0">
      <text>
        <t>Scaled with Japan's larger economy: more capital in Tokyo to rebuild, larger banks to rescue (CR-020 B14).</t>
      </text>
    </comment>
    <comment ref="S5" authorId="0" shapeId="0">
      <text>
        <t>Syndicated totals. The Pacifican Treasury's own part is in Events (Japan rows).</t>
      </text>
    </comment>
    <comment ref="T5" authorId="0" shapeId="0">
      <text>
        <t>From 1923 scaled with the disasters it pays for.</t>
      </text>
    </comment>
    <comment ref="U5" authorId="0" shapeId="0">
      <text>
        <t>§26: Russia pays an indemnity. Size and schedule are model estimates.</t>
      </text>
    </comment>
    <comment ref="V5" authorId="0" shapeId="0">
      <text>
        <t>1876 commutation bonds for samurai stipends (historical, about ¥174m).</t>
      </text>
    </comment>
  </commentList>
</comments>
</file>

<file path=xl/comments/comment13.xml><?xml version="1.0" encoding="utf-8"?>
<comments xmlns="http://schemas.openxmlformats.org/spreadsheetml/2006/main">
  <authors>
    <author>Model</author>
  </authors>
  <commentList>
    <comment ref="B5" authorId="0" shapeId="0">
      <text>
        <t>Each partner closes a share of its gap to Pacifica each year: the conditional convergence of integrated economies (CR-020 B14).</t>
      </text>
    </comment>
    <comment ref="E5" authorId="0" shapeId="0">
      <text>
        <t>Treaty 1858-60; Meiji 1868; the Japanese compact 1887; the 1895 and 1905 victories; the 1927 Pacific Concord. Literate, fast-learning: full weight.</t>
      </text>
    </comment>
    <comment ref="M5" authorId="0" shapeId="0">
      <text>
        <t>The 1895 compact, the oil partnership from Spindletop, Polytechnic branches in Houston and New Orleans, the canal trade.</t>
      </text>
    </comment>
    <comment ref="U5" authorId="0" shapeId="0">
      <text>
        <t>Crown from the 1870s; schools and the Manila Polytechnic, but low literacy at the start.</t>
      </text>
    </comment>
    <comment ref="AC5" authorId="0" shapeId="0">
      <text>
        <t>From the Treaty of Harbin (1921): Siberian lines, Irkutsk's schools, Pacifican capital.</t>
      </text>
    </comment>
    <comment ref="AK5" authorId="0" shapeId="0">
      <text>
        <t>Trading region, outside the order: the Customs Inspectorate, treaty-port schools, rail concessions, Pacifican backing of Sun, reunification after 1922. Civil war holds it back.</t>
      </text>
    </comment>
    <comment ref="AS5" authorId="0" shapeId="0">
      <text>
        <t>Independent under the Pacifican guarantee (1887): schools, mines, railways.</t>
      </text>
    </comment>
    <comment ref="BA5" authorId="0" shapeId="0">
      <text>
        <t>Siam, the Dutch Indies, Malaya, Indochina, Burma: Pacifican oil, power and shipping, but the colonial powers keep the gates.</t>
      </text>
    </comment>
    <comment ref="BI5" authorId="0" shapeId="0">
      <text>
        <t>Mexico, Central America, Colombia, Ecuador, Peru, Bolivia, Chile: west-coast railways, power companies, nitrate and copper, the canal from 1901.</t>
      </text>
    </comment>
    <comment ref="BQ5" authorId="0" shapeId="0">
      <text>
        <t>Persia, Mesopotamia, Arabia and the Gulf coast: the oil trust's concessions, power and the standard. Britain dominates the region.</t>
      </text>
    </comment>
    <comment ref="BW5" authorId="0" shapeId="0">
      <text>
        <t>Each market's output against history, weighted by its share of the champions' business abroad: Japan 25%, China 15%, Mexico and Pacific South America 12%, the Gulf 10%, Southeast Asia 8%, the Philippines 7%, Siberia and the Middle East 5% each, Korea 3%; the rest of the world (10%) unchanged.</t>
      </text>
    </comment>
    <comment ref="BX5" authorId="0" shapeId="0">
      <text>
        <t>CR-020 B15: richer customers buy more oil, cars, power plants, dyes, telegraph time and passages. Goes to Champions.</t>
      </text>
    </comment>
  </commentList>
</comments>
</file>

<file path=xl/comments/comment14.xml><?xml version="1.0" encoding="utf-8"?>
<comments xmlns="http://schemas.openxmlformats.org/spreadsheetml/2006/main">
  <authors>
    <author>Model</author>
  </authors>
  <commentList>
    <comment ref="B5" authorId="0" shapeId="0">
      <text>
        <t>Texas, Louisiana, Arkansas and Sequoyah (Indian Territory). Census figures, rounded.</t>
      </text>
    </comment>
    <comment ref="C5" authorId="0" shapeId="0">
      <text>
        <t>Historical Texas, Louisiana, Arkansas and Oklahoma against the US average. The Partners sheet adds the catch-up from the partnership (CR-020 B14).</t>
      </text>
    </comment>
    <comment ref="G5" authorId="0" shapeId="0">
      <text>
        <t>The weakest member is read as Pacifica's weakest former-territory state (a New Mexico-type member).</t>
      </text>
    </comment>
    <comment ref="I5" authorId="0" shapeId="0">
      <text>
        <t>The weakest member is read as Pacifica's weakest former-territory state (a New Mexico-type member).</t>
      </text>
    </comment>
    <comment ref="K5" authorId="0" shapeId="0">
      <text>
        <t>The weakest member is read as Pacifica's weakest former-territory state (a New Mexico-type member).</t>
      </text>
    </comment>
    <comment ref="M5" authorId="0" shapeId="0">
      <text>
        <t>The weakest member is read as Pacifica's weakest former-territory state (a New Mexico-type member).</t>
      </text>
    </comment>
    <comment ref="O5" authorId="0" shapeId="0">
      <text>
        <t>The weakest member is read as Pacifica's weakest former-territory state (a New Mexico-type member).</t>
      </text>
    </comment>
    <comment ref="Q5" authorId="0" shapeId="0">
      <text>
        <t>Parity: Black (incl. tribal freedmen) infant mortality at most 1.05 times white, held for a generation (OPEN-020-02). No American state has ever come close.</t>
      </text>
    </comment>
    <comment ref="S5" authorId="0" shapeId="0">
      <text>
        <t>Parity: Black and freedmen 20-year-olds pass the joint medical and literacy examination for the Defense Law at 95% or more of the white rate, held for a generation (OPEN-020-02).</t>
      </text>
    </comment>
    <comment ref="T5" authorId="0" shapeId="0">
      <text>
        <t>Without an oil compact the 1930 East Texas glut cuts Gulf wages in 1931-33 (CR-020 B5). This is the value tested.</t>
      </text>
    </comment>
    <comment ref="AF5" authorId="0" shapeId="0">
      <text>
        <t>OPEN-020-04: every measure held for a generation (25 years) before Pacifica will consider admission; it may ask for a second.</t>
      </text>
    </comment>
  </commentList>
</comments>
</file>

<file path=xl/comments/comment15.xml><?xml version="1.0" encoding="utf-8"?>
<comments xmlns="http://schemas.openxmlformats.org/spreadsheetml/2006/main">
  <authors>
    <author>Model</author>
  </authors>
  <commentList>
    <comment ref="F5" authorId="0" shapeId="0">
      <text>
        <t>The §25 ceilings are the regency's planning guides, so they are tested from 1887. Earlier values are shown for information.</t>
      </text>
    </comment>
    <comment ref="L5" authorId="0" shapeId="0">
      <text>
        <t>Home market up to 6% of GDP a year plus what London and other markets will take.</t>
      </text>
    </comment>
    <comment ref="M5" authorId="0" shapeId="0">
      <text>
        <t>The 40% cover rule applies once the Reserve Bank exists (1900).</t>
      </text>
    </comment>
    <comment ref="P5" authorId="0" shapeId="0">
      <text>
        <t>§30: the 1919 limits count Pacifica + Japan at parity with Britain once Britain's scrapping is complete (1922).</t>
      </text>
    </comment>
    <comment ref="R5" authorId="0" shapeId="0">
      <text>
        <t>The Gulf may join only after a generation (gulf_years_req) of passing every measure, the five general ones and both parity measures.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col>
      <colOff>0</colOff>
      <row>83</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83</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99</row>
      <rowOff>0</rowOff>
    </from>
    <ext cx="612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99</row>
      <rowOff>0</rowOff>
    </from>
    <ext cx="612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Levers'!A1" TargetMode="External" Id="rId1"/><Relationship Type="http://schemas.openxmlformats.org/officeDocument/2006/relationships/hyperlink" Target="#'Events'!A1" TargetMode="External" Id="rId2"/><Relationship Type="http://schemas.openxmlformats.org/officeDocument/2006/relationships/hyperlink" Target="#'Paths'!A1" TargetMode="External" Id="rId3"/><Relationship Type="http://schemas.openxmlformats.org/officeDocument/2006/relationships/hyperlink" Target="#'People'!A1" TargetMode="External" Id="rId4"/><Relationship Type="http://schemas.openxmlformats.org/officeDocument/2006/relationships/hyperlink" Target="#'Economy'!A1" TargetMode="External" Id="rId5"/><Relationship Type="http://schemas.openxmlformats.org/officeDocument/2006/relationships/hyperlink" Target="#'Resources'!A1" TargetMode="External" Id="rId6"/><Relationship Type="http://schemas.openxmlformats.org/officeDocument/2006/relationships/hyperlink" Target="#'Budget'!A1" TargetMode="External" Id="rId7"/><Relationship Type="http://schemas.openxmlformats.org/officeDocument/2006/relationships/hyperlink" Target="#'Debt &amp; cash'!A1" TargetMode="External" Id="rId8"/><Relationship Type="http://schemas.openxmlformats.org/officeDocument/2006/relationships/hyperlink" Target="#'Loans'!A1" TargetMode="External" Id="rId9"/><Relationship Type="http://schemas.openxmlformats.org/officeDocument/2006/relationships/hyperlink" Target="#'Gold &amp; money'!A1" TargetMode="External" Id="rId10"/><Relationship Type="http://schemas.openxmlformats.org/officeDocument/2006/relationships/hyperlink" Target="#'Navy plan'!A1" TargetMode="External" Id="rId11"/><Relationship Type="http://schemas.openxmlformats.org/officeDocument/2006/relationships/hyperlink" Target="#'Navy'!A1" TargetMode="External" Id="rId12"/><Relationship Type="http://schemas.openxmlformats.org/officeDocument/2006/relationships/hyperlink" Target="#'Japan'!A1" TargetMode="External" Id="rId13"/><Relationship Type="http://schemas.openxmlformats.org/officeDocument/2006/relationships/hyperlink" Target="#'Partners'!A1" TargetMode="External" Id="rId14"/><Relationship Type="http://schemas.openxmlformats.org/officeDocument/2006/relationships/hyperlink" Target="#'Abroad'!A1" TargetMode="External" Id="rId15"/><Relationship Type="http://schemas.openxmlformats.org/officeDocument/2006/relationships/hyperlink" Target="#'Labour'!A1" TargetMode="External" Id="rId16"/><Relationship Type="http://schemas.openxmlformats.org/officeDocument/2006/relationships/hyperlink" Target="#'Champions'!A1" TargetMode="External" Id="rId17"/><Relationship Type="http://schemas.openxmlformats.org/officeDocument/2006/relationships/hyperlink" Target="#'Gulf'!A1" TargetMode="External" Id="rId18"/><Relationship Type="http://schemas.openxmlformats.org/officeDocument/2006/relationships/hyperlink" Target="#'World'!A1" TargetMode="External" Id="rId19"/><Relationship Type="http://schemas.openxmlformats.org/officeDocument/2006/relationships/hyperlink" Target="#'Checks'!A1" TargetMode="External" Id="rId20"/><Relationship Type="http://schemas.openxmlformats.org/officeDocument/2006/relationships/hyperlink" Target="#'Changes'!A1" TargetMode="External" Id="rId21"/><Relationship Type="http://schemas.openxmlformats.org/officeDocument/2006/relationships/drawing" Target="/xl/drawings/drawing1.xml" Id="rId22"/></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2.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sheet1.xml><?xml version="1.0" encoding="utf-8"?>
<worksheet xmlns="http://schemas.openxmlformats.org/spreadsheetml/2006/main">
  <sheetPr>
    <tabColor rgb="001F4E6B"/>
    <outlinePr summaryBelow="1" summaryRight="1"/>
    <pageSetUpPr fitToPage="1"/>
  </sheetPr>
  <dimension ref="B1:L82"/>
  <sheetViews>
    <sheetView showGridLines="0" zoomScale="90" workbookViewId="0">
      <selection activeCell="A1" sqref="A1"/>
    </sheetView>
  </sheetViews>
  <sheetFormatPr baseColWidth="8" defaultRowHeight="15"/>
  <cols>
    <col width="2" customWidth="1" min="1" max="1"/>
    <col width="4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s>
  <sheetData>
    <row r="1">
      <c r="B1" s="1" t="inlineStr">
        <is>
          <t>Pacifica: the financial model, 1846-1932</t>
        </is>
      </c>
    </row>
    <row r="2">
      <c r="B2" s="2" t="inlineStr">
        <is>
          <t>Rebuilt from the master storyline of 18 October 2026: every canon event with a cost, the approved oil, turbine and electrical programmes, a real fleet, Japan's own budget and a world comparison.</t>
        </is>
      </c>
    </row>
    <row r="4">
      <c r="B4" s="3" t="inlineStr">
        <is>
          <t>Case in use</t>
        </is>
      </c>
      <c r="C4" s="4">
        <f>Levers!F4</f>
        <v/>
      </c>
      <c r="E4" s="2" t="inlineStr">
        <is>
          <t>Change it on Levers, cell E4 (1 = Story, 2 = Stress).</t>
        </is>
      </c>
    </row>
    <row r="5">
      <c r="B5" s="3" t="inlineStr">
        <is>
          <t>Problems found by Checks, all years</t>
        </is>
      </c>
      <c r="C5" s="4">
        <f>SUM(Checks!S6:S92)</f>
        <v/>
      </c>
      <c r="E5" s="2" t="inlineStr">
        <is>
          <t>Zero means every year passes the arithmetic, the canon ceilings and the story checks.</t>
        </is>
      </c>
    </row>
    <row r="7">
      <c r="B7" s="5" t="inlineStr">
        <is>
          <t>Key results</t>
        </is>
      </c>
      <c r="C7" s="6" t="n">
        <v>1850</v>
      </c>
      <c r="D7" s="6" t="n">
        <v>1865</v>
      </c>
      <c r="E7" s="6" t="n">
        <v>1880</v>
      </c>
      <c r="F7" s="6" t="n">
        <v>1895</v>
      </c>
      <c r="G7" s="6" t="n">
        <v>1905</v>
      </c>
      <c r="H7" s="6" t="n">
        <v>1913</v>
      </c>
      <c r="I7" s="6" t="n">
        <v>1918</v>
      </c>
      <c r="J7" s="6" t="n">
        <v>1922</v>
      </c>
      <c r="K7" s="6" t="n">
        <v>1929</v>
      </c>
      <c r="L7" s="6" t="n">
        <v>1932</v>
      </c>
    </row>
    <row r="8">
      <c r="B8" s="7" t="inlineStr">
        <is>
          <t>People and economy</t>
        </is>
      </c>
      <c r="C8" s="8" t="n"/>
      <c r="D8" s="8" t="n"/>
      <c r="E8" s="8" t="n"/>
      <c r="F8" s="8" t="n"/>
      <c r="G8" s="8" t="n"/>
      <c r="H8" s="8" t="n"/>
      <c r="I8" s="8" t="n"/>
      <c r="J8" s="8" t="n"/>
      <c r="K8" s="8" t="n"/>
      <c r="L8" s="8" t="n"/>
    </row>
    <row r="9">
      <c r="B9" s="9" t="inlineStr">
        <is>
          <t>Residents (millions)</t>
        </is>
      </c>
      <c r="C9" s="10">
        <f>INDEX(People!$W$6:$W$92,MATCH(C$7,People!$A$6:$A$92,0))/1000000</f>
        <v/>
      </c>
      <c r="D9" s="10">
        <f>INDEX(People!$W$6:$W$92,MATCH(D$7,People!$A$6:$A$92,0))/1000000</f>
        <v/>
      </c>
      <c r="E9" s="10">
        <f>INDEX(People!$W$6:$W$92,MATCH(E$7,People!$A$6:$A$92,0))/1000000</f>
        <v/>
      </c>
      <c r="F9" s="10">
        <f>INDEX(People!$W$6:$W$92,MATCH(F$7,People!$A$6:$A$92,0))/1000000</f>
        <v/>
      </c>
      <c r="G9" s="10">
        <f>INDEX(People!$W$6:$W$92,MATCH(G$7,People!$A$6:$A$92,0))/1000000</f>
        <v/>
      </c>
      <c r="H9" s="10">
        <f>INDEX(People!$W$6:$W$92,MATCH(H$7,People!$A$6:$A$92,0))/1000000</f>
        <v/>
      </c>
      <c r="I9" s="10">
        <f>INDEX(People!$W$6:$W$92,MATCH(I$7,People!$A$6:$A$92,0))/1000000</f>
        <v/>
      </c>
      <c r="J9" s="10">
        <f>INDEX(People!$W$6:$W$92,MATCH(J$7,People!$A$6:$A$92,0))/1000000</f>
        <v/>
      </c>
      <c r="K9" s="10">
        <f>INDEX(People!$W$6:$W$92,MATCH(K$7,People!$A$6:$A$92,0))/1000000</f>
        <v/>
      </c>
      <c r="L9" s="10">
        <f>INDEX(People!$W$6:$W$92,MATCH(L$7,People!$A$6:$A$92,0))/1000000</f>
        <v/>
      </c>
    </row>
    <row r="10">
      <c r="B10" s="9" t="inlineStr">
        <is>
          <t>Asian-origin share of residents</t>
        </is>
      </c>
      <c r="C10" s="11">
        <f>INDEX(People!$S$6:$S$92,MATCH(C$7,People!$A$6:$A$92,0))</f>
        <v/>
      </c>
      <c r="D10" s="11">
        <f>INDEX(People!$S$6:$S$92,MATCH(D$7,People!$A$6:$A$92,0))</f>
        <v/>
      </c>
      <c r="E10" s="11">
        <f>INDEX(People!$S$6:$S$92,MATCH(E$7,People!$A$6:$A$92,0))</f>
        <v/>
      </c>
      <c r="F10" s="11">
        <f>INDEX(People!$S$6:$S$92,MATCH(F$7,People!$A$6:$A$92,0))</f>
        <v/>
      </c>
      <c r="G10" s="11">
        <f>INDEX(People!$S$6:$S$92,MATCH(G$7,People!$A$6:$A$92,0))</f>
        <v/>
      </c>
      <c r="H10" s="11">
        <f>INDEX(People!$S$6:$S$92,MATCH(H$7,People!$A$6:$A$92,0))</f>
        <v/>
      </c>
      <c r="I10" s="11">
        <f>INDEX(People!$S$6:$S$92,MATCH(I$7,People!$A$6:$A$92,0))</f>
        <v/>
      </c>
      <c r="J10" s="11">
        <f>INDEX(People!$S$6:$S$92,MATCH(J$7,People!$A$6:$A$92,0))</f>
        <v/>
      </c>
      <c r="K10" s="11">
        <f>INDEX(People!$S$6:$S$92,MATCH(K$7,People!$A$6:$A$92,0))</f>
        <v/>
      </c>
      <c r="L10" s="11">
        <f>INDEX(People!$S$6:$S$92,MATCH(L$7,People!$A$6:$A$92,0))</f>
        <v/>
      </c>
    </row>
    <row r="11">
      <c r="B11" s="9" t="inlineStr">
        <is>
          <t>Guest workers present (thousands)</t>
        </is>
      </c>
      <c r="C11" s="12">
        <f>INDEX(Labour!$L$6:$L$92,MATCH(C$7,Labour!$A$6:$A$92,0))/1000</f>
        <v/>
      </c>
      <c r="D11" s="12">
        <f>INDEX(Labour!$L$6:$L$92,MATCH(D$7,Labour!$A$6:$A$92,0))/1000</f>
        <v/>
      </c>
      <c r="E11" s="12">
        <f>INDEX(Labour!$L$6:$L$92,MATCH(E$7,Labour!$A$6:$A$92,0))/1000</f>
        <v/>
      </c>
      <c r="F11" s="12">
        <f>INDEX(Labour!$L$6:$L$92,MATCH(F$7,Labour!$A$6:$A$92,0))/1000</f>
        <v/>
      </c>
      <c r="G11" s="12">
        <f>INDEX(Labour!$L$6:$L$92,MATCH(G$7,Labour!$A$6:$A$92,0))/1000</f>
        <v/>
      </c>
      <c r="H11" s="12">
        <f>INDEX(Labour!$L$6:$L$92,MATCH(H$7,Labour!$A$6:$A$92,0))/1000</f>
        <v/>
      </c>
      <c r="I11" s="12">
        <f>INDEX(Labour!$L$6:$L$92,MATCH(I$7,Labour!$A$6:$A$92,0))/1000</f>
        <v/>
      </c>
      <c r="J11" s="12">
        <f>INDEX(Labour!$L$6:$L$92,MATCH(J$7,Labour!$A$6:$A$92,0))/1000</f>
        <v/>
      </c>
      <c r="K11" s="12">
        <f>INDEX(Labour!$L$6:$L$92,MATCH(K$7,Labour!$A$6:$A$92,0))/1000</f>
        <v/>
      </c>
      <c r="L11" s="12">
        <f>INDEX(Labour!$L$6:$L$92,MATCH(L$7,Labour!$A$6:$A$92,0))/1000</f>
        <v/>
      </c>
    </row>
    <row r="12">
      <c r="B12" s="9" t="inlineStr">
        <is>
          <t>Core GDP ($bn)</t>
        </is>
      </c>
      <c r="C12" s="10">
        <f>INDEX(Economy!$O$6:$O$92,MATCH(C$7,Economy!$A$6:$A$92,0))/1000</f>
        <v/>
      </c>
      <c r="D12" s="10">
        <f>INDEX(Economy!$O$6:$O$92,MATCH(D$7,Economy!$A$6:$A$92,0))/1000</f>
        <v/>
      </c>
      <c r="E12" s="10">
        <f>INDEX(Economy!$O$6:$O$92,MATCH(E$7,Economy!$A$6:$A$92,0))/1000</f>
        <v/>
      </c>
      <c r="F12" s="10">
        <f>INDEX(Economy!$O$6:$O$92,MATCH(F$7,Economy!$A$6:$A$92,0))/1000</f>
        <v/>
      </c>
      <c r="G12" s="10">
        <f>INDEX(Economy!$O$6:$O$92,MATCH(G$7,Economy!$A$6:$A$92,0))/1000</f>
        <v/>
      </c>
      <c r="H12" s="10">
        <f>INDEX(Economy!$O$6:$O$92,MATCH(H$7,Economy!$A$6:$A$92,0))/1000</f>
        <v/>
      </c>
      <c r="I12" s="10">
        <f>INDEX(Economy!$O$6:$O$92,MATCH(I$7,Economy!$A$6:$A$92,0))/1000</f>
        <v/>
      </c>
      <c r="J12" s="10">
        <f>INDEX(Economy!$O$6:$O$92,MATCH(J$7,Economy!$A$6:$A$92,0))/1000</f>
        <v/>
      </c>
      <c r="K12" s="10">
        <f>INDEX(Economy!$O$6:$O$92,MATCH(K$7,Economy!$A$6:$A$92,0))/1000</f>
        <v/>
      </c>
      <c r="L12" s="10">
        <f>INDEX(Economy!$O$6:$O$92,MATCH(L$7,Economy!$A$6:$A$92,0))/1000</f>
        <v/>
      </c>
    </row>
    <row r="13">
      <c r="B13" s="9" t="inlineStr">
        <is>
          <t>GDP per resident vs the US</t>
        </is>
      </c>
      <c r="C13" s="10">
        <f>INDEX(Economy!$R$6:$R$92,MATCH(C$7,Economy!$A$6:$A$92,0))</f>
        <v/>
      </c>
      <c r="D13" s="10">
        <f>INDEX(Economy!$R$6:$R$92,MATCH(D$7,Economy!$A$6:$A$92,0))</f>
        <v/>
      </c>
      <c r="E13" s="10">
        <f>INDEX(Economy!$R$6:$R$92,MATCH(E$7,Economy!$A$6:$A$92,0))</f>
        <v/>
      </c>
      <c r="F13" s="10">
        <f>INDEX(Economy!$R$6:$R$92,MATCH(F$7,Economy!$A$6:$A$92,0))</f>
        <v/>
      </c>
      <c r="G13" s="10">
        <f>INDEX(Economy!$R$6:$R$92,MATCH(G$7,Economy!$A$6:$A$92,0))</f>
        <v/>
      </c>
      <c r="H13" s="10">
        <f>INDEX(Economy!$R$6:$R$92,MATCH(H$7,Economy!$A$6:$A$92,0))</f>
        <v/>
      </c>
      <c r="I13" s="10">
        <f>INDEX(Economy!$R$6:$R$92,MATCH(I$7,Economy!$A$6:$A$92,0))</f>
        <v/>
      </c>
      <c r="J13" s="10">
        <f>INDEX(Economy!$R$6:$R$92,MATCH(J$7,Economy!$A$6:$A$92,0))</f>
        <v/>
      </c>
      <c r="K13" s="10">
        <f>INDEX(Economy!$R$6:$R$92,MATCH(K$7,Economy!$A$6:$A$92,0))</f>
        <v/>
      </c>
      <c r="L13" s="10">
        <f>INDEX(Economy!$R$6:$R$92,MATCH(L$7,Economy!$A$6:$A$92,0))</f>
        <v/>
      </c>
    </row>
    <row r="14">
      <c r="B14" s="9" t="inlineStr">
        <is>
          <t>Development Fund investment ($m)</t>
        </is>
      </c>
      <c r="C14" s="12">
        <f>INDEX('Debt &amp; cash'!$N$6:$N$92,MATCH(C$7,'Debt &amp; cash'!$A$6:$A$92,0))</f>
        <v/>
      </c>
      <c r="D14" s="12">
        <f>INDEX('Debt &amp; cash'!$N$6:$N$92,MATCH(D$7,'Debt &amp; cash'!$A$6:$A$92,0))</f>
        <v/>
      </c>
      <c r="E14" s="12">
        <f>INDEX('Debt &amp; cash'!$N$6:$N$92,MATCH(E$7,'Debt &amp; cash'!$A$6:$A$92,0))</f>
        <v/>
      </c>
      <c r="F14" s="12">
        <f>INDEX('Debt &amp; cash'!$N$6:$N$92,MATCH(F$7,'Debt &amp; cash'!$A$6:$A$92,0))</f>
        <v/>
      </c>
      <c r="G14" s="12">
        <f>INDEX('Debt &amp; cash'!$N$6:$N$92,MATCH(G$7,'Debt &amp; cash'!$A$6:$A$92,0))</f>
        <v/>
      </c>
      <c r="H14" s="12">
        <f>INDEX('Debt &amp; cash'!$N$6:$N$92,MATCH(H$7,'Debt &amp; cash'!$A$6:$A$92,0))</f>
        <v/>
      </c>
      <c r="I14" s="12">
        <f>INDEX('Debt &amp; cash'!$N$6:$N$92,MATCH(I$7,'Debt &amp; cash'!$A$6:$A$92,0))</f>
        <v/>
      </c>
      <c r="J14" s="12">
        <f>INDEX('Debt &amp; cash'!$N$6:$N$92,MATCH(J$7,'Debt &amp; cash'!$A$6:$A$92,0))</f>
        <v/>
      </c>
      <c r="K14" s="12">
        <f>INDEX('Debt &amp; cash'!$N$6:$N$92,MATCH(K$7,'Debt &amp; cash'!$A$6:$A$92,0))</f>
        <v/>
      </c>
      <c r="L14" s="12">
        <f>INDEX('Debt &amp; cash'!$N$6:$N$92,MATCH(L$7,'Debt &amp; cash'!$A$6:$A$92,0))</f>
        <v/>
      </c>
    </row>
    <row r="15">
      <c r="B15" s="9" t="inlineStr">
        <is>
          <t>Oil output (m barrels)</t>
        </is>
      </c>
      <c r="C15" s="12">
        <f>INDEX(Resources!$K$6:$K$92,MATCH(C$7,Resources!$A$6:$A$92,0))</f>
        <v/>
      </c>
      <c r="D15" s="12">
        <f>INDEX(Resources!$K$6:$K$92,MATCH(D$7,Resources!$A$6:$A$92,0))</f>
        <v/>
      </c>
      <c r="E15" s="12">
        <f>INDEX(Resources!$K$6:$K$92,MATCH(E$7,Resources!$A$6:$A$92,0))</f>
        <v/>
      </c>
      <c r="F15" s="12">
        <f>INDEX(Resources!$K$6:$K$92,MATCH(F$7,Resources!$A$6:$A$92,0))</f>
        <v/>
      </c>
      <c r="G15" s="12">
        <f>INDEX(Resources!$K$6:$K$92,MATCH(G$7,Resources!$A$6:$A$92,0))</f>
        <v/>
      </c>
      <c r="H15" s="12">
        <f>INDEX(Resources!$K$6:$K$92,MATCH(H$7,Resources!$A$6:$A$92,0))</f>
        <v/>
      </c>
      <c r="I15" s="12">
        <f>INDEX(Resources!$K$6:$K$92,MATCH(I$7,Resources!$A$6:$A$92,0))</f>
        <v/>
      </c>
      <c r="J15" s="12">
        <f>INDEX(Resources!$K$6:$K$92,MATCH(J$7,Resources!$A$6:$A$92,0))</f>
        <v/>
      </c>
      <c r="K15" s="12">
        <f>INDEX(Resources!$K$6:$K$92,MATCH(K$7,Resources!$A$6:$A$92,0))</f>
        <v/>
      </c>
      <c r="L15" s="12">
        <f>INDEX(Resources!$K$6:$K$92,MATCH(L$7,Resources!$A$6:$A$92,0))</f>
        <v/>
      </c>
    </row>
    <row r="16">
      <c r="B16" s="9" t="inlineStr">
        <is>
          <t>National champions at home ($m)</t>
        </is>
      </c>
      <c r="C16" s="12">
        <f>INDEX(Champions!$AP$6:$AP$92,MATCH(C$7,Champions!$A$6:$A$92,0))</f>
        <v/>
      </c>
      <c r="D16" s="12">
        <f>INDEX(Champions!$AP$6:$AP$92,MATCH(D$7,Champions!$A$6:$A$92,0))</f>
        <v/>
      </c>
      <c r="E16" s="12">
        <f>INDEX(Champions!$AP$6:$AP$92,MATCH(E$7,Champions!$A$6:$A$92,0))</f>
        <v/>
      </c>
      <c r="F16" s="12">
        <f>INDEX(Champions!$AP$6:$AP$92,MATCH(F$7,Champions!$A$6:$A$92,0))</f>
        <v/>
      </c>
      <c r="G16" s="12">
        <f>INDEX(Champions!$AP$6:$AP$92,MATCH(G$7,Champions!$A$6:$A$92,0))</f>
        <v/>
      </c>
      <c r="H16" s="12">
        <f>INDEX(Champions!$AP$6:$AP$92,MATCH(H$7,Champions!$A$6:$A$92,0))</f>
        <v/>
      </c>
      <c r="I16" s="12">
        <f>INDEX(Champions!$AP$6:$AP$92,MATCH(I$7,Champions!$A$6:$A$92,0))</f>
        <v/>
      </c>
      <c r="J16" s="12">
        <f>INDEX(Champions!$AP$6:$AP$92,MATCH(J$7,Champions!$A$6:$A$92,0))</f>
        <v/>
      </c>
      <c r="K16" s="12">
        <f>INDEX(Champions!$AP$6:$AP$92,MATCH(K$7,Champions!$A$6:$A$92,0))</f>
        <v/>
      </c>
      <c r="L16" s="12">
        <f>INDEX(Champions!$AP$6:$AP$92,MATCH(L$7,Champions!$A$6:$A$92,0))</f>
        <v/>
      </c>
    </row>
    <row r="17">
      <c r="B17" s="9" t="inlineStr">
        <is>
          <t>Champions' assets abroad ($m)</t>
        </is>
      </c>
      <c r="C17" s="12">
        <f>INDEX(Champions!$AY$6:$AY$92,MATCH(C$7,Champions!$A$6:$A$92,0))</f>
        <v/>
      </c>
      <c r="D17" s="12">
        <f>INDEX(Champions!$AY$6:$AY$92,MATCH(D$7,Champions!$A$6:$A$92,0))</f>
        <v/>
      </c>
      <c r="E17" s="12">
        <f>INDEX(Champions!$AY$6:$AY$92,MATCH(E$7,Champions!$A$6:$A$92,0))</f>
        <v/>
      </c>
      <c r="F17" s="12">
        <f>INDEX(Champions!$AY$6:$AY$92,MATCH(F$7,Champions!$A$6:$A$92,0))</f>
        <v/>
      </c>
      <c r="G17" s="12">
        <f>INDEX(Champions!$AY$6:$AY$92,MATCH(G$7,Champions!$A$6:$A$92,0))</f>
        <v/>
      </c>
      <c r="H17" s="12">
        <f>INDEX(Champions!$AY$6:$AY$92,MATCH(H$7,Champions!$A$6:$A$92,0))</f>
        <v/>
      </c>
      <c r="I17" s="12">
        <f>INDEX(Champions!$AY$6:$AY$92,MATCH(I$7,Champions!$A$6:$A$92,0))</f>
        <v/>
      </c>
      <c r="J17" s="12">
        <f>INDEX(Champions!$AY$6:$AY$92,MATCH(J$7,Champions!$A$6:$A$92,0))</f>
        <v/>
      </c>
      <c r="K17" s="12">
        <f>INDEX(Champions!$AY$6:$AY$92,MATCH(K$7,Champions!$A$6:$A$92,0))</f>
        <v/>
      </c>
      <c r="L17" s="12">
        <f>INDEX(Champions!$AY$6:$AY$92,MATCH(L$7,Champions!$A$6:$A$92,0))</f>
        <v/>
      </c>
    </row>
    <row r="18">
      <c r="B18" s="9" t="inlineStr">
        <is>
          <t>Patents per resident vs the US</t>
        </is>
      </c>
      <c r="C18" s="13">
        <f>INDEX(Champions!$I$6:$I$92,MATCH(C$7,Champions!$A$6:$A$92,0))</f>
        <v/>
      </c>
      <c r="D18" s="13">
        <f>INDEX(Champions!$I$6:$I$92,MATCH(D$7,Champions!$A$6:$A$92,0))</f>
        <v/>
      </c>
      <c r="E18" s="13">
        <f>INDEX(Champions!$I$6:$I$92,MATCH(E$7,Champions!$A$6:$A$92,0))</f>
        <v/>
      </c>
      <c r="F18" s="13">
        <f>INDEX(Champions!$I$6:$I$92,MATCH(F$7,Champions!$A$6:$A$92,0))</f>
        <v/>
      </c>
      <c r="G18" s="13">
        <f>INDEX(Champions!$I$6:$I$92,MATCH(G$7,Champions!$A$6:$A$92,0))</f>
        <v/>
      </c>
      <c r="H18" s="13">
        <f>INDEX(Champions!$I$6:$I$92,MATCH(H$7,Champions!$A$6:$A$92,0))</f>
        <v/>
      </c>
      <c r="I18" s="13">
        <f>INDEX(Champions!$I$6:$I$92,MATCH(I$7,Champions!$A$6:$A$92,0))</f>
        <v/>
      </c>
      <c r="J18" s="13">
        <f>INDEX(Champions!$I$6:$I$92,MATCH(J$7,Champions!$A$6:$A$92,0))</f>
        <v/>
      </c>
      <c r="K18" s="13">
        <f>INDEX(Champions!$I$6:$I$92,MATCH(K$7,Champions!$A$6:$A$92,0))</f>
        <v/>
      </c>
      <c r="L18" s="13">
        <f>INDEX(Champions!$I$6:$I$92,MATCH(L$7,Champions!$A$6:$A$92,0))</f>
        <v/>
      </c>
    </row>
    <row r="19">
      <c r="B19" s="9" t="inlineStr">
        <is>
          <t>Extra arrivals drawn by the lead</t>
        </is>
      </c>
      <c r="C19" s="12">
        <f>INDEX(Labour!$AL$6:$AL$92,MATCH(C$7,Labour!$A$6:$A$92,0))</f>
        <v/>
      </c>
      <c r="D19" s="12">
        <f>INDEX(Labour!$AL$6:$AL$92,MATCH(D$7,Labour!$A$6:$A$92,0))</f>
        <v/>
      </c>
      <c r="E19" s="12">
        <f>INDEX(Labour!$AL$6:$AL$92,MATCH(E$7,Labour!$A$6:$A$92,0))</f>
        <v/>
      </c>
      <c r="F19" s="12">
        <f>INDEX(Labour!$AL$6:$AL$92,MATCH(F$7,Labour!$A$6:$A$92,0))</f>
        <v/>
      </c>
      <c r="G19" s="12">
        <f>INDEX(Labour!$AL$6:$AL$92,MATCH(G$7,Labour!$A$6:$A$92,0))</f>
        <v/>
      </c>
      <c r="H19" s="12">
        <f>INDEX(Labour!$AL$6:$AL$92,MATCH(H$7,Labour!$A$6:$A$92,0))</f>
        <v/>
      </c>
      <c r="I19" s="12">
        <f>INDEX(Labour!$AL$6:$AL$92,MATCH(I$7,Labour!$A$6:$A$92,0))</f>
        <v/>
      </c>
      <c r="J19" s="12">
        <f>INDEX(Labour!$AL$6:$AL$92,MATCH(J$7,Labour!$A$6:$A$92,0))</f>
        <v/>
      </c>
      <c r="K19" s="12">
        <f>INDEX(Labour!$AL$6:$AL$92,MATCH(K$7,Labour!$A$6:$A$92,0))</f>
        <v/>
      </c>
      <c r="L19" s="12">
        <f>INDEX(Labour!$AL$6:$AL$92,MATCH(L$7,Labour!$A$6:$A$92,0))</f>
        <v/>
      </c>
    </row>
    <row r="20">
      <c r="B20" s="9" t="inlineStr">
        <is>
          <t>Champion-related jobs / labour force</t>
        </is>
      </c>
      <c r="C20" s="11">
        <f>INDEX(Labour!$G$6:$G$92,MATCH(C$7,Labour!$A$6:$A$92,0))</f>
        <v/>
      </c>
      <c r="D20" s="11">
        <f>INDEX(Labour!$G$6:$G$92,MATCH(D$7,Labour!$A$6:$A$92,0))</f>
        <v/>
      </c>
      <c r="E20" s="11">
        <f>INDEX(Labour!$G$6:$G$92,MATCH(E$7,Labour!$A$6:$A$92,0))</f>
        <v/>
      </c>
      <c r="F20" s="11">
        <f>INDEX(Labour!$G$6:$G$92,MATCH(F$7,Labour!$A$6:$A$92,0))</f>
        <v/>
      </c>
      <c r="G20" s="11">
        <f>INDEX(Labour!$G$6:$G$92,MATCH(G$7,Labour!$A$6:$A$92,0))</f>
        <v/>
      </c>
      <c r="H20" s="11">
        <f>INDEX(Labour!$G$6:$G$92,MATCH(H$7,Labour!$A$6:$A$92,0))</f>
        <v/>
      </c>
      <c r="I20" s="11">
        <f>INDEX(Labour!$G$6:$G$92,MATCH(I$7,Labour!$A$6:$A$92,0))</f>
        <v/>
      </c>
      <c r="J20" s="11">
        <f>INDEX(Labour!$G$6:$G$92,MATCH(J$7,Labour!$A$6:$A$92,0))</f>
        <v/>
      </c>
      <c r="K20" s="11">
        <f>INDEX(Labour!$G$6:$G$92,MATCH(K$7,Labour!$A$6:$A$92,0))</f>
        <v/>
      </c>
      <c r="L20" s="11">
        <f>INDEX(Labour!$G$6:$G$92,MATCH(L$7,Labour!$A$6:$A$92,0))</f>
        <v/>
      </c>
    </row>
    <row r="21">
      <c r="B21" s="9" t="inlineStr">
        <is>
          <t>Union output lost to Pacifica</t>
        </is>
      </c>
      <c r="C21" s="14">
        <f>INDEX(Labour!$BL$6:$BL$92,MATCH(C$7,Labour!$A$6:$A$92,0))</f>
        <v/>
      </c>
      <c r="D21" s="14">
        <f>INDEX(Labour!$BL$6:$BL$92,MATCH(D$7,Labour!$A$6:$A$92,0))</f>
        <v/>
      </c>
      <c r="E21" s="14">
        <f>INDEX(Labour!$BL$6:$BL$92,MATCH(E$7,Labour!$A$6:$A$92,0))</f>
        <v/>
      </c>
      <c r="F21" s="14">
        <f>INDEX(Labour!$BL$6:$BL$92,MATCH(F$7,Labour!$A$6:$A$92,0))</f>
        <v/>
      </c>
      <c r="G21" s="14">
        <f>INDEX(Labour!$BL$6:$BL$92,MATCH(G$7,Labour!$A$6:$A$92,0))</f>
        <v/>
      </c>
      <c r="H21" s="14">
        <f>INDEX(Labour!$BL$6:$BL$92,MATCH(H$7,Labour!$A$6:$A$92,0))</f>
        <v/>
      </c>
      <c r="I21" s="14">
        <f>INDEX(Labour!$BL$6:$BL$92,MATCH(I$7,Labour!$A$6:$A$92,0))</f>
        <v/>
      </c>
      <c r="J21" s="14">
        <f>INDEX(Labour!$BL$6:$BL$92,MATCH(J$7,Labour!$A$6:$A$92,0))</f>
        <v/>
      </c>
      <c r="K21" s="14">
        <f>INDEX(Labour!$BL$6:$BL$92,MATCH(K$7,Labour!$A$6:$A$92,0))</f>
        <v/>
      </c>
      <c r="L21" s="14">
        <f>INDEX(Labour!$BL$6:$BL$92,MATCH(L$7,Labour!$A$6:$A$92,0))</f>
        <v/>
      </c>
    </row>
    <row r="22">
      <c r="B22" s="9" t="inlineStr">
        <is>
          <t>Union population (m)</t>
        </is>
      </c>
      <c r="C22" s="13">
        <f>INDEX(Labour!$AX$6:$AX$92,MATCH(C$7,Labour!$A$6:$A$92,0))</f>
        <v/>
      </c>
      <c r="D22" s="13">
        <f>INDEX(Labour!$AX$6:$AX$92,MATCH(D$7,Labour!$A$6:$A$92,0))</f>
        <v/>
      </c>
      <c r="E22" s="13">
        <f>INDEX(Labour!$AX$6:$AX$92,MATCH(E$7,Labour!$A$6:$A$92,0))</f>
        <v/>
      </c>
      <c r="F22" s="13">
        <f>INDEX(Labour!$AX$6:$AX$92,MATCH(F$7,Labour!$A$6:$A$92,0))</f>
        <v/>
      </c>
      <c r="G22" s="13">
        <f>INDEX(Labour!$AX$6:$AX$92,MATCH(G$7,Labour!$A$6:$A$92,0))</f>
        <v/>
      </c>
      <c r="H22" s="13">
        <f>INDEX(Labour!$AX$6:$AX$92,MATCH(H$7,Labour!$A$6:$A$92,0))</f>
        <v/>
      </c>
      <c r="I22" s="13">
        <f>INDEX(Labour!$AX$6:$AX$92,MATCH(I$7,Labour!$A$6:$A$92,0))</f>
        <v/>
      </c>
      <c r="J22" s="13">
        <f>INDEX(Labour!$AX$6:$AX$92,MATCH(J$7,Labour!$A$6:$A$92,0))</f>
        <v/>
      </c>
      <c r="K22" s="13">
        <f>INDEX(Labour!$AX$6:$AX$92,MATCH(K$7,Labour!$A$6:$A$92,0))</f>
        <v/>
      </c>
      <c r="L22" s="13">
        <f>INDEX(Labour!$AX$6:$AX$92,MATCH(L$7,Labour!$A$6:$A$92,0))</f>
        <v/>
      </c>
    </row>
    <row r="23">
      <c r="B23" s="9" t="inlineStr">
        <is>
          <t>Income from abroad ($m)</t>
        </is>
      </c>
      <c r="C23" s="12">
        <f>INDEX(Abroad!$M$6:$M$92,MATCH(C$7,Abroad!$A$6:$A$92,0))</f>
        <v/>
      </c>
      <c r="D23" s="12">
        <f>INDEX(Abroad!$M$6:$M$92,MATCH(D$7,Abroad!$A$6:$A$92,0))</f>
        <v/>
      </c>
      <c r="E23" s="12">
        <f>INDEX(Abroad!$M$6:$M$92,MATCH(E$7,Abroad!$A$6:$A$92,0))</f>
        <v/>
      </c>
      <c r="F23" s="12">
        <f>INDEX(Abroad!$M$6:$M$92,MATCH(F$7,Abroad!$A$6:$A$92,0))</f>
        <v/>
      </c>
      <c r="G23" s="12">
        <f>INDEX(Abroad!$M$6:$M$92,MATCH(G$7,Abroad!$A$6:$A$92,0))</f>
        <v/>
      </c>
      <c r="H23" s="12">
        <f>INDEX(Abroad!$M$6:$M$92,MATCH(H$7,Abroad!$A$6:$A$92,0))</f>
        <v/>
      </c>
      <c r="I23" s="12">
        <f>INDEX(Abroad!$M$6:$M$92,MATCH(I$7,Abroad!$A$6:$A$92,0))</f>
        <v/>
      </c>
      <c r="J23" s="12">
        <f>INDEX(Abroad!$M$6:$M$92,MATCH(J$7,Abroad!$A$6:$A$92,0))</f>
        <v/>
      </c>
      <c r="K23" s="12">
        <f>INDEX(Abroad!$M$6:$M$92,MATCH(K$7,Abroad!$A$6:$A$92,0))</f>
        <v/>
      </c>
      <c r="L23" s="12">
        <f>INDEX(Abroad!$M$6:$M$92,MATCH(L$7,Abroad!$A$6:$A$92,0))</f>
        <v/>
      </c>
    </row>
    <row r="24">
      <c r="B24" s="9" t="inlineStr">
        <is>
          <t>National income ($bn)</t>
        </is>
      </c>
      <c r="C24" s="10">
        <f>INDEX(Abroad!$P$6:$P$92,MATCH(C$7,Abroad!$A$6:$A$92,0))/1000</f>
        <v/>
      </c>
      <c r="D24" s="10">
        <f>INDEX(Abroad!$P$6:$P$92,MATCH(D$7,Abroad!$A$6:$A$92,0))/1000</f>
        <v/>
      </c>
      <c r="E24" s="10">
        <f>INDEX(Abroad!$P$6:$P$92,MATCH(E$7,Abroad!$A$6:$A$92,0))/1000</f>
        <v/>
      </c>
      <c r="F24" s="10">
        <f>INDEX(Abroad!$P$6:$P$92,MATCH(F$7,Abroad!$A$6:$A$92,0))/1000</f>
        <v/>
      </c>
      <c r="G24" s="10">
        <f>INDEX(Abroad!$P$6:$P$92,MATCH(G$7,Abroad!$A$6:$A$92,0))/1000</f>
        <v/>
      </c>
      <c r="H24" s="10">
        <f>INDEX(Abroad!$P$6:$P$92,MATCH(H$7,Abroad!$A$6:$A$92,0))/1000</f>
        <v/>
      </c>
      <c r="I24" s="10">
        <f>INDEX(Abroad!$P$6:$P$92,MATCH(I$7,Abroad!$A$6:$A$92,0))/1000</f>
        <v/>
      </c>
      <c r="J24" s="10">
        <f>INDEX(Abroad!$P$6:$P$92,MATCH(J$7,Abroad!$A$6:$A$92,0))/1000</f>
        <v/>
      </c>
      <c r="K24" s="10">
        <f>INDEX(Abroad!$P$6:$P$92,MATCH(K$7,Abroad!$A$6:$A$92,0))/1000</f>
        <v/>
      </c>
      <c r="L24" s="10">
        <f>INDEX(Abroad!$P$6:$P$92,MATCH(L$7,Abroad!$A$6:$A$92,0))/1000</f>
        <v/>
      </c>
    </row>
    <row r="25">
      <c r="B25" s="7" t="inlineStr">
        <is>
          <t>Treasury</t>
        </is>
      </c>
      <c r="C25" s="8" t="n"/>
      <c r="D25" s="8" t="n"/>
      <c r="E25" s="8" t="n"/>
      <c r="F25" s="8" t="n"/>
      <c r="G25" s="8" t="n"/>
      <c r="H25" s="8" t="n"/>
      <c r="I25" s="8" t="n"/>
      <c r="J25" s="8" t="n"/>
      <c r="K25" s="8" t="n"/>
      <c r="L25" s="8" t="n"/>
    </row>
    <row r="26">
      <c r="B26" s="9" t="inlineStr">
        <is>
          <t>Receipts ($m)</t>
        </is>
      </c>
      <c r="C26" s="12">
        <f>INDEX(Budget!$M$6:$M$92,MATCH(C$7,Budget!$A$6:$A$92,0))</f>
        <v/>
      </c>
      <c r="D26" s="12">
        <f>INDEX(Budget!$M$6:$M$92,MATCH(D$7,Budget!$A$6:$A$92,0))</f>
        <v/>
      </c>
      <c r="E26" s="12">
        <f>INDEX(Budget!$M$6:$M$92,MATCH(E$7,Budget!$A$6:$A$92,0))</f>
        <v/>
      </c>
      <c r="F26" s="12">
        <f>INDEX(Budget!$M$6:$M$92,MATCH(F$7,Budget!$A$6:$A$92,0))</f>
        <v/>
      </c>
      <c r="G26" s="12">
        <f>INDEX(Budget!$M$6:$M$92,MATCH(G$7,Budget!$A$6:$A$92,0))</f>
        <v/>
      </c>
      <c r="H26" s="12">
        <f>INDEX(Budget!$M$6:$M$92,MATCH(H$7,Budget!$A$6:$A$92,0))</f>
        <v/>
      </c>
      <c r="I26" s="12">
        <f>INDEX(Budget!$M$6:$M$92,MATCH(I$7,Budget!$A$6:$A$92,0))</f>
        <v/>
      </c>
      <c r="J26" s="12">
        <f>INDEX(Budget!$M$6:$M$92,MATCH(J$7,Budget!$A$6:$A$92,0))</f>
        <v/>
      </c>
      <c r="K26" s="12">
        <f>INDEX(Budget!$M$6:$M$92,MATCH(K$7,Budget!$A$6:$A$92,0))</f>
        <v/>
      </c>
      <c r="L26" s="12">
        <f>INDEX(Budget!$M$6:$M$92,MATCH(L$7,Budget!$A$6:$A$92,0))</f>
        <v/>
      </c>
    </row>
    <row r="27">
      <c r="B27" s="9" t="inlineStr">
        <is>
          <t>Crown share dividends ($m)</t>
        </is>
      </c>
      <c r="C27" s="12">
        <f>INDEX(Budget!$K$6:$K$92,MATCH(C$7,Budget!$A$6:$A$92,0))</f>
        <v/>
      </c>
      <c r="D27" s="12">
        <f>INDEX(Budget!$K$6:$K$92,MATCH(D$7,Budget!$A$6:$A$92,0))</f>
        <v/>
      </c>
      <c r="E27" s="12">
        <f>INDEX(Budget!$K$6:$K$92,MATCH(E$7,Budget!$A$6:$A$92,0))</f>
        <v/>
      </c>
      <c r="F27" s="12">
        <f>INDEX(Budget!$K$6:$K$92,MATCH(F$7,Budget!$A$6:$A$92,0))</f>
        <v/>
      </c>
      <c r="G27" s="12">
        <f>INDEX(Budget!$K$6:$K$92,MATCH(G$7,Budget!$A$6:$A$92,0))</f>
        <v/>
      </c>
      <c r="H27" s="12">
        <f>INDEX(Budget!$K$6:$K$92,MATCH(H$7,Budget!$A$6:$A$92,0))</f>
        <v/>
      </c>
      <c r="I27" s="12">
        <f>INDEX(Budget!$K$6:$K$92,MATCH(I$7,Budget!$A$6:$A$92,0))</f>
        <v/>
      </c>
      <c r="J27" s="12">
        <f>INDEX(Budget!$K$6:$K$92,MATCH(J$7,Budget!$A$6:$A$92,0))</f>
        <v/>
      </c>
      <c r="K27" s="12">
        <f>INDEX(Budget!$K$6:$K$92,MATCH(K$7,Budget!$A$6:$A$92,0))</f>
        <v/>
      </c>
      <c r="L27" s="12">
        <f>INDEX(Budget!$K$6:$K$92,MATCH(L$7,Budget!$A$6:$A$92,0))</f>
        <v/>
      </c>
    </row>
    <row r="28">
      <c r="B28" s="9" t="inlineStr">
        <is>
          <t>Guest-worker levy ($m)</t>
        </is>
      </c>
      <c r="C28" s="12">
        <f>INDEX(Budget!$J$6:$J$92,MATCH(C$7,Budget!$A$6:$A$92,0))</f>
        <v/>
      </c>
      <c r="D28" s="12">
        <f>INDEX(Budget!$J$6:$J$92,MATCH(D$7,Budget!$A$6:$A$92,0))</f>
        <v/>
      </c>
      <c r="E28" s="12">
        <f>INDEX(Budget!$J$6:$J$92,MATCH(E$7,Budget!$A$6:$A$92,0))</f>
        <v/>
      </c>
      <c r="F28" s="12">
        <f>INDEX(Budget!$J$6:$J$92,MATCH(F$7,Budget!$A$6:$A$92,0))</f>
        <v/>
      </c>
      <c r="G28" s="12">
        <f>INDEX(Budget!$J$6:$J$92,MATCH(G$7,Budget!$A$6:$A$92,0))</f>
        <v/>
      </c>
      <c r="H28" s="12">
        <f>INDEX(Budget!$J$6:$J$92,MATCH(H$7,Budget!$A$6:$A$92,0))</f>
        <v/>
      </c>
      <c r="I28" s="12">
        <f>INDEX(Budget!$J$6:$J$92,MATCH(I$7,Budget!$A$6:$A$92,0))</f>
        <v/>
      </c>
      <c r="J28" s="12">
        <f>INDEX(Budget!$J$6:$J$92,MATCH(J$7,Budget!$A$6:$A$92,0))</f>
        <v/>
      </c>
      <c r="K28" s="12">
        <f>INDEX(Budget!$J$6:$J$92,MATCH(K$7,Budget!$A$6:$A$92,0))</f>
        <v/>
      </c>
      <c r="L28" s="12">
        <f>INDEX(Budget!$J$6:$J$92,MATCH(L$7,Budget!$A$6:$A$92,0))</f>
        <v/>
      </c>
    </row>
    <row r="29">
      <c r="B29" s="9" t="inlineStr">
        <is>
          <t>Spending ($m)</t>
        </is>
      </c>
      <c r="C29" s="12">
        <f>INDEX(Budget!$Y$6:$Y$92,MATCH(C$7,Budget!$A$6:$A$92,0))</f>
        <v/>
      </c>
      <c r="D29" s="12">
        <f>INDEX(Budget!$Y$6:$Y$92,MATCH(D$7,Budget!$A$6:$A$92,0))</f>
        <v/>
      </c>
      <c r="E29" s="12">
        <f>INDEX(Budget!$Y$6:$Y$92,MATCH(E$7,Budget!$A$6:$A$92,0))</f>
        <v/>
      </c>
      <c r="F29" s="12">
        <f>INDEX(Budget!$Y$6:$Y$92,MATCH(F$7,Budget!$A$6:$A$92,0))</f>
        <v/>
      </c>
      <c r="G29" s="12">
        <f>INDEX(Budget!$Y$6:$Y$92,MATCH(G$7,Budget!$A$6:$A$92,0))</f>
        <v/>
      </c>
      <c r="H29" s="12">
        <f>INDEX(Budget!$Y$6:$Y$92,MATCH(H$7,Budget!$A$6:$A$92,0))</f>
        <v/>
      </c>
      <c r="I29" s="12">
        <f>INDEX(Budget!$Y$6:$Y$92,MATCH(I$7,Budget!$A$6:$A$92,0))</f>
        <v/>
      </c>
      <c r="J29" s="12">
        <f>INDEX(Budget!$Y$6:$Y$92,MATCH(J$7,Budget!$A$6:$A$92,0))</f>
        <v/>
      </c>
      <c r="K29" s="12">
        <f>INDEX(Budget!$Y$6:$Y$92,MATCH(K$7,Budget!$A$6:$A$92,0))</f>
        <v/>
      </c>
      <c r="L29" s="12">
        <f>INDEX(Budget!$Y$6:$Y$92,MATCH(L$7,Budget!$A$6:$A$92,0))</f>
        <v/>
      </c>
    </row>
    <row r="30">
      <c r="B30" s="9" t="inlineStr">
        <is>
          <t>Defence &amp; overseas / GDP</t>
        </is>
      </c>
      <c r="C30" s="14">
        <f>INDEX(Budget!$AC$6:$AC$92,MATCH(C$7,Budget!$A$6:$A$92,0))</f>
        <v/>
      </c>
      <c r="D30" s="14">
        <f>INDEX(Budget!$AC$6:$AC$92,MATCH(D$7,Budget!$A$6:$A$92,0))</f>
        <v/>
      </c>
      <c r="E30" s="14">
        <f>INDEX(Budget!$AC$6:$AC$92,MATCH(E$7,Budget!$A$6:$A$92,0))</f>
        <v/>
      </c>
      <c r="F30" s="14">
        <f>INDEX(Budget!$AC$6:$AC$92,MATCH(F$7,Budget!$A$6:$A$92,0))</f>
        <v/>
      </c>
      <c r="G30" s="14">
        <f>INDEX(Budget!$AC$6:$AC$92,MATCH(G$7,Budget!$A$6:$A$92,0))</f>
        <v/>
      </c>
      <c r="H30" s="14">
        <f>INDEX(Budget!$AC$6:$AC$92,MATCH(H$7,Budget!$A$6:$A$92,0))</f>
        <v/>
      </c>
      <c r="I30" s="14">
        <f>INDEX(Budget!$AC$6:$AC$92,MATCH(I$7,Budget!$A$6:$A$92,0))</f>
        <v/>
      </c>
      <c r="J30" s="14">
        <f>INDEX(Budget!$AC$6:$AC$92,MATCH(J$7,Budget!$A$6:$A$92,0))</f>
        <v/>
      </c>
      <c r="K30" s="14">
        <f>INDEX(Budget!$AC$6:$AC$92,MATCH(K$7,Budget!$A$6:$A$92,0))</f>
        <v/>
      </c>
      <c r="L30" s="14">
        <f>INDEX(Budget!$AC$6:$AC$92,MATCH(L$7,Budget!$A$6:$A$92,0))</f>
        <v/>
      </c>
    </row>
    <row r="31">
      <c r="B31" s="9" t="inlineStr">
        <is>
          <t>Public debt ($m)</t>
        </is>
      </c>
      <c r="C31" s="12">
        <f>INDEX('Debt &amp; cash'!$R$6:$R$92,MATCH(C$7,'Debt &amp; cash'!$A$6:$A$92,0))</f>
        <v/>
      </c>
      <c r="D31" s="12">
        <f>INDEX('Debt &amp; cash'!$R$6:$R$92,MATCH(D$7,'Debt &amp; cash'!$A$6:$A$92,0))</f>
        <v/>
      </c>
      <c r="E31" s="12">
        <f>INDEX('Debt &amp; cash'!$R$6:$R$92,MATCH(E$7,'Debt &amp; cash'!$A$6:$A$92,0))</f>
        <v/>
      </c>
      <c r="F31" s="12">
        <f>INDEX('Debt &amp; cash'!$R$6:$R$92,MATCH(F$7,'Debt &amp; cash'!$A$6:$A$92,0))</f>
        <v/>
      </c>
      <c r="G31" s="12">
        <f>INDEX('Debt &amp; cash'!$R$6:$R$92,MATCH(G$7,'Debt &amp; cash'!$A$6:$A$92,0))</f>
        <v/>
      </c>
      <c r="H31" s="12">
        <f>INDEX('Debt &amp; cash'!$R$6:$R$92,MATCH(H$7,'Debt &amp; cash'!$A$6:$A$92,0))</f>
        <v/>
      </c>
      <c r="I31" s="12">
        <f>INDEX('Debt &amp; cash'!$R$6:$R$92,MATCH(I$7,'Debt &amp; cash'!$A$6:$A$92,0))</f>
        <v/>
      </c>
      <c r="J31" s="12">
        <f>INDEX('Debt &amp; cash'!$R$6:$R$92,MATCH(J$7,'Debt &amp; cash'!$A$6:$A$92,0))</f>
        <v/>
      </c>
      <c r="K31" s="12">
        <f>INDEX('Debt &amp; cash'!$R$6:$R$92,MATCH(K$7,'Debt &amp; cash'!$A$6:$A$92,0))</f>
        <v/>
      </c>
      <c r="L31" s="12">
        <f>INDEX('Debt &amp; cash'!$R$6:$R$92,MATCH(L$7,'Debt &amp; cash'!$A$6:$A$92,0))</f>
        <v/>
      </c>
    </row>
    <row r="32">
      <c r="B32" s="9" t="inlineStr">
        <is>
          <t>Debt / GDP</t>
        </is>
      </c>
      <c r="C32" s="14">
        <f>INDEX('Debt &amp; cash'!$V$6:$V$92,MATCH(C$7,'Debt &amp; cash'!$A$6:$A$92,0))</f>
        <v/>
      </c>
      <c r="D32" s="14">
        <f>INDEX('Debt &amp; cash'!$V$6:$V$92,MATCH(D$7,'Debt &amp; cash'!$A$6:$A$92,0))</f>
        <v/>
      </c>
      <c r="E32" s="14">
        <f>INDEX('Debt &amp; cash'!$V$6:$V$92,MATCH(E$7,'Debt &amp; cash'!$A$6:$A$92,0))</f>
        <v/>
      </c>
      <c r="F32" s="14">
        <f>INDEX('Debt &amp; cash'!$V$6:$V$92,MATCH(F$7,'Debt &amp; cash'!$A$6:$A$92,0))</f>
        <v/>
      </c>
      <c r="G32" s="14">
        <f>INDEX('Debt &amp; cash'!$V$6:$V$92,MATCH(G$7,'Debt &amp; cash'!$A$6:$A$92,0))</f>
        <v/>
      </c>
      <c r="H32" s="14">
        <f>INDEX('Debt &amp; cash'!$V$6:$V$92,MATCH(H$7,'Debt &amp; cash'!$A$6:$A$92,0))</f>
        <v/>
      </c>
      <c r="I32" s="14">
        <f>INDEX('Debt &amp; cash'!$V$6:$V$92,MATCH(I$7,'Debt &amp; cash'!$A$6:$A$92,0))</f>
        <v/>
      </c>
      <c r="J32" s="14">
        <f>INDEX('Debt &amp; cash'!$V$6:$V$92,MATCH(J$7,'Debt &amp; cash'!$A$6:$A$92,0))</f>
        <v/>
      </c>
      <c r="K32" s="14">
        <f>INDEX('Debt &amp; cash'!$V$6:$V$92,MATCH(K$7,'Debt &amp; cash'!$A$6:$A$92,0))</f>
        <v/>
      </c>
      <c r="L32" s="14">
        <f>INDEX('Debt &amp; cash'!$V$6:$V$92,MATCH(L$7,'Debt &amp; cash'!$A$6:$A$92,0))</f>
        <v/>
      </c>
    </row>
    <row r="33">
      <c r="B33" s="9" t="inlineStr">
        <is>
          <t>Treasury Reserve Fund ($m)</t>
        </is>
      </c>
      <c r="C33" s="12">
        <f>INDEX('Debt &amp; cash'!$S$6:$S$92,MATCH(C$7,'Debt &amp; cash'!$A$6:$A$92,0))</f>
        <v/>
      </c>
      <c r="D33" s="12">
        <f>INDEX('Debt &amp; cash'!$S$6:$S$92,MATCH(D$7,'Debt &amp; cash'!$A$6:$A$92,0))</f>
        <v/>
      </c>
      <c r="E33" s="12">
        <f>INDEX('Debt &amp; cash'!$S$6:$S$92,MATCH(E$7,'Debt &amp; cash'!$A$6:$A$92,0))</f>
        <v/>
      </c>
      <c r="F33" s="12">
        <f>INDEX('Debt &amp; cash'!$S$6:$S$92,MATCH(F$7,'Debt &amp; cash'!$A$6:$A$92,0))</f>
        <v/>
      </c>
      <c r="G33" s="12">
        <f>INDEX('Debt &amp; cash'!$S$6:$S$92,MATCH(G$7,'Debt &amp; cash'!$A$6:$A$92,0))</f>
        <v/>
      </c>
      <c r="H33" s="12">
        <f>INDEX('Debt &amp; cash'!$S$6:$S$92,MATCH(H$7,'Debt &amp; cash'!$A$6:$A$92,0))</f>
        <v/>
      </c>
      <c r="I33" s="12">
        <f>INDEX('Debt &amp; cash'!$S$6:$S$92,MATCH(I$7,'Debt &amp; cash'!$A$6:$A$92,0))</f>
        <v/>
      </c>
      <c r="J33" s="12">
        <f>INDEX('Debt &amp; cash'!$S$6:$S$92,MATCH(J$7,'Debt &amp; cash'!$A$6:$A$92,0))</f>
        <v/>
      </c>
      <c r="K33" s="12">
        <f>INDEX('Debt &amp; cash'!$S$6:$S$92,MATCH(K$7,'Debt &amp; cash'!$A$6:$A$92,0))</f>
        <v/>
      </c>
      <c r="L33" s="12">
        <f>INDEX('Debt &amp; cash'!$S$6:$S$92,MATCH(L$7,'Debt &amp; cash'!$A$6:$A$92,0))</f>
        <v/>
      </c>
    </row>
    <row r="34">
      <c r="B34" s="9" t="inlineStr">
        <is>
          <t>Loans abroad outstanding ($m)</t>
        </is>
      </c>
      <c r="C34" s="12">
        <f>INDEX(Loans!$X$6:$X$92,MATCH(C$7,Loans!$A$6:$A$92,0))</f>
        <v/>
      </c>
      <c r="D34" s="12">
        <f>INDEX(Loans!$X$6:$X$92,MATCH(D$7,Loans!$A$6:$A$92,0))</f>
        <v/>
      </c>
      <c r="E34" s="12">
        <f>INDEX(Loans!$X$6:$X$92,MATCH(E$7,Loans!$A$6:$A$92,0))</f>
        <v/>
      </c>
      <c r="F34" s="12">
        <f>INDEX(Loans!$X$6:$X$92,MATCH(F$7,Loans!$A$6:$A$92,0))</f>
        <v/>
      </c>
      <c r="G34" s="12">
        <f>INDEX(Loans!$X$6:$X$92,MATCH(G$7,Loans!$A$6:$A$92,0))</f>
        <v/>
      </c>
      <c r="H34" s="12">
        <f>INDEX(Loans!$X$6:$X$92,MATCH(H$7,Loans!$A$6:$A$92,0))</f>
        <v/>
      </c>
      <c r="I34" s="12">
        <f>INDEX(Loans!$X$6:$X$92,MATCH(I$7,Loans!$A$6:$A$92,0))</f>
        <v/>
      </c>
      <c r="J34" s="12">
        <f>INDEX(Loans!$X$6:$X$92,MATCH(J$7,Loans!$A$6:$A$92,0))</f>
        <v/>
      </c>
      <c r="K34" s="12">
        <f>INDEX(Loans!$X$6:$X$92,MATCH(K$7,Loans!$A$6:$A$92,0))</f>
        <v/>
      </c>
      <c r="L34" s="12">
        <f>INDEX(Loans!$X$6:$X$92,MATCH(L$7,Loans!$A$6:$A$92,0))</f>
        <v/>
      </c>
    </row>
    <row r="35">
      <c r="B35" s="9" t="inlineStr">
        <is>
          <t>Monetary gold ($m)</t>
        </is>
      </c>
      <c r="C35" s="12">
        <f>INDEX('Gold &amp; money'!$F$6:$F$92,MATCH(C$7,'Gold &amp; money'!$A$6:$A$92,0))</f>
        <v/>
      </c>
      <c r="D35" s="12">
        <f>INDEX('Gold &amp; money'!$F$6:$F$92,MATCH(D$7,'Gold &amp; money'!$A$6:$A$92,0))</f>
        <v/>
      </c>
      <c r="E35" s="12">
        <f>INDEX('Gold &amp; money'!$F$6:$F$92,MATCH(E$7,'Gold &amp; money'!$A$6:$A$92,0))</f>
        <v/>
      </c>
      <c r="F35" s="12">
        <f>INDEX('Gold &amp; money'!$F$6:$F$92,MATCH(F$7,'Gold &amp; money'!$A$6:$A$92,0))</f>
        <v/>
      </c>
      <c r="G35" s="12">
        <f>INDEX('Gold &amp; money'!$F$6:$F$92,MATCH(G$7,'Gold &amp; money'!$A$6:$A$92,0))</f>
        <v/>
      </c>
      <c r="H35" s="12">
        <f>INDEX('Gold &amp; money'!$F$6:$F$92,MATCH(H$7,'Gold &amp; money'!$A$6:$A$92,0))</f>
        <v/>
      </c>
      <c r="I35" s="12">
        <f>INDEX('Gold &amp; money'!$F$6:$F$92,MATCH(I$7,'Gold &amp; money'!$A$6:$A$92,0))</f>
        <v/>
      </c>
      <c r="J35" s="12">
        <f>INDEX('Gold &amp; money'!$F$6:$F$92,MATCH(J$7,'Gold &amp; money'!$A$6:$A$92,0))</f>
        <v/>
      </c>
      <c r="K35" s="12">
        <f>INDEX('Gold &amp; money'!$F$6:$F$92,MATCH(K$7,'Gold &amp; money'!$A$6:$A$92,0))</f>
        <v/>
      </c>
      <c r="L35" s="12">
        <f>INDEX('Gold &amp; money'!$F$6:$F$92,MATCH(L$7,'Gold &amp; money'!$A$6:$A$92,0))</f>
        <v/>
      </c>
    </row>
    <row r="36">
      <c r="B36" s="7" t="inlineStr">
        <is>
          <t>Navy</t>
        </is>
      </c>
      <c r="C36" s="8" t="n"/>
      <c r="D36" s="8" t="n"/>
      <c r="E36" s="8" t="n"/>
      <c r="F36" s="8" t="n"/>
      <c r="G36" s="8" t="n"/>
      <c r="H36" s="8" t="n"/>
      <c r="I36" s="8" t="n"/>
      <c r="J36" s="8" t="n"/>
      <c r="K36" s="8" t="n"/>
      <c r="L36" s="8" t="n"/>
    </row>
    <row r="37">
      <c r="B37" s="9" t="inlineStr">
        <is>
          <t>Pacifica's navy bill ($m)</t>
        </is>
      </c>
      <c r="C37" s="12">
        <f>INDEX(Navy!$Y$6:$Y$92,MATCH(C$7,Navy!$A$6:$A$92,0))</f>
        <v/>
      </c>
      <c r="D37" s="12">
        <f>INDEX(Navy!$Y$6:$Y$92,MATCH(D$7,Navy!$A$6:$A$92,0))</f>
        <v/>
      </c>
      <c r="E37" s="12">
        <f>INDEX(Navy!$Y$6:$Y$92,MATCH(E$7,Navy!$A$6:$A$92,0))</f>
        <v/>
      </c>
      <c r="F37" s="12">
        <f>INDEX(Navy!$Y$6:$Y$92,MATCH(F$7,Navy!$A$6:$A$92,0))</f>
        <v/>
      </c>
      <c r="G37" s="12">
        <f>INDEX(Navy!$Y$6:$Y$92,MATCH(G$7,Navy!$A$6:$A$92,0))</f>
        <v/>
      </c>
      <c r="H37" s="12">
        <f>INDEX(Navy!$Y$6:$Y$92,MATCH(H$7,Navy!$A$6:$A$92,0))</f>
        <v/>
      </c>
      <c r="I37" s="12">
        <f>INDEX(Navy!$Y$6:$Y$92,MATCH(I$7,Navy!$A$6:$A$92,0))</f>
        <v/>
      </c>
      <c r="J37" s="12">
        <f>INDEX(Navy!$Y$6:$Y$92,MATCH(J$7,Navy!$A$6:$A$92,0))</f>
        <v/>
      </c>
      <c r="K37" s="12">
        <f>INDEX(Navy!$Y$6:$Y$92,MATCH(K$7,Navy!$A$6:$A$92,0))</f>
        <v/>
      </c>
      <c r="L37" s="12">
        <f>INDEX(Navy!$Y$6:$Y$92,MATCH(L$7,Navy!$A$6:$A$92,0))</f>
        <v/>
      </c>
    </row>
    <row r="38">
      <c r="B38" s="9" t="inlineStr">
        <is>
          <t>Ships in service</t>
        </is>
      </c>
      <c r="C38" s="12">
        <f>INDEX(Navy!$K$6:$K$92,MATCH(C$7,Navy!$A$6:$A$92,0))</f>
        <v/>
      </c>
      <c r="D38" s="12">
        <f>INDEX(Navy!$K$6:$K$92,MATCH(D$7,Navy!$A$6:$A$92,0))</f>
        <v/>
      </c>
      <c r="E38" s="12">
        <f>INDEX(Navy!$K$6:$K$92,MATCH(E$7,Navy!$A$6:$A$92,0))</f>
        <v/>
      </c>
      <c r="F38" s="12">
        <f>INDEX(Navy!$K$6:$K$92,MATCH(F$7,Navy!$A$6:$A$92,0))</f>
        <v/>
      </c>
      <c r="G38" s="12">
        <f>INDEX(Navy!$K$6:$K$92,MATCH(G$7,Navy!$A$6:$A$92,0))</f>
        <v/>
      </c>
      <c r="H38" s="12">
        <f>INDEX(Navy!$K$6:$K$92,MATCH(H$7,Navy!$A$6:$A$92,0))</f>
        <v/>
      </c>
      <c r="I38" s="12">
        <f>INDEX(Navy!$K$6:$K$92,MATCH(I$7,Navy!$A$6:$A$92,0))</f>
        <v/>
      </c>
      <c r="J38" s="12">
        <f>INDEX(Navy!$K$6:$K$92,MATCH(J$7,Navy!$A$6:$A$92,0))</f>
        <v/>
      </c>
      <c r="K38" s="12">
        <f>INDEX(Navy!$K$6:$K$92,MATCH(K$7,Navy!$A$6:$A$92,0))</f>
        <v/>
      </c>
      <c r="L38" s="12">
        <f>INDEX(Navy!$K$6:$K$92,MATCH(L$7,Navy!$A$6:$A$92,0))</f>
        <v/>
      </c>
    </row>
    <row r="39">
      <c r="B39" s="9" t="inlineStr">
        <is>
          <t>Capital ships: Pacifica</t>
        </is>
      </c>
      <c r="C39" s="15">
        <f>INDEX(Navy!$AA$6:$AA$92,MATCH(C$7,Navy!$A$6:$A$92,0))</f>
        <v/>
      </c>
      <c r="D39" s="15">
        <f>INDEX(Navy!$AA$6:$AA$92,MATCH(D$7,Navy!$A$6:$A$92,0))</f>
        <v/>
      </c>
      <c r="E39" s="15">
        <f>INDEX(Navy!$AA$6:$AA$92,MATCH(E$7,Navy!$A$6:$A$92,0))</f>
        <v/>
      </c>
      <c r="F39" s="15">
        <f>INDEX(Navy!$AA$6:$AA$92,MATCH(F$7,Navy!$A$6:$A$92,0))</f>
        <v/>
      </c>
      <c r="G39" s="15">
        <f>INDEX(Navy!$AA$6:$AA$92,MATCH(G$7,Navy!$A$6:$A$92,0))</f>
        <v/>
      </c>
      <c r="H39" s="15">
        <f>INDEX(Navy!$AA$6:$AA$92,MATCH(H$7,Navy!$A$6:$A$92,0))</f>
        <v/>
      </c>
      <c r="I39" s="15">
        <f>INDEX(Navy!$AA$6:$AA$92,MATCH(I$7,Navy!$A$6:$A$92,0))</f>
        <v/>
      </c>
      <c r="J39" s="15">
        <f>INDEX(Navy!$AA$6:$AA$92,MATCH(J$7,Navy!$A$6:$A$92,0))</f>
        <v/>
      </c>
      <c r="K39" s="15">
        <f>INDEX(Navy!$AA$6:$AA$92,MATCH(K$7,Navy!$A$6:$A$92,0))</f>
        <v/>
      </c>
      <c r="L39" s="15">
        <f>INDEX(Navy!$AA$6:$AA$92,MATCH(L$7,Navy!$A$6:$A$92,0))</f>
        <v/>
      </c>
    </row>
    <row r="40">
      <c r="B40" s="9" t="inlineStr">
        <is>
          <t>Capital ships: Pacifica + Japan / Britain</t>
        </is>
      </c>
      <c r="C40" s="10">
        <f>INDEX(Navy!$AE$6:$AE$92,MATCH(C$7,Navy!$A$6:$A$92,0))</f>
        <v/>
      </c>
      <c r="D40" s="10">
        <f>INDEX(Navy!$AE$6:$AE$92,MATCH(D$7,Navy!$A$6:$A$92,0))</f>
        <v/>
      </c>
      <c r="E40" s="10">
        <f>INDEX(Navy!$AE$6:$AE$92,MATCH(E$7,Navy!$A$6:$A$92,0))</f>
        <v/>
      </c>
      <c r="F40" s="10">
        <f>INDEX(Navy!$AE$6:$AE$92,MATCH(F$7,Navy!$A$6:$A$92,0))</f>
        <v/>
      </c>
      <c r="G40" s="10">
        <f>INDEX(Navy!$AE$6:$AE$92,MATCH(G$7,Navy!$A$6:$A$92,0))</f>
        <v/>
      </c>
      <c r="H40" s="10">
        <f>INDEX(Navy!$AE$6:$AE$92,MATCH(H$7,Navy!$A$6:$A$92,0))</f>
        <v/>
      </c>
      <c r="I40" s="10">
        <f>INDEX(Navy!$AE$6:$AE$92,MATCH(I$7,Navy!$A$6:$A$92,0))</f>
        <v/>
      </c>
      <c r="J40" s="10">
        <f>INDEX(Navy!$AE$6:$AE$92,MATCH(J$7,Navy!$A$6:$A$92,0))</f>
        <v/>
      </c>
      <c r="K40" s="10">
        <f>INDEX(Navy!$AE$6:$AE$92,MATCH(K$7,Navy!$A$6:$A$92,0))</f>
        <v/>
      </c>
      <c r="L40" s="10">
        <f>INDEX(Navy!$AE$6:$AE$92,MATCH(L$7,Navy!$A$6:$A$92,0))</f>
        <v/>
      </c>
    </row>
    <row r="41">
      <c r="B41" s="9" t="inlineStr">
        <is>
          <t>Sailors saved by oil firing</t>
        </is>
      </c>
      <c r="C41" s="12">
        <f>INDEX(Navy!$O$6:$O$92,MATCH(C$7,Navy!$A$6:$A$92,0))</f>
        <v/>
      </c>
      <c r="D41" s="12">
        <f>INDEX(Navy!$O$6:$O$92,MATCH(D$7,Navy!$A$6:$A$92,0))</f>
        <v/>
      </c>
      <c r="E41" s="12">
        <f>INDEX(Navy!$O$6:$O$92,MATCH(E$7,Navy!$A$6:$A$92,0))</f>
        <v/>
      </c>
      <c r="F41" s="12">
        <f>INDEX(Navy!$O$6:$O$92,MATCH(F$7,Navy!$A$6:$A$92,0))</f>
        <v/>
      </c>
      <c r="G41" s="12">
        <f>INDEX(Navy!$O$6:$O$92,MATCH(G$7,Navy!$A$6:$A$92,0))</f>
        <v/>
      </c>
      <c r="H41" s="12">
        <f>INDEX(Navy!$O$6:$O$92,MATCH(H$7,Navy!$A$6:$A$92,0))</f>
        <v/>
      </c>
      <c r="I41" s="12">
        <f>INDEX(Navy!$O$6:$O$92,MATCH(I$7,Navy!$A$6:$A$92,0))</f>
        <v/>
      </c>
      <c r="J41" s="12">
        <f>INDEX(Navy!$O$6:$O$92,MATCH(J$7,Navy!$A$6:$A$92,0))</f>
        <v/>
      </c>
      <c r="K41" s="12">
        <f>INDEX(Navy!$O$6:$O$92,MATCH(K$7,Navy!$A$6:$A$92,0))</f>
        <v/>
      </c>
      <c r="L41" s="12">
        <f>INDEX(Navy!$O$6:$O$92,MATCH(L$7,Navy!$A$6:$A$92,0))</f>
        <v/>
      </c>
    </row>
    <row r="42">
      <c r="B42" s="7" t="inlineStr">
        <is>
          <t>Japan</t>
        </is>
      </c>
      <c r="C42" s="8" t="n"/>
      <c r="D42" s="8" t="n"/>
      <c r="E42" s="8" t="n"/>
      <c r="F42" s="8" t="n"/>
      <c r="G42" s="8" t="n"/>
      <c r="H42" s="8" t="n"/>
      <c r="I42" s="8" t="n"/>
      <c r="J42" s="8" t="n"/>
      <c r="K42" s="8" t="n"/>
      <c r="L42" s="8" t="n"/>
    </row>
    <row r="43">
      <c r="B43" s="9" t="inlineStr">
        <is>
          <t>Japan GDP ($bn)</t>
        </is>
      </c>
      <c r="C43" s="10">
        <f>INDEX(Japan!$D$6:$D$92,MATCH(C$7,Japan!$A$6:$A$92,0))/1000</f>
        <v/>
      </c>
      <c r="D43" s="10">
        <f>INDEX(Japan!$D$6:$D$92,MATCH(D$7,Japan!$A$6:$A$92,0))/1000</f>
        <v/>
      </c>
      <c r="E43" s="10">
        <f>INDEX(Japan!$D$6:$D$92,MATCH(E$7,Japan!$A$6:$A$92,0))/1000</f>
        <v/>
      </c>
      <c r="F43" s="10">
        <f>INDEX(Japan!$D$6:$D$92,MATCH(F$7,Japan!$A$6:$A$92,0))/1000</f>
        <v/>
      </c>
      <c r="G43" s="10">
        <f>INDEX(Japan!$D$6:$D$92,MATCH(G$7,Japan!$A$6:$A$92,0))/1000</f>
        <v/>
      </c>
      <c r="H43" s="10">
        <f>INDEX(Japan!$D$6:$D$92,MATCH(H$7,Japan!$A$6:$A$92,0))/1000</f>
        <v/>
      </c>
      <c r="I43" s="10">
        <f>INDEX(Japan!$D$6:$D$92,MATCH(I$7,Japan!$A$6:$A$92,0))/1000</f>
        <v/>
      </c>
      <c r="J43" s="10">
        <f>INDEX(Japan!$D$6:$D$92,MATCH(J$7,Japan!$A$6:$A$92,0))/1000</f>
        <v/>
      </c>
      <c r="K43" s="10">
        <f>INDEX(Japan!$D$6:$D$92,MATCH(K$7,Japan!$A$6:$A$92,0))/1000</f>
        <v/>
      </c>
      <c r="L43" s="10">
        <f>INDEX(Japan!$D$6:$D$92,MATCH(L$7,Japan!$A$6:$A$92,0))/1000</f>
        <v/>
      </c>
    </row>
    <row r="44">
      <c r="B44" s="9" t="inlineStr">
        <is>
          <t>Japan output per person vs the US</t>
        </is>
      </c>
      <c r="C44" s="10">
        <f>INDEX(Partners!$J$6:$J$92,MATCH(C$7,Partners!$A$6:$A$92,0))</f>
        <v/>
      </c>
      <c r="D44" s="10">
        <f>INDEX(Partners!$J$6:$J$92,MATCH(D$7,Partners!$A$6:$A$92,0))</f>
        <v/>
      </c>
      <c r="E44" s="10">
        <f>INDEX(Partners!$J$6:$J$92,MATCH(E$7,Partners!$A$6:$A$92,0))</f>
        <v/>
      </c>
      <c r="F44" s="10">
        <f>INDEX(Partners!$J$6:$J$92,MATCH(F$7,Partners!$A$6:$A$92,0))</f>
        <v/>
      </c>
      <c r="G44" s="10">
        <f>INDEX(Partners!$J$6:$J$92,MATCH(G$7,Partners!$A$6:$A$92,0))</f>
        <v/>
      </c>
      <c r="H44" s="10">
        <f>INDEX(Partners!$J$6:$J$92,MATCH(H$7,Partners!$A$6:$A$92,0))</f>
        <v/>
      </c>
      <c r="I44" s="10">
        <f>INDEX(Partners!$J$6:$J$92,MATCH(I$7,Partners!$A$6:$A$92,0))</f>
        <v/>
      </c>
      <c r="J44" s="10">
        <f>INDEX(Partners!$J$6:$J$92,MATCH(J$7,Partners!$A$6:$A$92,0))</f>
        <v/>
      </c>
      <c r="K44" s="10">
        <f>INDEX(Partners!$J$6:$J$92,MATCH(K$7,Partners!$A$6:$A$92,0))</f>
        <v/>
      </c>
      <c r="L44" s="10">
        <f>INDEX(Partners!$J$6:$J$92,MATCH(L$7,Partners!$A$6:$A$92,0))</f>
        <v/>
      </c>
    </row>
    <row r="45">
      <c r="B45" s="9" t="inlineStr">
        <is>
          <t>Partners' output vs history</t>
        </is>
      </c>
      <c r="C45" s="10">
        <f>INDEX(Partners!$CA$6:$CA$92,MATCH(C$7,Partners!$A$6:$A$92,0))</f>
        <v/>
      </c>
      <c r="D45" s="10">
        <f>INDEX(Partners!$CA$6:$CA$92,MATCH(D$7,Partners!$A$6:$A$92,0))</f>
        <v/>
      </c>
      <c r="E45" s="10">
        <f>INDEX(Partners!$CA$6:$CA$92,MATCH(E$7,Partners!$A$6:$A$92,0))</f>
        <v/>
      </c>
      <c r="F45" s="10">
        <f>INDEX(Partners!$CA$6:$CA$92,MATCH(F$7,Partners!$A$6:$A$92,0))</f>
        <v/>
      </c>
      <c r="G45" s="10">
        <f>INDEX(Partners!$CA$6:$CA$92,MATCH(G$7,Partners!$A$6:$A$92,0))</f>
        <v/>
      </c>
      <c r="H45" s="10">
        <f>INDEX(Partners!$CA$6:$CA$92,MATCH(H$7,Partners!$A$6:$A$92,0))</f>
        <v/>
      </c>
      <c r="I45" s="10">
        <f>INDEX(Partners!$CA$6:$CA$92,MATCH(I$7,Partners!$A$6:$A$92,0))</f>
        <v/>
      </c>
      <c r="J45" s="10">
        <f>INDEX(Partners!$CA$6:$CA$92,MATCH(J$7,Partners!$A$6:$A$92,0))</f>
        <v/>
      </c>
      <c r="K45" s="10">
        <f>INDEX(Partners!$CA$6:$CA$92,MATCH(K$7,Partners!$A$6:$A$92,0))</f>
        <v/>
      </c>
      <c r="L45" s="10">
        <f>INDEX(Partners!$CA$6:$CA$92,MATCH(L$7,Partners!$A$6:$A$92,0))</f>
        <v/>
      </c>
    </row>
    <row r="46">
      <c r="B46" s="9" t="inlineStr">
        <is>
          <t>Champions' markets abroad vs history</t>
        </is>
      </c>
      <c r="C46" s="10">
        <f>INDEX(Partners!$BW$6:$BW$92,MATCH(C$7,Partners!$A$6:$A$92,0))</f>
        <v/>
      </c>
      <c r="D46" s="10">
        <f>INDEX(Partners!$BW$6:$BW$92,MATCH(D$7,Partners!$A$6:$A$92,0))</f>
        <v/>
      </c>
      <c r="E46" s="10">
        <f>INDEX(Partners!$BW$6:$BW$92,MATCH(E$7,Partners!$A$6:$A$92,0))</f>
        <v/>
      </c>
      <c r="F46" s="10">
        <f>INDEX(Partners!$BW$6:$BW$92,MATCH(F$7,Partners!$A$6:$A$92,0))</f>
        <v/>
      </c>
      <c r="G46" s="10">
        <f>INDEX(Partners!$BW$6:$BW$92,MATCH(G$7,Partners!$A$6:$A$92,0))</f>
        <v/>
      </c>
      <c r="H46" s="10">
        <f>INDEX(Partners!$BW$6:$BW$92,MATCH(H$7,Partners!$A$6:$A$92,0))</f>
        <v/>
      </c>
      <c r="I46" s="10">
        <f>INDEX(Partners!$BW$6:$BW$92,MATCH(I$7,Partners!$A$6:$A$92,0))</f>
        <v/>
      </c>
      <c r="J46" s="10">
        <f>INDEX(Partners!$BW$6:$BW$92,MATCH(J$7,Partners!$A$6:$A$92,0))</f>
        <v/>
      </c>
      <c r="K46" s="10">
        <f>INDEX(Partners!$BW$6:$BW$92,MATCH(K$7,Partners!$A$6:$A$92,0))</f>
        <v/>
      </c>
      <c r="L46" s="10">
        <f>INDEX(Partners!$BW$6:$BW$92,MATCH(L$7,Partners!$A$6:$A$92,0))</f>
        <v/>
      </c>
    </row>
    <row r="47">
      <c r="B47" s="9" t="inlineStr">
        <is>
          <t>Japan debt / GDP</t>
        </is>
      </c>
      <c r="C47" s="11">
        <f>INDEX(Japan!$AA$6:$AA$92,MATCH(C$7,Japan!$A$6:$A$92,0))</f>
        <v/>
      </c>
      <c r="D47" s="11">
        <f>INDEX(Japan!$AA$6:$AA$92,MATCH(D$7,Japan!$A$6:$A$92,0))</f>
        <v/>
      </c>
      <c r="E47" s="11">
        <f>INDEX(Japan!$AA$6:$AA$92,MATCH(E$7,Japan!$A$6:$A$92,0))</f>
        <v/>
      </c>
      <c r="F47" s="11">
        <f>INDEX(Japan!$AA$6:$AA$92,MATCH(F$7,Japan!$A$6:$A$92,0))</f>
        <v/>
      </c>
      <c r="G47" s="11">
        <f>INDEX(Japan!$AA$6:$AA$92,MATCH(G$7,Japan!$A$6:$A$92,0))</f>
        <v/>
      </c>
      <c r="H47" s="11">
        <f>INDEX(Japan!$AA$6:$AA$92,MATCH(H$7,Japan!$A$6:$A$92,0))</f>
        <v/>
      </c>
      <c r="I47" s="11">
        <f>INDEX(Japan!$AA$6:$AA$92,MATCH(I$7,Japan!$A$6:$A$92,0))</f>
        <v/>
      </c>
      <c r="J47" s="11">
        <f>INDEX(Japan!$AA$6:$AA$92,MATCH(J$7,Japan!$A$6:$A$92,0))</f>
        <v/>
      </c>
      <c r="K47" s="11">
        <f>INDEX(Japan!$AA$6:$AA$92,MATCH(K$7,Japan!$A$6:$A$92,0))</f>
        <v/>
      </c>
      <c r="L47" s="11">
        <f>INDEX(Japan!$AA$6:$AA$92,MATCH(L$7,Japan!$A$6:$A$92,0))</f>
        <v/>
      </c>
    </row>
    <row r="48">
      <c r="B48" s="7" t="inlineStr">
        <is>
          <t>Checks</t>
        </is>
      </c>
      <c r="C48" s="8" t="n"/>
      <c r="D48" s="8" t="n"/>
      <c r="E48" s="8" t="n"/>
      <c r="F48" s="8" t="n"/>
      <c r="G48" s="8" t="n"/>
      <c r="H48" s="8" t="n"/>
      <c r="I48" s="8" t="n"/>
      <c r="J48" s="8" t="n"/>
      <c r="K48" s="8" t="n"/>
      <c r="L48" s="8" t="n"/>
    </row>
    <row r="49">
      <c r="B49" s="9" t="inlineStr">
        <is>
          <t>Problems that year</t>
        </is>
      </c>
      <c r="C49" s="15">
        <f>INDEX(Checks!$S$6:$S$92,MATCH(C$7,Checks!$A$6:$A$92,0))</f>
        <v/>
      </c>
      <c r="D49" s="15">
        <f>INDEX(Checks!$S$6:$S$92,MATCH(D$7,Checks!$A$6:$A$92,0))</f>
        <v/>
      </c>
      <c r="E49" s="15">
        <f>INDEX(Checks!$S$6:$S$92,MATCH(E$7,Checks!$A$6:$A$92,0))</f>
        <v/>
      </c>
      <c r="F49" s="15">
        <f>INDEX(Checks!$S$6:$S$92,MATCH(F$7,Checks!$A$6:$A$92,0))</f>
        <v/>
      </c>
      <c r="G49" s="15">
        <f>INDEX(Checks!$S$6:$S$92,MATCH(G$7,Checks!$A$6:$A$92,0))</f>
        <v/>
      </c>
      <c r="H49" s="15">
        <f>INDEX(Checks!$S$6:$S$92,MATCH(H$7,Checks!$A$6:$A$92,0))</f>
        <v/>
      </c>
      <c r="I49" s="15">
        <f>INDEX(Checks!$S$6:$S$92,MATCH(I$7,Checks!$A$6:$A$92,0))</f>
        <v/>
      </c>
      <c r="J49" s="15">
        <f>INDEX(Checks!$S$6:$S$92,MATCH(J$7,Checks!$A$6:$A$92,0))</f>
        <v/>
      </c>
      <c r="K49" s="15">
        <f>INDEX(Checks!$S$6:$S$92,MATCH(K$7,Checks!$A$6:$A$92,0))</f>
        <v/>
      </c>
      <c r="L49" s="15">
        <f>INDEX(Checks!$S$6:$S$92,MATCH(L$7,Checks!$A$6:$A$92,0))</f>
        <v/>
      </c>
    </row>
    <row r="51">
      <c r="B51" s="7" t="inlineStr">
        <is>
          <t>World in 1929 and 1932 ($bn)</t>
        </is>
      </c>
      <c r="C51" s="8" t="n"/>
      <c r="D51" s="8" t="n"/>
      <c r="E51" s="8" t="n"/>
      <c r="F51" s="8" t="n"/>
    </row>
    <row r="52">
      <c r="C52" s="6" t="n">
        <v>1913</v>
      </c>
      <c r="D52" s="6" t="n">
        <v>1929</v>
      </c>
      <c r="E52" s="6" t="n">
        <v>1932</v>
      </c>
    </row>
    <row r="53">
      <c r="B53" s="9" t="inlineStr">
        <is>
          <t>Pacifica</t>
        </is>
      </c>
      <c r="C53" s="16">
        <f>World!E6</f>
        <v/>
      </c>
      <c r="D53" s="16">
        <f>World!F6</f>
        <v/>
      </c>
      <c r="E53" s="16">
        <f>World!G6</f>
        <v/>
      </c>
    </row>
    <row r="54">
      <c r="B54" s="3" t="inlineStr">
        <is>
          <t>Pacifica + Japan</t>
        </is>
      </c>
      <c r="C54" s="16">
        <f>World!E8</f>
        <v/>
      </c>
      <c r="D54" s="16">
        <f>World!F8</f>
        <v/>
      </c>
      <c r="E54" s="16">
        <f>World!G8</f>
        <v/>
      </c>
    </row>
    <row r="55">
      <c r="B55" s="3" t="inlineStr">
        <is>
          <t>The Pacific order</t>
        </is>
      </c>
      <c r="C55" s="16">
        <f>World!E12</f>
        <v/>
      </c>
      <c r="D55" s="16">
        <f>World!F12</f>
        <v/>
      </c>
      <c r="E55" s="16">
        <f>World!G12</f>
        <v/>
      </c>
    </row>
    <row r="56">
      <c r="B56" s="9" t="inlineStr">
        <is>
          <t>The Union</t>
        </is>
      </c>
      <c r="C56" s="16">
        <f>World!E13</f>
        <v/>
      </c>
      <c r="D56" s="16">
        <f>World!F13</f>
        <v/>
      </c>
      <c r="E56" s="16">
        <f>World!G13</f>
        <v/>
      </c>
    </row>
    <row r="57">
      <c r="B57" s="9" t="inlineStr">
        <is>
          <t>Britain</t>
        </is>
      </c>
      <c r="C57" s="16">
        <f>World!E15</f>
        <v/>
      </c>
      <c r="D57" s="16">
        <f>World!F15</f>
        <v/>
      </c>
      <c r="E57" s="16">
        <f>World!G15</f>
        <v/>
      </c>
    </row>
    <row r="58">
      <c r="B58" s="9" t="inlineStr">
        <is>
          <t>Germany</t>
        </is>
      </c>
      <c r="C58" s="16">
        <f>World!E16</f>
        <v/>
      </c>
      <c r="D58" s="16">
        <f>World!F16</f>
        <v/>
      </c>
      <c r="E58" s="16">
        <f>World!G16</f>
        <v/>
      </c>
    </row>
    <row r="60">
      <c r="B60" s="7" t="inlineStr">
        <is>
          <t>How to read the workbook</t>
        </is>
      </c>
      <c r="C60" s="8" t="n"/>
      <c r="D60" s="8" t="n"/>
      <c r="E60" s="8" t="n"/>
      <c r="F60" s="8" t="n"/>
      <c r="G60" s="8" t="n"/>
      <c r="H60" s="8" t="n"/>
      <c r="I60" s="8" t="n"/>
      <c r="J60" s="8" t="n"/>
      <c r="K60" s="8" t="n"/>
      <c r="L60" s="8" t="n"/>
    </row>
    <row r="61">
      <c r="B61" s="17" t="inlineStr">
        <is>
          <t>Levers</t>
        </is>
      </c>
      <c r="C61" s="9" t="inlineStr">
        <is>
          <t>Every scalar assumption, story and stress values side by side, with canon status.</t>
        </is>
      </c>
    </row>
    <row r="62">
      <c r="B62" s="17" t="inlineStr">
        <is>
          <t>Events</t>
        </is>
      </c>
      <c r="C62" s="9" t="inlineStr">
        <is>
          <t>The story ledger: each dated commitment with its cost, category, canon status and section.</t>
        </is>
      </c>
    </row>
    <row r="63">
      <c r="B63" s="17" t="inlineStr">
        <is>
          <t>Paths</t>
        </is>
      </c>
      <c r="C63" s="9" t="inlineStr">
        <is>
          <t>Year-by-year inputs: prices, migration, growth, tax rates, army size, loan terms.</t>
        </is>
      </c>
    </row>
    <row r="64">
      <c r="B64" s="17" t="inlineStr">
        <is>
          <t>People</t>
        </is>
      </c>
      <c r="C64" s="9" t="inlineStr">
        <is>
          <t>Residents: births, territory and four migration streams; Asian-origin residents.</t>
        </is>
      </c>
    </row>
    <row r="65">
      <c r="B65" s="17" t="inlineStr">
        <is>
          <t>Economy</t>
        </is>
      </c>
      <c r="C65" s="9" t="inlineStr">
        <is>
          <t>GDP from residents, productivity, slumps, prices, mining and oil; benchmark against the US.</t>
        </is>
      </c>
    </row>
    <row r="66">
      <c r="B66" s="17" t="inlineStr">
        <is>
          <t>Resources</t>
        </is>
      </c>
      <c r="C66" s="9" t="inlineStr">
        <is>
          <t>Gold, metals and oil, and the royalties the state takes.</t>
        </is>
      </c>
    </row>
    <row r="67">
      <c r="B67" s="17" t="inlineStr">
        <is>
          <t>Budget</t>
        </is>
      </c>
      <c r="C67" s="9" t="inlineStr">
        <is>
          <t>Treasury receipts and spending.</t>
        </is>
      </c>
    </row>
    <row r="68">
      <c r="B68" s="17" t="inlineStr">
        <is>
          <t>Debt &amp; cash</t>
        </is>
      </c>
      <c r="C68" s="9" t="inlineStr">
        <is>
          <t>How each year is financed: cash, Reserve Fund, bonds.</t>
        </is>
      </c>
    </row>
    <row r="69">
      <c r="B69" s="17" t="inlineStr">
        <is>
          <t>Loans</t>
        </is>
      </c>
      <c r="C69" s="9" t="inlineStr">
        <is>
          <t>Public loans to the Union, the Confederacy, Japan, China and the Entente.</t>
        </is>
      </c>
    </row>
    <row r="70">
      <c r="B70" s="17" t="inlineStr">
        <is>
          <t>Gold &amp; money</t>
        </is>
      </c>
      <c r="C70" s="9" t="inlineStr">
        <is>
          <t>Monetary gold against the 40% cover rule.</t>
        </is>
      </c>
    </row>
    <row r="71">
      <c r="B71" s="17" t="inlineStr">
        <is>
          <t>Navy plan</t>
        </is>
      </c>
      <c r="C71" s="9" t="inlineStr">
        <is>
          <t>Ships completed each year and their unit costs: edit these to change the fleet.</t>
        </is>
      </c>
    </row>
    <row r="72">
      <c r="B72" s="17" t="inlineStr">
        <is>
          <t>Navy</t>
        </is>
      </c>
      <c r="C72" s="9" t="inlineStr">
        <is>
          <t>Fleet in service, cost, sailors and fuel saved by oil, capital-ship parity.</t>
        </is>
      </c>
    </row>
    <row r="73">
      <c r="B73" s="17" t="inlineStr">
        <is>
          <t>Japan</t>
        </is>
      </c>
      <c r="C73" s="9" t="inlineStr">
        <is>
          <t>Japan's budget, wars, earthquake and bank crisis, San Francisco credit.</t>
        </is>
      </c>
    </row>
    <row r="74">
      <c r="B74" s="17" t="inlineStr">
        <is>
          <t>Partners</t>
        </is>
      </c>
      <c r="C74" s="9" t="inlineStr">
        <is>
          <t>Japan, the Gulf, the Philippine crown, Siberia and the trading regions, each catching up with Pacifica as it integrates; the champions' markets.</t>
        </is>
      </c>
    </row>
    <row r="75">
      <c r="B75" s="17" t="inlineStr">
        <is>
          <t>Abroad</t>
        </is>
      </c>
      <c r="C75" s="9" t="inlineStr">
        <is>
          <t>Private investment abroad and the income it sends home (national income).</t>
        </is>
      </c>
    </row>
    <row r="76">
      <c r="B76" s="17" t="inlineStr">
        <is>
          <t>Labour</t>
        </is>
      </c>
      <c r="C76" s="9" t="inlineStr">
        <is>
          <t>The migration loop: skilled people drawn by Pacifica's lead, their families, jobs, unemployment, and what the Union loses.</t>
        </is>
      </c>
    </row>
    <row r="77">
      <c r="B77" s="17" t="inlineStr">
        <is>
          <t>Champions</t>
        </is>
      </c>
      <c r="C77" s="9" t="inlineStr">
        <is>
          <t>The Polytechnic's talent and the national champions: oil, steel, cars, chemicals, electrical, telecom, shipping, finance, film, aircraft.</t>
        </is>
      </c>
    </row>
    <row r="78">
      <c r="B78" s="17" t="inlineStr">
        <is>
          <t>Gulf</t>
        </is>
      </c>
      <c r="C78" s="9" t="inlineStr">
        <is>
          <t>The Gulf Republic's six admission indicators and what it adds if it joins (switch on Levers).</t>
        </is>
      </c>
    </row>
    <row r="79">
      <c r="B79" s="17" t="inlineStr">
        <is>
          <t>World</t>
        </is>
      </c>
      <c r="C79" s="9" t="inlineStr">
        <is>
          <t>Pacifica and the order against the Union, Britain and Germany.</t>
        </is>
      </c>
    </row>
    <row r="80">
      <c r="B80" s="17" t="inlineStr">
        <is>
          <t>Checks</t>
        </is>
      </c>
      <c r="C80" s="9" t="inlineStr">
        <is>
          <t>Each year tested against arithmetic, canon ceilings and story consistency.</t>
        </is>
      </c>
    </row>
    <row r="81">
      <c r="B81" s="17" t="inlineStr">
        <is>
          <t>Changes</t>
        </is>
      </c>
      <c r="C81" s="9" t="inlineStr">
        <is>
          <t>What differs from Sol's model and why.</t>
        </is>
      </c>
    </row>
    <row r="82">
      <c r="B82" s="2" t="inlineStr">
        <is>
          <t>Colours: blue = input you can change · black = formula · green = link to another sheet · yellow = the main levers. Years shaded red are war years.</t>
        </is>
      </c>
    </row>
  </sheetData>
  <hyperlinks>
    <hyperlink xmlns:r="http://schemas.openxmlformats.org/officeDocument/2006/relationships" ref="B61" r:id="rId1"/>
    <hyperlink xmlns:r="http://schemas.openxmlformats.org/officeDocument/2006/relationships" ref="B62" r:id="rId2"/>
    <hyperlink xmlns:r="http://schemas.openxmlformats.org/officeDocument/2006/relationships" ref="B63" r:id="rId3"/>
    <hyperlink xmlns:r="http://schemas.openxmlformats.org/officeDocument/2006/relationships" ref="B64" r:id="rId4"/>
    <hyperlink xmlns:r="http://schemas.openxmlformats.org/officeDocument/2006/relationships" ref="B65" r:id="rId5"/>
    <hyperlink xmlns:r="http://schemas.openxmlformats.org/officeDocument/2006/relationships" ref="B66" r:id="rId6"/>
    <hyperlink xmlns:r="http://schemas.openxmlformats.org/officeDocument/2006/relationships" ref="B67" r:id="rId7"/>
    <hyperlink xmlns:r="http://schemas.openxmlformats.org/officeDocument/2006/relationships" ref="B68" r:id="rId8"/>
    <hyperlink xmlns:r="http://schemas.openxmlformats.org/officeDocument/2006/relationships" ref="B69" r:id="rId9"/>
    <hyperlink xmlns:r="http://schemas.openxmlformats.org/officeDocument/2006/relationships" ref="B70" r:id="rId10"/>
    <hyperlink xmlns:r="http://schemas.openxmlformats.org/officeDocument/2006/relationships" ref="B71" r:id="rId11"/>
    <hyperlink xmlns:r="http://schemas.openxmlformats.org/officeDocument/2006/relationships" ref="B72" r:id="rId12"/>
    <hyperlink xmlns:r="http://schemas.openxmlformats.org/officeDocument/2006/relationships" ref="B73" r:id="rId13"/>
    <hyperlink xmlns:r="http://schemas.openxmlformats.org/officeDocument/2006/relationships" ref="B74" r:id="rId14"/>
    <hyperlink xmlns:r="http://schemas.openxmlformats.org/officeDocument/2006/relationships" ref="B75" r:id="rId15"/>
    <hyperlink xmlns:r="http://schemas.openxmlformats.org/officeDocument/2006/relationships" ref="B76" r:id="rId16"/>
    <hyperlink xmlns:r="http://schemas.openxmlformats.org/officeDocument/2006/relationships" ref="B77" r:id="rId17"/>
    <hyperlink xmlns:r="http://schemas.openxmlformats.org/officeDocument/2006/relationships" ref="B78" r:id="rId18"/>
    <hyperlink xmlns:r="http://schemas.openxmlformats.org/officeDocument/2006/relationships" ref="B79" r:id="rId19"/>
    <hyperlink xmlns:r="http://schemas.openxmlformats.org/officeDocument/2006/relationships" ref="B80" r:id="rId20"/>
    <hyperlink xmlns:r="http://schemas.openxmlformats.org/officeDocument/2006/relationships" ref="B81" r:id="rId21"/>
  </hyperlinks>
  <pageMargins left="0.75" right="0.75" top="1" bottom="1" header="0.5" footer="0.5"/>
  <pageSetup orientation="landscape" fitToHeight="0" fitToWidth="1"/>
  <drawing xmlns:r="http://schemas.openxmlformats.org/officeDocument/2006/relationships" r:id="rId22"/>
</worksheet>
</file>

<file path=xl/worksheets/sheet2.xml><?xml version="1.0" encoding="utf-8"?>
<worksheet xmlns="http://schemas.openxmlformats.org/spreadsheetml/2006/main">
  <sheetPr>
    <tabColor rgb="001F4E6B"/>
    <outlinePr summaryBelow="1" summaryRight="1"/>
    <pageSetUpPr fitToPage="1"/>
  </sheetPr>
  <dimension ref="A1:G38"/>
  <sheetViews>
    <sheetView showGridLines="0" zoomScale="90" workbookViewId="0">
      <selection activeCell="A1" sqref="A1"/>
    </sheetView>
  </sheetViews>
  <sheetFormatPr baseColWidth="8" defaultRowHeight="15"/>
  <cols>
    <col width="2" customWidth="1" min="1" max="1"/>
    <col width="34" customWidth="1" min="2" max="2"/>
    <col width="8" customWidth="1" min="3" max="3"/>
    <col width="14" customWidth="1" min="4" max="4"/>
    <col width="14" customWidth="1" min="5" max="5"/>
    <col width="10" customWidth="1" min="6" max="6"/>
    <col width="90" customWidth="1" min="7" max="7"/>
  </cols>
  <sheetData>
    <row r="1">
      <c r="A1" s="18" t="inlineStr">
        <is>
          <t>What changed from Sol's model</t>
        </is>
      </c>
    </row>
    <row r="2">
      <c r="A2" s="2" t="inlineStr">
        <is>
          <t>Sol's CR-018/CR-019 workbook (working case) against this model, with the reason for each difference.</t>
        </is>
      </c>
    </row>
    <row r="3">
      <c r="A3" s="19" t="inlineStr">
        <is>
          <t>Sol's values are typed in from Pacifica_CR018_CR019_financial_model_1846-1932.xlsx; this model's values are live.</t>
        </is>
      </c>
    </row>
    <row r="5">
      <c r="B5" s="6" t="inlineStr">
        <is>
          <t>Measure</t>
        </is>
      </c>
      <c r="C5" s="6" t="inlineStr">
        <is>
          <t>Year</t>
        </is>
      </c>
      <c r="D5" s="6" t="inlineStr">
        <is>
          <t>Sol's model</t>
        </is>
      </c>
      <c r="E5" s="6" t="inlineStr">
        <is>
          <t>This model</t>
        </is>
      </c>
      <c r="F5" s="6" t="inlineStr">
        <is>
          <t>Ratio</t>
        </is>
      </c>
      <c r="G5" s="6" t="inlineStr">
        <is>
          <t>Why it differs</t>
        </is>
      </c>
    </row>
    <row r="6">
      <c r="B6" s="9" t="inlineStr">
        <is>
          <t>Core residents (m)</t>
        </is>
      </c>
      <c r="C6" s="9" t="n">
        <v>1895</v>
      </c>
      <c r="D6" s="20" t="n">
        <v>6.01</v>
      </c>
      <c r="E6" s="21">
        <f>INDEX(People!$L$6:$L$92,MATCH(C6,People!$A$6:$A$92,0))/1000000</f>
        <v/>
      </c>
      <c r="F6" s="22">
        <f>IF(D6&lt;&gt;0,E6/D6,0)</f>
        <v/>
      </c>
      <c r="G6" s="23" t="inlineStr">
        <is>
          <t>Similar until 1895.</t>
        </is>
      </c>
    </row>
    <row r="7">
      <c r="B7" s="9" t="inlineStr">
        <is>
          <t>Core residents (m)</t>
        </is>
      </c>
      <c r="C7" s="9" t="n">
        <v>1913</v>
      </c>
      <c r="D7" s="20" t="n">
        <v>9.44</v>
      </c>
      <c r="E7" s="21">
        <f>INDEX(People!$L$6:$L$92,MATCH(C7,People!$A$6:$A$92,0))/1000000</f>
        <v/>
      </c>
      <c r="F7" s="22">
        <f>IF(D7&lt;&gt;0,E7/D7,0)</f>
        <v/>
      </c>
      <c r="G7" s="23" t="inlineStr">
        <is>
          <t>No exclusion act, family programmes and skilled entry keep migration higher after 1888.</t>
        </is>
      </c>
    </row>
    <row r="8">
      <c r="B8" s="9" t="inlineStr">
        <is>
          <t>Core residents (m)</t>
        </is>
      </c>
      <c r="C8" s="9" t="n">
        <v>1929</v>
      </c>
      <c r="D8" s="20" t="n">
        <v>12.92</v>
      </c>
      <c r="E8" s="21">
        <f>INDEX(People!$L$6:$L$92,MATCH(C8,People!$A$6:$A$92,0))/1000000</f>
        <v/>
      </c>
      <c r="F8" s="22">
        <f>IF(D8&lt;&gt;0,E8/D8,0)</f>
        <v/>
      </c>
      <c r="G8" s="23" t="inlineStr">
        <is>
          <t>Baseline arrivals, plus people drawn by Pacifica's lead: skilled migrants and families (B10), settled guest workers (B11), and Europeans who would have gone to the Union (B12).</t>
        </is>
      </c>
    </row>
    <row r="9">
      <c r="B9" s="9" t="inlineStr">
        <is>
          <t>Core GDP ($bn)</t>
        </is>
      </c>
      <c r="C9" s="9" t="n">
        <v>1895</v>
      </c>
      <c r="D9" s="20" t="n">
        <v>2.24</v>
      </c>
      <c r="E9" s="21">
        <f>INDEX(Economy!$O$6:$O$92,MATCH(C9,Economy!$A$6:$A$92,0))/1000</f>
        <v/>
      </c>
      <c r="F9" s="22">
        <f>IF(D9&lt;&gt;0,E9/D9,0)</f>
        <v/>
      </c>
      <c r="G9" s="23" t="inlineStr">
        <is>
          <t>Sol's per-resident output was higher early, lower late.</t>
        </is>
      </c>
    </row>
    <row r="10">
      <c r="B10" s="9" t="inlineStr">
        <is>
          <t>Core GDP ($bn)</t>
        </is>
      </c>
      <c r="C10" s="9" t="n">
        <v>1913</v>
      </c>
      <c r="D10" s="20" t="n">
        <v>5.62</v>
      </c>
      <c r="E10" s="21">
        <f>INDEX(Economy!$O$6:$O$92,MATCH(C10,Economy!$A$6:$A$92,0))/1000</f>
        <v/>
      </c>
      <c r="F10" s="22">
        <f>IF(D10&lt;&gt;0,E10/D10,0)</f>
        <v/>
      </c>
      <c r="G10" s="23" t="inlineStr"/>
    </row>
    <row r="11">
      <c r="B11" s="9" t="inlineStr">
        <is>
          <t>Core GDP ($bn)</t>
        </is>
      </c>
      <c r="C11" s="9" t="n">
        <v>1929</v>
      </c>
      <c r="D11" s="20" t="n">
        <v>12.15</v>
      </c>
      <c r="E11" s="21">
        <f>INDEX(Economy!$O$6:$O$92,MATCH(C11,Economy!$A$6:$A$92,0))/1000</f>
        <v/>
      </c>
      <c r="F11" s="22">
        <f>IF(D11&lt;&gt;0,E11/D11,0)</f>
        <v/>
      </c>
      <c r="G11" s="23" t="inlineStr">
        <is>
          <t>Sol's 1929 economy was the historical American West (about 1.1x US output per person). This one is about 2x: the trend path near historical California, the national champions (B9), the extra talent (B10) and the Development Fund. Total GDP is also larger because there are more people.</t>
        </is>
      </c>
    </row>
    <row r="12">
      <c r="B12" s="9" t="inlineStr">
        <is>
          <t>Core GDP ($bn)</t>
        </is>
      </c>
      <c r="C12" s="9" t="n">
        <v>1932</v>
      </c>
      <c r="D12" s="20" t="n">
        <v>7.11</v>
      </c>
      <c r="E12" s="21">
        <f>INDEX(Economy!$O$6:$O$92,MATCH(C12,Economy!$A$6:$A$92,0))/1000</f>
        <v/>
      </c>
      <c r="F12" s="22">
        <f>IF(D12&lt;&gt;0,E12/D12,0)</f>
        <v/>
      </c>
      <c r="G12" s="23" t="inlineStr">
        <is>
          <t>Sol's slump was -41% in money terms, worse than the Union's. Here about -24%: Pacifica keeps its market open, lends its gold and its central bank acts (§34, CR-020).</t>
        </is>
      </c>
    </row>
    <row r="13">
      <c r="B13" s="9" t="inlineStr">
        <is>
          <t>Treasury receipts ($m)</t>
        </is>
      </c>
      <c r="C13" s="9" t="n">
        <v>1929</v>
      </c>
      <c r="D13" s="24" t="n">
        <v>1255</v>
      </c>
      <c r="E13" s="25">
        <f>INDEX(Budget!$M$6:$M$92,MATCH(C13,Budget!$A$6:$A$92,0))</f>
        <v/>
      </c>
      <c r="F13" s="22">
        <f>IF(D13&lt;&gt;0,E13/D13,0)</f>
        <v/>
      </c>
      <c r="G13" s="23" t="inlineStr"/>
    </row>
    <row r="14">
      <c r="B14" s="9" t="inlineStr">
        <is>
          <t>Navy ($m)</t>
        </is>
      </c>
      <c r="C14" s="9" t="n">
        <v>1913</v>
      </c>
      <c r="D14" s="24" t="n">
        <v>114.5</v>
      </c>
      <c r="E14" s="25">
        <f>INDEX(Navy!$Y$6:$Y$92,MATCH(C14,Navy!$A$6:$A$92,0))</f>
        <v/>
      </c>
      <c r="F14" s="22">
        <f>IF(D14&lt;&gt;0,E14/D14,0)</f>
        <v/>
      </c>
      <c r="G14" s="23" t="inlineStr">
        <is>
          <t>Sol's navy kept 24 seagoing hulls fixed from 1905 and added a flat allowance. Here the fleet is built ship by ship.</t>
        </is>
      </c>
    </row>
    <row r="15">
      <c r="B15" s="9" t="inlineStr">
        <is>
          <t>Navy ($m)</t>
        </is>
      </c>
      <c r="C15" s="9" t="n">
        <v>1929</v>
      </c>
      <c r="D15" s="24" t="n">
        <v>195</v>
      </c>
      <c r="E15" s="25">
        <f>INDEX(Navy!$Y$6:$Y$92,MATCH(C15,Navy!$A$6:$A$92,0))</f>
        <v/>
      </c>
      <c r="F15" s="22">
        <f>IF(D15&lt;&gt;0,E15/D15,0)</f>
        <v/>
      </c>
      <c r="G15" s="23" t="inlineStr">
        <is>
          <t>Includes Pacifica's 65% of the common navy from 1927.</t>
        </is>
      </c>
    </row>
    <row r="16">
      <c r="B16" s="9" t="inlineStr">
        <is>
          <t>Public debt ($m)</t>
        </is>
      </c>
      <c r="C16" s="9" t="n">
        <v>1932</v>
      </c>
      <c r="D16" s="24" t="n">
        <v>119.8</v>
      </c>
      <c r="E16" s="25">
        <f>INDEX('Debt &amp; cash'!$R$6:$R$92,MATCH(C16,'Debt &amp; cash'!$A$6:$A$92,0))</f>
        <v/>
      </c>
      <c r="F16" s="22">
        <f>IF(D16&lt;&gt;0,E16/D16,0)</f>
        <v/>
      </c>
      <c r="G16" s="23" t="inlineStr">
        <is>
          <t>Here a standing debt of about 5% of GDP is kept for the Reserve Bank (OPEN-020-06), and the rescue is paid from the Reserve Fund.</t>
        </is>
      </c>
    </row>
    <row r="17">
      <c r="B17" s="9" t="inlineStr">
        <is>
          <t>Treasury cash ($m)</t>
        </is>
      </c>
      <c r="C17" s="9" t="n">
        <v>1929</v>
      </c>
      <c r="D17" s="24" t="n">
        <v>2326.7</v>
      </c>
      <c r="E17" s="25">
        <f>INDEX('Debt &amp; cash'!$M$6:$M$92,MATCH(C17,'Debt &amp; cash'!$A$6:$A$92,0))</f>
        <v/>
      </c>
      <c r="F17" s="22">
        <f>IF(D17&lt;&gt;0,E17/D17,0)</f>
        <v/>
      </c>
      <c r="G17" s="23" t="inlineStr">
        <is>
          <t>Sol's surpluses piled up as $2.3bn of idle cash. Here surpluses repay debt or go to the Reserve Fund.</t>
        </is>
      </c>
    </row>
    <row r="18">
      <c r="B18" s="9" t="inlineStr">
        <is>
          <t>Monetary gold ($m)</t>
        </is>
      </c>
      <c r="C18" s="9" t="n">
        <v>1932</v>
      </c>
      <c r="D18" s="24" t="n">
        <v>1355.5</v>
      </c>
      <c r="E18" s="25">
        <f>INDEX('Gold &amp; money'!$F$6:$F$92,MATCH(C18,'Gold &amp; money'!$A$6:$A$92,0))</f>
        <v/>
      </c>
      <c r="F18" s="22">
        <f>IF(D18&lt;&gt;0,E18/D18,0)</f>
        <v/>
      </c>
      <c r="G18" s="23" t="inlineStr"/>
    </row>
    <row r="20">
      <c r="B20" s="7" t="inlineStr">
        <is>
          <t>Structural changes</t>
        </is>
      </c>
      <c r="C20" s="8" t="n"/>
      <c r="D20" s="8" t="n"/>
      <c r="E20" s="8" t="n"/>
      <c r="F20" s="8" t="n"/>
      <c r="G20" s="8" t="n"/>
    </row>
    <row r="21" ht="30" customHeight="1">
      <c r="B21" s="3" t="inlineStr">
        <is>
          <t>Fleet</t>
        </is>
      </c>
      <c r="C21" s="26" t="inlineStr">
        <is>
          <t>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is>
      </c>
    </row>
    <row r="22" ht="30" customHeight="1">
      <c r="B22" s="3" t="inlineStr">
        <is>
          <t>Oil</t>
        </is>
      </c>
      <c r="C22" s="26" t="inlineStr">
        <is>
          <t>Sol's model counted oil inside 'other minerals' with no royalty and no navy effect. Here the state takes a 1/8 royalty, the navy burns its own oil, and the sheets show sailors and fuel saved by oil firing.</t>
        </is>
      </c>
    </row>
    <row r="23" ht="30" customHeight="1">
      <c r="B23" s="3" t="inlineStr">
        <is>
          <t>Technology</t>
        </is>
      </c>
      <c r="C23" s="26" t="inlineStr">
        <is>
          <t>The approved oil (1876) and turbine (1885) programmes and the proposed electrical institute (1886) are costed Events, on top of a standing technical budget.</t>
        </is>
      </c>
    </row>
    <row r="24" ht="30" customHeight="1">
      <c r="B24" s="3" t="inlineStr">
        <is>
          <t>Japan</t>
        </is>
      </c>
      <c r="C24" s="26" t="inlineStr">
        <is>
          <t>Japan now has its own budget. The 1923 earthquake and 1927 bank crisis raise its debt, and San Francisco supplies most of the 1927 borrowing, which is why the imperial rescue is decisive (§33).</t>
        </is>
      </c>
    </row>
    <row r="25" ht="30" customHeight="1">
      <c r="B25" s="3" t="inlineStr">
        <is>
          <t>Events</t>
        </is>
      </c>
      <c r="C25" s="26" t="inlineStr">
        <is>
          <t>One ledger lists every dated commitment with its canon status and section, so a story change is one row to edit.</t>
        </is>
      </c>
    </row>
    <row r="26" ht="30" customHeight="1">
      <c r="B26" s="3" t="inlineStr">
        <is>
          <t>Canal</t>
        </is>
      </c>
      <c r="C26" s="26" t="inlineStr">
        <is>
          <t>Owned by the state, as the regency's achievement (Sol's model: 20% public). Tolls from 1901.</t>
        </is>
      </c>
    </row>
    <row r="27" ht="30" customHeight="1">
      <c r="B27" s="3" t="inlineStr">
        <is>
          <t>World</t>
        </is>
      </c>
      <c r="C27" s="26" t="inlineStr">
        <is>
          <t>A new sheet sets Pacifica, Japan and the order against the Union, Britain and Germany.</t>
        </is>
      </c>
    </row>
    <row r="28" ht="30" customHeight="1">
      <c r="B28" s="3" t="inlineStr">
        <is>
          <t>Layout</t>
        </is>
      </c>
      <c r="C28" s="26" t="inlineStr">
        <is>
          <t>Years run down the page; inputs, events and results are separate; every heading has a definition.</t>
        </is>
      </c>
    </row>
    <row r="29" ht="30" customHeight="1">
      <c r="B29" s="3" t="inlineStr">
        <is>
          <t>CR-020</t>
        </is>
      </c>
      <c r="C29" s="26" t="inlineStr">
        <is>
          <t>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is>
      </c>
    </row>
    <row r="30" ht="30" customHeight="1">
      <c r="B30" s="3" t="inlineStr">
        <is>
          <t>Champions</t>
        </is>
      </c>
      <c r="C30" s="26" t="inlineStr">
        <is>
          <t>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is>
      </c>
    </row>
    <row r="31" ht="30" customHeight="1">
      <c r="B31" s="3" t="inlineStr">
        <is>
          <t>Labour</t>
        </is>
      </c>
      <c r="C31" s="26" t="inlineStr">
        <is>
          <t>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is>
      </c>
    </row>
    <row r="32" ht="30" customHeight="1">
      <c r="B32" s="3" t="inlineStr">
        <is>
          <t>The Union</t>
        </is>
      </c>
      <c r="C32" s="26" t="inlineStr">
        <is>
          <t>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is>
      </c>
    </row>
    <row r="33" ht="30" customHeight="1">
      <c r="B33" s="3" t="inlineStr">
        <is>
          <t>Union response</t>
        </is>
      </c>
      <c r="C33" s="26" t="inlineStr">
        <is>
          <t>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is>
      </c>
    </row>
    <row r="34" ht="30" customHeight="1">
      <c r="B34" s="3" t="inlineStr">
        <is>
          <t>Partners</t>
        </is>
      </c>
      <c r="C34" s="26" t="inlineStr">
        <is>
          <t>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is>
      </c>
    </row>
    <row r="35" ht="30" customHeight="1">
      <c r="B35" s="3" t="inlineStr">
        <is>
          <t>Markets</t>
        </is>
      </c>
      <c r="C35" s="26" t="inlineStr">
        <is>
          <t>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is>
      </c>
    </row>
    <row r="36" ht="30" customHeight="1">
      <c r="B36" s="3" t="inlineStr">
        <is>
          <t>Guest workers</t>
        </is>
      </c>
      <c r="C36" s="26" t="inlineStr">
        <is>
          <t>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is>
      </c>
    </row>
    <row r="37" ht="30" customHeight="1">
      <c r="B37" s="3" t="inlineStr">
        <is>
          <t>CR-021</t>
        </is>
      </c>
      <c r="C37" s="26" t="inlineStr">
        <is>
          <t>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is>
      </c>
    </row>
    <row r="38" ht="30" customHeight="1">
      <c r="B38" s="3" t="inlineStr">
        <is>
          <t>Not carried over</t>
        </is>
      </c>
      <c r="C38" s="26" t="inlineStr">
        <is>
          <t>Sol's bank-by-bank balance sheets, Siberian rail and shipping tonnage tests and foreign settlement deposits. The Siberian campaign keeps Sol's $808m cost and the permanent front keeps his $80m a year.</t>
        </is>
      </c>
    </row>
  </sheetData>
  <mergeCells count="18">
    <mergeCell ref="C29:G29"/>
    <mergeCell ref="C21:G21"/>
    <mergeCell ref="C30:G30"/>
    <mergeCell ref="C34:G34"/>
    <mergeCell ref="C35:G35"/>
    <mergeCell ref="C32:G32"/>
    <mergeCell ref="C24:G24"/>
    <mergeCell ref="C38:G38"/>
    <mergeCell ref="C33:G33"/>
    <mergeCell ref="C25:G25"/>
    <mergeCell ref="C28:G28"/>
    <mergeCell ref="C27:G27"/>
    <mergeCell ref="C37:G37"/>
    <mergeCell ref="C36:G36"/>
    <mergeCell ref="C31:G31"/>
    <mergeCell ref="C23:G23"/>
    <mergeCell ref="C22:G22"/>
    <mergeCell ref="C26:G26"/>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K197"/>
  <sheetViews>
    <sheetView showGridLines="0" zoomScale="9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13" customWidth="1" min="4" max="4"/>
    <col width="13" customWidth="1" min="5" max="5"/>
    <col width="13" customWidth="1" min="6" max="6"/>
    <col width="13" customWidth="1" min="7" max="7"/>
    <col width="30" customWidth="1" min="8" max="8"/>
    <col width="13" customWidth="1" min="9" max="9"/>
    <col width="13" customWidth="1" min="10" max="10"/>
    <col width="13" customWidth="1" min="11" max="11"/>
  </cols>
  <sheetData>
    <row r="1">
      <c r="A1" s="18" t="inlineStr">
        <is>
          <t>Story levers</t>
        </is>
      </c>
    </row>
    <row r="2">
      <c r="A2" s="2" t="inlineStr">
        <is>
          <t>Every scalar assumption in one place. Pick the case in E4; the Active column feeds the model.</t>
        </is>
      </c>
    </row>
    <row r="3">
      <c r="A3" s="19" t="inlineStr">
        <is>
          <t>Blue = input · yellow = the main levers · Status says whether the idea is canon; the amount is almost always a model estimate.</t>
        </is>
      </c>
    </row>
    <row r="4">
      <c r="B4" s="3" t="inlineStr">
        <is>
          <t>Case in use (1 = Story case, 2 = Stress case)</t>
        </is>
      </c>
      <c r="E4" s="27" t="n">
        <v>1</v>
      </c>
      <c r="F4" s="3">
        <f>IF(E4=1,"Story case","Stress case")</f>
        <v/>
      </c>
    </row>
    <row r="6">
      <c r="B6" s="28" t="inlineStr">
        <is>
          <t>Lever</t>
        </is>
      </c>
      <c r="C6" s="28" t="inlineStr">
        <is>
          <t>Story case</t>
        </is>
      </c>
      <c r="D6" s="28" t="inlineStr">
        <is>
          <t>Stress case</t>
        </is>
      </c>
      <c r="E6" s="28" t="inlineStr">
        <is>
          <t>Active</t>
        </is>
      </c>
      <c r="F6" s="28" t="inlineStr">
        <is>
          <t>Unit</t>
        </is>
      </c>
      <c r="G6" s="28" t="inlineStr">
        <is>
          <t>Status</t>
        </is>
      </c>
      <c r="H6" s="28" t="inlineStr">
        <is>
          <t>Basis and notes</t>
        </is>
      </c>
    </row>
    <row r="7">
      <c r="B7" s="7" t="inlineStr">
        <is>
          <t>— Economy and people —</t>
        </is>
      </c>
      <c r="C7" s="8" t="n"/>
      <c r="D7" s="8" t="n"/>
      <c r="E7" s="8" t="n"/>
      <c r="F7" s="8" t="n"/>
      <c r="G7" s="8" t="n"/>
      <c r="H7" s="8" t="n"/>
    </row>
    <row r="8">
      <c r="B8" s="9" t="inlineStr">
        <is>
          <t>Residents of California in 1846</t>
        </is>
      </c>
      <c r="C8" s="29" t="n">
        <v>170000</v>
      </c>
      <c r="D8" s="29" t="n">
        <v>170000</v>
      </c>
      <c r="E8" s="30">
        <f>IF(case_sel=1,C8,D8)</f>
        <v/>
      </c>
      <c r="F8" s="9" t="inlineStr">
        <is>
          <t>persons</t>
        </is>
      </c>
      <c r="G8" s="9" t="inlineStr">
        <is>
          <t>Model estimate</t>
        </is>
      </c>
      <c r="H8" s="23" t="inlineStr">
        <is>
          <t>Californios, Indigenous communities and foreigners; old model used the same figure.</t>
        </is>
      </c>
    </row>
    <row r="9">
      <c r="B9" s="9" t="inlineStr">
        <is>
          <t>Real non-mining output per resident, 1846</t>
        </is>
      </c>
      <c r="C9" s="29" t="n">
        <v>150</v>
      </c>
      <c r="D9" s="29" t="n">
        <v>150</v>
      </c>
      <c r="E9" s="30">
        <f>IF(case_sel=1,C9,D9)</f>
        <v/>
      </c>
      <c r="F9" s="9" t="inlineStr">
        <is>
          <t>1913 $</t>
        </is>
      </c>
      <c r="G9" s="9" t="inlineStr">
        <is>
          <t>Model estimate</t>
        </is>
      </c>
      <c r="H9" s="23" t="inlineStr">
        <is>
          <t>Pastoral Californio economy, a little above the US level of about $125 in 1913 dollars.</t>
        </is>
      </c>
    </row>
    <row r="10">
      <c r="B10" s="9" t="inlineStr">
        <is>
          <t>Productivity growth after 1895 (× story path)</t>
        </is>
      </c>
      <c r="C10" s="31" t="n">
        <v>1</v>
      </c>
      <c r="D10" s="31" t="n">
        <v>0.75</v>
      </c>
      <c r="E10" s="32">
        <f>IF(case_sel=1,C10,D10)</f>
        <v/>
      </c>
      <c r="F10" s="9" t="inlineStr">
        <is>
          <t>×</t>
        </is>
      </c>
      <c r="G10" s="9" t="inlineStr">
        <is>
          <t>Model estimate</t>
        </is>
      </c>
      <c r="H10" s="23" t="inlineStr">
        <is>
          <t>Stress case cuts growth after 1895 by a quarter, like Sol's 25% lower-productivity case.</t>
        </is>
      </c>
    </row>
    <row r="11">
      <c r="B11" s="9" t="inlineStr">
        <is>
          <t>Immigration after 1895 (× story path)</t>
        </is>
      </c>
      <c r="C11" s="31" t="n">
        <v>1</v>
      </c>
      <c r="D11" s="31" t="n">
        <v>0.8</v>
      </c>
      <c r="E11" s="32">
        <f>IF(case_sel=1,C11,D11)</f>
        <v/>
      </c>
      <c r="F11" s="9" t="inlineStr">
        <is>
          <t>×</t>
        </is>
      </c>
      <c r="G11" s="9" t="inlineStr">
        <is>
          <t>Model estimate</t>
        </is>
      </c>
      <c r="H11" s="23" t="inlineStr">
        <is>
          <t>Selective-entry era. Stress case admits a fifth fewer people.</t>
        </is>
      </c>
    </row>
    <row r="12">
      <c r="B12" s="9" t="inlineStr">
        <is>
          <t>Depression severity 1930-32 (× story slump)</t>
        </is>
      </c>
      <c r="C12" s="31" t="n">
        <v>1</v>
      </c>
      <c r="D12" s="31" t="n">
        <v>1.6</v>
      </c>
      <c r="E12" s="32">
        <f>IF(case_sel=1,C12,D12)</f>
        <v/>
      </c>
      <c r="F12" s="9" t="inlineStr">
        <is>
          <t>×</t>
        </is>
      </c>
      <c r="G12" s="9" t="inlineStr">
        <is>
          <t>Model estimate</t>
        </is>
      </c>
      <c r="H12" s="23" t="inlineStr">
        <is>
          <t>Stress case: the 1932 slump is 22% below trend instead of 14%.</t>
        </is>
      </c>
    </row>
    <row r="13">
      <c r="B13" s="9" t="inlineStr">
        <is>
          <t>Return migration, Asian streams</t>
        </is>
      </c>
      <c r="C13" s="33" t="n">
        <v>0.28</v>
      </c>
      <c r="D13" s="33" t="n">
        <v>0.28</v>
      </c>
      <c r="E13" s="34">
        <f>IF(case_sel=1,C13,D13)</f>
        <v/>
      </c>
      <c r="F13" s="9" t="inlineStr">
        <is>
          <t>share</t>
        </is>
      </c>
      <c r="G13" s="9" t="inlineStr">
        <is>
          <t>Model estimate</t>
        </is>
      </c>
      <c r="H13" s="23" t="inlineStr">
        <is>
          <t>Share of Chinese, Japanese and Filipino arrivals who later leave. Family migration keeps it lower than the historical 40-50%.</t>
        </is>
      </c>
    </row>
    <row r="14">
      <c r="B14" s="9" t="inlineStr">
        <is>
          <t>Assisted passage and reception per person</t>
        </is>
      </c>
      <c r="C14" s="29" t="n">
        <v>60</v>
      </c>
      <c r="D14" s="29" t="n">
        <v>60</v>
      </c>
      <c r="E14" s="30">
        <f>IF(case_sel=1,C14,D14)</f>
        <v/>
      </c>
      <c r="F14" s="9" t="inlineStr">
        <is>
          <t>1913 $</t>
        </is>
      </c>
      <c r="G14" s="9" t="inlineStr">
        <is>
          <t>Model estimate</t>
        </is>
      </c>
      <c r="H14" s="23" t="inlineStr">
        <is>
          <t>Kaiulani's programme: fare, reception and training. Old model: $75 + $12 in 1860 dollars.</t>
        </is>
      </c>
    </row>
    <row r="15">
      <c r="B15" s="9" t="inlineStr">
        <is>
          <t>Mining value added / gross output</t>
        </is>
      </c>
      <c r="C15" s="33" t="n">
        <v>0.7</v>
      </c>
      <c r="D15" s="33" t="n">
        <v>0.7</v>
      </c>
      <c r="E15" s="34">
        <f>IF(case_sel=1,C15,D15)</f>
        <v/>
      </c>
      <c r="F15" s="9" t="inlineStr">
        <is>
          <t>share</t>
        </is>
      </c>
      <c r="G15" s="9" t="inlineStr">
        <is>
          <t>Model estimate</t>
        </is>
      </c>
      <c r="H15" s="23" t="inlineStr">
        <is>
          <t>Old model used 0.8.</t>
        </is>
      </c>
    </row>
    <row r="16">
      <c r="B16" s="7" t="inlineStr">
        <is>
          <t>— Revenue —</t>
        </is>
      </c>
      <c r="C16" s="8" t="n"/>
      <c r="D16" s="8" t="n"/>
      <c r="E16" s="8" t="n"/>
      <c r="F16" s="8" t="n"/>
      <c r="G16" s="8" t="n"/>
      <c r="H16" s="8" t="n"/>
    </row>
    <row r="17">
      <c r="B17" s="9" t="inlineStr">
        <is>
          <t>Customs collection</t>
        </is>
      </c>
      <c r="C17" s="33" t="n">
        <v>0.9</v>
      </c>
      <c r="D17" s="33" t="n">
        <v>0.9</v>
      </c>
      <c r="E17" s="34">
        <f>IF(case_sel=1,C17,D17)</f>
        <v/>
      </c>
      <c r="F17" s="9" t="inlineStr">
        <is>
          <t>share</t>
        </is>
      </c>
      <c r="G17" s="9" t="inlineStr">
        <is>
          <t>Model estimate</t>
        </is>
      </c>
      <c r="H17" s="23" t="inlineStr">
        <is>
          <t>Old model value.</t>
        </is>
      </c>
    </row>
    <row r="18">
      <c r="B18" s="9" t="inlineStr">
        <is>
          <t>Royalty on gold, silver and copper</t>
        </is>
      </c>
      <c r="C18" s="33" t="n">
        <v>0.05</v>
      </c>
      <c r="D18" s="33" t="n">
        <v>0.05</v>
      </c>
      <c r="E18" s="34">
        <f>IF(case_sel=1,C18,D18)</f>
        <v/>
      </c>
      <c r="F18" s="9" t="inlineStr">
        <is>
          <t>share</t>
        </is>
      </c>
      <c r="G18" s="9" t="inlineStr">
        <is>
          <t>Canon</t>
        </is>
      </c>
      <c r="H18" s="23" t="inlineStr">
        <is>
          <t>Mining Law of 1849: 5% public royalty at the mint and choke points (§5). Applied to all metals here.</t>
        </is>
      </c>
    </row>
    <row r="19">
      <c r="B19" s="9" t="inlineStr">
        <is>
          <t>State royalty on oil</t>
        </is>
      </c>
      <c r="C19" s="33" t="n">
        <v>0.125</v>
      </c>
      <c r="D19" s="33" t="n">
        <v>0.125</v>
      </c>
      <c r="E19" s="34">
        <f>IF(case_sel=1,C19,D19)</f>
        <v/>
      </c>
      <c r="F19" s="9" t="inlineStr">
        <is>
          <t>share</t>
        </is>
      </c>
      <c r="G19" s="9" t="inlineStr">
        <is>
          <t>Model estimate</t>
        </is>
      </c>
      <c r="H19" s="23" t="inlineStr">
        <is>
          <t>The state survey found the fields (approved oil programme), so the state keeps a landowner's 1/8 royalty.</t>
        </is>
      </c>
    </row>
    <row r="20">
      <c r="B20" s="9" t="inlineStr">
        <is>
          <t>State ownership of the Panama canal</t>
        </is>
      </c>
      <c r="C20" s="33" t="n">
        <v>1</v>
      </c>
      <c r="D20" s="33" t="n">
        <v>1</v>
      </c>
      <c r="E20" s="34">
        <f>IF(case_sel=1,C20,D20)</f>
        <v/>
      </c>
      <c r="F20" s="9" t="inlineStr">
        <is>
          <t>share</t>
        </is>
      </c>
      <c r="G20" s="9" t="inlineStr">
        <is>
          <t>Model estimate</t>
        </is>
      </c>
      <c r="H20" s="23" t="inlineStr">
        <is>
          <t>Canon: the regency buys the French works in 1889 and completes the canal. Old model assumed 20% public.</t>
        </is>
      </c>
    </row>
    <row r="21">
      <c r="B21" s="9" t="inlineStr">
        <is>
          <t>Canal operating cost / tolls</t>
        </is>
      </c>
      <c r="C21" s="33" t="n">
        <v>0.4</v>
      </c>
      <c r="D21" s="33" t="n">
        <v>0.4</v>
      </c>
      <c r="E21" s="34">
        <f>IF(case_sel=1,C21,D21)</f>
        <v/>
      </c>
      <c r="F21" s="9" t="inlineStr">
        <is>
          <t>share</t>
        </is>
      </c>
      <c r="G21" s="9" t="inlineStr">
        <is>
          <t>Model estimate</t>
        </is>
      </c>
      <c r="H21" s="23" t="inlineStr">
        <is>
          <t>Historical Panama: about $10m costs on $25-27m tolls in the late 1920s.</t>
        </is>
      </c>
    </row>
    <row r="22">
      <c r="B22" s="9" t="inlineStr">
        <is>
          <t>Yield on the Treasury Reserve Fund</t>
        </is>
      </c>
      <c r="C22" s="33" t="n">
        <v>0.04</v>
      </c>
      <c r="D22" s="33" t="n">
        <v>0.04</v>
      </c>
      <c r="E22" s="34">
        <f>IF(case_sel=1,C22,D22)</f>
        <v/>
      </c>
      <c r="F22" s="9" t="inlineStr">
        <is>
          <t>share</t>
        </is>
      </c>
      <c r="G22" s="9" t="inlineStr">
        <is>
          <t>Model estimate</t>
        </is>
      </c>
      <c r="H22" s="23" t="inlineStr">
        <is>
          <t>Fund holds gold-dollar bonds of partners and the Union.</t>
        </is>
      </c>
    </row>
    <row r="23">
      <c r="B23" s="7" t="inlineStr">
        <is>
          <t>— Spending —</t>
        </is>
      </c>
      <c r="C23" s="8" t="n"/>
      <c r="D23" s="8" t="n"/>
      <c r="E23" s="8" t="n"/>
      <c r="F23" s="8" t="n"/>
      <c r="G23" s="8" t="n"/>
      <c r="H23" s="8" t="n"/>
    </row>
    <row r="24">
      <c r="B24" s="9" t="inlineStr">
        <is>
          <t>Cost per active soldier</t>
        </is>
      </c>
      <c r="C24" s="29" t="n">
        <v>700</v>
      </c>
      <c r="D24" s="29" t="n">
        <v>700</v>
      </c>
      <c r="E24" s="30">
        <f>IF(case_sel=1,C24,D24)</f>
        <v/>
      </c>
      <c r="F24" s="9" t="inlineStr">
        <is>
          <t>1913 $</t>
        </is>
      </c>
      <c r="G24" s="9" t="inlineStr">
        <is>
          <t>Model estimate</t>
        </is>
      </c>
      <c r="H24" s="23" t="inlineStr">
        <is>
          <t>Pay, food, equipment. US Army 1913 ran about $1,100 per soldier; conscript army is cheaper.</t>
        </is>
      </c>
    </row>
    <row r="25">
      <c r="B25" s="9" t="inlineStr">
        <is>
          <t>Training cost per reservist</t>
        </is>
      </c>
      <c r="C25" s="29" t="n">
        <v>15</v>
      </c>
      <c r="D25" s="29" t="n">
        <v>15</v>
      </c>
      <c r="E25" s="30">
        <f>IF(case_sel=1,C25,D25)</f>
        <v/>
      </c>
      <c r="F25" s="9" t="inlineStr">
        <is>
          <t>1913 $</t>
        </is>
      </c>
      <c r="G25" s="9" t="inlineStr">
        <is>
          <t>Model estimate</t>
        </is>
      </c>
      <c r="H25" s="23" t="inlineStr">
        <is>
          <t>Defense Law of 1855 reserve liability (§8).</t>
        </is>
      </c>
    </row>
    <row r="26">
      <c r="B26" s="9" t="inlineStr">
        <is>
          <t>Cost per sailor</t>
        </is>
      </c>
      <c r="C26" s="29" t="n">
        <v>900</v>
      </c>
      <c r="D26" s="29" t="n">
        <v>900</v>
      </c>
      <c r="E26" s="30">
        <f>IF(case_sel=1,C26,D26)</f>
        <v/>
      </c>
      <c r="F26" s="9" t="inlineStr">
        <is>
          <t>1913 $</t>
        </is>
      </c>
      <c r="G26" s="9" t="inlineStr">
        <is>
          <t>Model estimate</t>
        </is>
      </c>
      <c r="H26" s="23" t="inlineStr">
        <is>
          <t>Pay and keep, at Pacifican wage levels.</t>
        </is>
      </c>
    </row>
    <row r="27">
      <c r="B27" s="9" t="inlineStr">
        <is>
          <t>Ship maintenance / replacement cost</t>
        </is>
      </c>
      <c r="C27" s="33" t="n">
        <v>0.05</v>
      </c>
      <c r="D27" s="33" t="n">
        <v>0.05</v>
      </c>
      <c r="E27" s="34">
        <f>IF(case_sel=1,C27,D27)</f>
        <v/>
      </c>
      <c r="F27" s="9" t="inlineStr">
        <is>
          <t>share</t>
        </is>
      </c>
      <c r="G27" s="9" t="inlineStr">
        <is>
          <t>Model estimate</t>
        </is>
      </c>
      <c r="H27" s="23" t="inlineStr"/>
    </row>
    <row r="28">
      <c r="B28" s="9" t="inlineStr">
        <is>
          <t>Bases, yards, training / running costs</t>
        </is>
      </c>
      <c r="C28" s="33" t="n">
        <v>0.15</v>
      </c>
      <c r="D28" s="33" t="n">
        <v>0.15</v>
      </c>
      <c r="E28" s="34">
        <f>IF(case_sel=1,C28,D28)</f>
        <v/>
      </c>
      <c r="F28" s="9" t="inlineStr">
        <is>
          <t>share</t>
        </is>
      </c>
      <c r="G28" s="9" t="inlineStr">
        <is>
          <t>Model estimate</t>
        </is>
      </c>
      <c r="H28" s="23" t="inlineStr"/>
    </row>
    <row r="29">
      <c r="B29" s="9" t="inlineStr">
        <is>
          <t>Crew of an oil-fired ship vs coal-fired</t>
        </is>
      </c>
      <c r="C29" s="35" t="n">
        <v>0.78</v>
      </c>
      <c r="D29" s="35" t="n">
        <v>0.78</v>
      </c>
      <c r="E29" s="32">
        <f>IF(case_sel=1,C29,D29)</f>
        <v/>
      </c>
      <c r="F29" s="9" t="inlineStr">
        <is>
          <t>×</t>
        </is>
      </c>
      <c r="G29" s="9" t="inlineStr">
        <is>
          <t>Model estimate</t>
        </is>
      </c>
      <c r="H29" s="23" t="inlineStr">
        <is>
          <t>Oil removes most stokers and coal trimmers, about a fifth of a coal ship's crew.</t>
        </is>
      </c>
    </row>
    <row r="30">
      <c r="B30" s="9" t="inlineStr">
        <is>
          <t>Fuel cost of own oil vs bought coal</t>
        </is>
      </c>
      <c r="C30" s="35" t="n">
        <v>0.7</v>
      </c>
      <c r="D30" s="35" t="n">
        <v>0.7</v>
      </c>
      <c r="E30" s="32">
        <f>IF(case_sel=1,C30,D30)</f>
        <v/>
      </c>
      <c r="F30" s="9" t="inlineStr">
        <is>
          <t>×</t>
        </is>
      </c>
      <c r="G30" s="9" t="inlineStr">
        <is>
          <t>Model estimate</t>
        </is>
      </c>
      <c r="H30" s="23" t="inlineStr">
        <is>
          <t>Domestic oil, no colliers or foreign coaling stations.</t>
        </is>
      </c>
    </row>
    <row r="31">
      <c r="B31" s="9" t="inlineStr">
        <is>
          <t>Pacifica's share of common costs from 1927</t>
        </is>
      </c>
      <c r="C31" s="33" t="n">
        <v>0.65</v>
      </c>
      <c r="D31" s="33" t="n">
        <v>0.65</v>
      </c>
      <c r="E31" s="34">
        <f>IF(case_sel=1,C31,D31)</f>
        <v/>
      </c>
      <c r="F31" s="9" t="inlineStr">
        <is>
          <t>share</t>
        </is>
      </c>
      <c r="G31" s="9" t="inlineStr">
        <is>
          <t>Proposed</t>
        </is>
      </c>
      <c r="H31" s="23" t="inlineStr">
        <is>
          <t>Old model working convention (OPEN FIN-13). Japan pays the rest.</t>
        </is>
      </c>
    </row>
    <row r="32">
      <c r="B32" s="7" t="inlineStr">
        <is>
          <t>— Financing —</t>
        </is>
      </c>
      <c r="C32" s="8" t="n"/>
      <c r="D32" s="8" t="n"/>
      <c r="E32" s="8" t="n"/>
      <c r="F32" s="8" t="n"/>
      <c r="G32" s="8" t="n"/>
      <c r="H32" s="8" t="n"/>
    </row>
    <row r="33">
      <c r="B33" s="9" t="inlineStr">
        <is>
          <t>Treasury cash at the 1846 founding</t>
        </is>
      </c>
      <c r="C33" s="29" t="n">
        <v>0.05</v>
      </c>
      <c r="D33" s="29" t="n">
        <v>0.05</v>
      </c>
      <c r="E33" s="30">
        <f>IF(case_sel=1,C33,D33)</f>
        <v/>
      </c>
      <c r="F33" s="9" t="inlineStr">
        <is>
          <t>$m</t>
        </is>
      </c>
      <c r="G33" s="9" t="inlineStr">
        <is>
          <t>Model estimate</t>
        </is>
      </c>
      <c r="H33" s="23" t="inlineStr">
        <is>
          <t>Old model value.</t>
        </is>
      </c>
    </row>
    <row r="34">
      <c r="B34" s="9" t="inlineStr">
        <is>
          <t>Cash kept / annual receipts</t>
        </is>
      </c>
      <c r="C34" s="33" t="n">
        <v>0.25</v>
      </c>
      <c r="D34" s="33" t="n">
        <v>0.25</v>
      </c>
      <c r="E34" s="34">
        <f>IF(case_sel=1,C34,D34)</f>
        <v/>
      </c>
      <c r="F34" s="9" t="inlineStr">
        <is>
          <t>share</t>
        </is>
      </c>
      <c r="G34" s="9" t="inlineStr">
        <is>
          <t>Model estimate</t>
        </is>
      </c>
      <c r="H34" s="23" t="inlineStr">
        <is>
          <t>Old model value.</t>
        </is>
      </c>
    </row>
    <row r="35">
      <c r="B35" s="9" t="inlineStr">
        <is>
          <t>Bond issue price / face</t>
        </is>
      </c>
      <c r="C35" s="33" t="n">
        <v>0.97</v>
      </c>
      <c r="D35" s="33" t="n">
        <v>0.97</v>
      </c>
      <c r="E35" s="34">
        <f>IF(case_sel=1,C35,D35)</f>
        <v/>
      </c>
      <c r="F35" s="9" t="inlineStr">
        <is>
          <t>share</t>
        </is>
      </c>
      <c r="G35" s="9" t="inlineStr">
        <is>
          <t>Model estimate</t>
        </is>
      </c>
      <c r="H35" s="23" t="inlineStr"/>
    </row>
    <row r="36">
      <c r="B36" s="9" t="inlineStr">
        <is>
          <t>Scheduled debt repayment per year</t>
        </is>
      </c>
      <c r="C36" s="33" t="n">
        <v>0.02</v>
      </c>
      <c r="D36" s="33" t="n">
        <v>0.02</v>
      </c>
      <c r="E36" s="34">
        <f>IF(case_sel=1,C36,D36)</f>
        <v/>
      </c>
      <c r="F36" s="9" t="inlineStr">
        <is>
          <t>share</t>
        </is>
      </c>
      <c r="G36" s="9" t="inlineStr">
        <is>
          <t>Model estimate</t>
        </is>
      </c>
      <c r="H36" s="23" t="inlineStr"/>
    </row>
    <row r="37">
      <c r="B37" s="9" t="inlineStr">
        <is>
          <t>Share of surplus used to repay debt</t>
        </is>
      </c>
      <c r="C37" s="33" t="n">
        <v>0.8</v>
      </c>
      <c r="D37" s="33" t="n">
        <v>0.8</v>
      </c>
      <c r="E37" s="34">
        <f>IF(case_sel=1,C37,D37)</f>
        <v/>
      </c>
      <c r="F37" s="9" t="inlineStr">
        <is>
          <t>share</t>
        </is>
      </c>
      <c r="G37" s="9" t="inlineStr">
        <is>
          <t>Model estimate</t>
        </is>
      </c>
      <c r="H37" s="23" t="inlineStr">
        <is>
          <t>The rest of a surplus goes to the Treasury Reserve Fund.</t>
        </is>
      </c>
    </row>
    <row r="38">
      <c r="B38" s="9" t="inlineStr">
        <is>
          <t>Most new bonds the home market can take / GDP</t>
        </is>
      </c>
      <c r="C38" s="33" t="n">
        <v>0.06</v>
      </c>
      <c r="D38" s="33" t="n">
        <v>0.06</v>
      </c>
      <c r="E38" s="34">
        <f>IF(case_sel=1,C38,D38)</f>
        <v/>
      </c>
      <c r="F38" s="9" t="inlineStr">
        <is>
          <t>share</t>
        </is>
      </c>
      <c r="G38" s="9" t="inlineStr">
        <is>
          <t>Model estimate</t>
        </is>
      </c>
      <c r="H38" s="23" t="inlineStr">
        <is>
          <t>Old model's market cash commitment limit. Used only in Checks.</t>
        </is>
      </c>
    </row>
    <row r="39">
      <c r="B39" s="9" t="inlineStr">
        <is>
          <t>Bonds London and other markets will take per year</t>
        </is>
      </c>
      <c r="C39" s="29" t="n">
        <v>10</v>
      </c>
      <c r="D39" s="29" t="n">
        <v>10</v>
      </c>
      <c r="E39" s="30">
        <f>IF(case_sel=1,C39,D39)</f>
        <v/>
      </c>
      <c r="F39" s="9" t="inlineStr">
        <is>
          <t>$m</t>
        </is>
      </c>
      <c r="G39" s="9" t="inlineStr">
        <is>
          <t>Model estimate</t>
        </is>
      </c>
      <c r="H39" s="23" t="inlineStr">
        <is>
          <t>Early Pacifica depends on foreign credit (§8-9). Used only in Checks.</t>
        </is>
      </c>
    </row>
    <row r="40">
      <c r="B40" s="7" t="inlineStr">
        <is>
          <t>— Foreign lending —</t>
        </is>
      </c>
      <c r="C40" s="8" t="n"/>
      <c r="D40" s="8" t="n"/>
      <c r="E40" s="8" t="n"/>
      <c r="F40" s="8" t="n"/>
      <c r="G40" s="8" t="n"/>
      <c r="H40" s="8" t="n"/>
    </row>
    <row r="41">
      <c r="B41" s="9" t="inlineStr">
        <is>
          <t>Coupon: continental loans (Union, Confederacy, Cuba)</t>
        </is>
      </c>
      <c r="C41" s="33" t="n">
        <v>0.05</v>
      </c>
      <c r="D41" s="33" t="n">
        <v>0.05</v>
      </c>
      <c r="E41" s="34">
        <f>IF(case_sel=1,C41,D41)</f>
        <v/>
      </c>
      <c r="F41" s="9" t="inlineStr">
        <is>
          <t>share</t>
        </is>
      </c>
      <c r="G41" s="9" t="inlineStr">
        <is>
          <t>Model estimate</t>
        </is>
      </c>
      <c r="H41" s="23" t="inlineStr"/>
    </row>
    <row r="42">
      <c r="B42" s="9" t="inlineStr">
        <is>
          <t>Repayment: continental loans</t>
        </is>
      </c>
      <c r="C42" s="33" t="n">
        <v>0.04</v>
      </c>
      <c r="D42" s="33" t="n">
        <v>0.04</v>
      </c>
      <c r="E42" s="34">
        <f>IF(case_sel=1,C42,D42)</f>
        <v/>
      </c>
      <c r="F42" s="9" t="inlineStr">
        <is>
          <t>share</t>
        </is>
      </c>
      <c r="G42" s="9" t="inlineStr">
        <is>
          <t>Model estimate</t>
        </is>
      </c>
      <c r="H42" s="23" t="inlineStr"/>
    </row>
    <row r="43">
      <c r="B43" s="9" t="inlineStr">
        <is>
          <t>Coupon: Asian partner loans</t>
        </is>
      </c>
      <c r="C43" s="33" t="n">
        <v>0.055</v>
      </c>
      <c r="D43" s="33" t="n">
        <v>0.055</v>
      </c>
      <c r="E43" s="34">
        <f>IF(case_sel=1,C43,D43)</f>
        <v/>
      </c>
      <c r="F43" s="9" t="inlineStr">
        <is>
          <t>share</t>
        </is>
      </c>
      <c r="G43" s="9" t="inlineStr">
        <is>
          <t>Model estimate</t>
        </is>
      </c>
      <c r="H43" s="23" t="inlineStr"/>
    </row>
    <row r="44">
      <c r="B44" s="9" t="inlineStr">
        <is>
          <t>Repayment: Asian partner loans</t>
        </is>
      </c>
      <c r="C44" s="33" t="n">
        <v>0.04</v>
      </c>
      <c r="D44" s="33" t="n">
        <v>0.04</v>
      </c>
      <c r="E44" s="34">
        <f>IF(case_sel=1,C44,D44)</f>
        <v/>
      </c>
      <c r="F44" s="9" t="inlineStr">
        <is>
          <t>share</t>
        </is>
      </c>
      <c r="G44" s="9" t="inlineStr">
        <is>
          <t>Model estimate</t>
        </is>
      </c>
      <c r="H44" s="23" t="inlineStr"/>
    </row>
    <row r="45">
      <c r="B45" s="9" t="inlineStr">
        <is>
          <t>Coupon: 1931-32 rescue loans</t>
        </is>
      </c>
      <c r="C45" s="33" t="n">
        <v>0.04</v>
      </c>
      <c r="D45" s="33" t="n">
        <v>0.04</v>
      </c>
      <c r="E45" s="34">
        <f>IF(case_sel=1,C45,D45)</f>
        <v/>
      </c>
      <c r="F45" s="9" t="inlineStr">
        <is>
          <t>share</t>
        </is>
      </c>
      <c r="G45" s="9" t="inlineStr">
        <is>
          <t>Model estimate</t>
        </is>
      </c>
      <c r="H45" s="23" t="inlineStr">
        <is>
          <t>Repayment starts after 1932.</t>
        </is>
      </c>
    </row>
    <row r="46">
      <c r="B46" s="9" t="inlineStr">
        <is>
          <t>Entente credit organized 1914-18</t>
        </is>
      </c>
      <c r="C46" s="36" t="n">
        <v>8500</v>
      </c>
      <c r="D46" s="36" t="n">
        <v>8500</v>
      </c>
      <c r="E46" s="30">
        <f>IF(case_sel=1,C46,D46)</f>
        <v/>
      </c>
      <c r="F46" s="9" t="inlineStr">
        <is>
          <t>$m</t>
        </is>
      </c>
      <c r="G46" s="9" t="inlineStr">
        <is>
          <t>Proposed</t>
        </is>
      </c>
      <c r="H46" s="23" t="inlineStr">
        <is>
          <t>Sol's proposal tested $3bn and $8.5bn. Union investors buy most of it through San Francisco.</t>
        </is>
      </c>
    </row>
    <row r="47">
      <c r="B47" s="9" t="inlineStr">
        <is>
          <t>Treasury's own share of Entente credit</t>
        </is>
      </c>
      <c r="C47" s="37" t="n">
        <v>0.2</v>
      </c>
      <c r="D47" s="37" t="n">
        <v>0.3</v>
      </c>
      <c r="E47" s="34">
        <f>IF(case_sel=1,C47,D47)</f>
        <v/>
      </c>
      <c r="F47" s="9" t="inlineStr">
        <is>
          <t>share</t>
        </is>
      </c>
      <c r="G47" s="9" t="inlineStr">
        <is>
          <t>Model estimate</t>
        </is>
      </c>
      <c r="H47" s="23" t="inlineStr">
        <is>
          <t>Sol's proposal used 10%. A bigger economy can carry 20%; stress case assumes fewer outside buyers.</t>
        </is>
      </c>
    </row>
    <row r="48">
      <c r="B48" s="9" t="inlineStr">
        <is>
          <t>Entente credit written off when Russia defaults (1918)</t>
        </is>
      </c>
      <c r="C48" s="33" t="n">
        <v>0.12</v>
      </c>
      <c r="D48" s="33" t="n">
        <v>0.15</v>
      </c>
      <c r="E48" s="34">
        <f>IF(case_sel=1,C48,D48)</f>
        <v/>
      </c>
      <c r="F48" s="9" t="inlineStr">
        <is>
          <t>share</t>
        </is>
      </c>
      <c r="G48" s="9" t="inlineStr">
        <is>
          <t>Model estimate</t>
        </is>
      </c>
      <c r="H48" s="23" t="inlineStr"/>
    </row>
    <row r="49">
      <c r="B49" s="9" t="inlineStr">
        <is>
          <t>Western cession vendor credit to the Union</t>
        </is>
      </c>
      <c r="C49" s="29" t="n">
        <v>40</v>
      </c>
      <c r="D49" s="29" t="n">
        <v>40</v>
      </c>
      <c r="E49" s="30">
        <f>IF(case_sel=1,C49,D49)</f>
        <v/>
      </c>
      <c r="F49" s="9" t="inlineStr">
        <is>
          <t>$m</t>
        </is>
      </c>
      <c r="G49" s="9" t="inlineStr">
        <is>
          <t>Proposed</t>
        </is>
      </c>
      <c r="H49" s="23" t="inlineStr">
        <is>
          <t>§12: $40m gold in instalments through 1872.</t>
        </is>
      </c>
    </row>
    <row r="50">
      <c r="B50" s="7" t="inlineStr">
        <is>
          <t>— Wars and crises —</t>
        </is>
      </c>
      <c r="C50" s="8" t="n"/>
      <c r="D50" s="8" t="n"/>
      <c r="E50" s="8" t="n"/>
      <c r="F50" s="8" t="n"/>
      <c r="G50" s="8" t="n"/>
      <c r="H50" s="8" t="n"/>
    </row>
    <row r="51">
      <c r="B51" s="9" t="inlineStr">
        <is>
          <t>Siberian campaign, Pacifican spending 1918-22</t>
        </is>
      </c>
      <c r="C51" s="36" t="n">
        <v>808</v>
      </c>
      <c r="D51" s="36" t="n">
        <v>1212</v>
      </c>
      <c r="E51" s="30">
        <f>IF(case_sel=1,C51,D51)</f>
        <v/>
      </c>
      <c r="F51" s="9" t="inlineStr">
        <is>
          <t>$m</t>
        </is>
      </c>
      <c r="G51" s="9" t="inlineStr">
        <is>
          <t>Model estimate</t>
        </is>
      </c>
      <c r="H51" s="23" t="inlineStr">
        <is>
          <t>Old model $807.9m; stress case +50% (Sol's adverse procurement case).</t>
        </is>
      </c>
    </row>
    <row r="52">
      <c r="B52" s="9" t="inlineStr">
        <is>
          <t>Permanent Siberian front, all partners, per year</t>
        </is>
      </c>
      <c r="C52" s="29" t="n">
        <v>80</v>
      </c>
      <c r="D52" s="29" t="n">
        <v>112</v>
      </c>
      <c r="E52" s="30">
        <f>IF(case_sel=1,C52,D52)</f>
        <v/>
      </c>
      <c r="F52" s="9" t="inlineStr">
        <is>
          <t>$m</t>
        </is>
      </c>
      <c r="G52" s="9" t="inlineStr">
        <is>
          <t>Model estimate</t>
        </is>
      </c>
      <c r="H52" s="23" t="inlineStr">
        <is>
          <t>Old model working / adverse values.</t>
        </is>
      </c>
    </row>
    <row r="53">
      <c r="B53" s="9" t="inlineStr">
        <is>
          <t>Second gold rescue of the Union, 1931-32</t>
        </is>
      </c>
      <c r="C53" s="36" t="n">
        <v>400</v>
      </c>
      <c r="D53" s="36" t="n">
        <v>700</v>
      </c>
      <c r="E53" s="30">
        <f>IF(case_sel=1,C53,D53)</f>
        <v/>
      </c>
      <c r="F53" s="9" t="inlineStr">
        <is>
          <t>$m</t>
        </is>
      </c>
      <c r="G53" s="9" t="inlineStr">
        <is>
          <t>Proposed</t>
        </is>
      </c>
      <c r="H53" s="23" t="inlineStr">
        <is>
          <t>Old model $400m; §34 says the scale needs audit.</t>
        </is>
      </c>
    </row>
    <row r="54">
      <c r="B54" s="9" t="inlineStr">
        <is>
          <t>Recapitalisation of Pacifican banks 1931-32</t>
        </is>
      </c>
      <c r="C54" s="29" t="n">
        <v>150</v>
      </c>
      <c r="D54" s="29" t="n">
        <v>300</v>
      </c>
      <c r="E54" s="30">
        <f>IF(case_sel=1,C54,D54)</f>
        <v/>
      </c>
      <c r="F54" s="9" t="inlineStr">
        <is>
          <t>$m</t>
        </is>
      </c>
      <c r="G54" s="9" t="inlineStr">
        <is>
          <t>Model estimate</t>
        </is>
      </c>
      <c r="H54" s="23" t="inlineStr"/>
    </row>
    <row r="55">
      <c r="B55" s="9" t="inlineStr">
        <is>
          <t>Reserve Bank purchases of Treasury bonds 1931-32</t>
        </is>
      </c>
      <c r="C55" s="36" t="n">
        <v>0</v>
      </c>
      <c r="D55" s="36" t="n">
        <v>400</v>
      </c>
      <c r="E55" s="30">
        <f>IF(case_sel=1,C55,D55)</f>
        <v/>
      </c>
      <c r="F55" s="9" t="inlineStr">
        <is>
          <t>$m</t>
        </is>
      </c>
      <c r="G55" s="9" t="inlineStr">
        <is>
          <t>Proposed</t>
        </is>
      </c>
      <c r="H55" s="23" t="inlineStr">
        <is>
          <t>Sol's proposal needed $400m. The story case does not need it; the stress case does.</t>
        </is>
      </c>
    </row>
    <row r="56">
      <c r="B56" s="7" t="inlineStr">
        <is>
          <t>— Money and gold —</t>
        </is>
      </c>
      <c r="C56" s="8" t="n"/>
      <c r="D56" s="8" t="n"/>
      <c r="E56" s="8" t="n"/>
      <c r="F56" s="8" t="n"/>
      <c r="G56" s="8" t="n"/>
      <c r="H56" s="8" t="n"/>
    </row>
    <row r="57">
      <c r="B57" s="9" t="inlineStr">
        <is>
          <t>New gold kept as monetary metal</t>
        </is>
      </c>
      <c r="C57" s="33" t="n">
        <v>0.2</v>
      </c>
      <c r="D57" s="33" t="n">
        <v>0.2</v>
      </c>
      <c r="E57" s="34">
        <f>IF(case_sel=1,C57,D57)</f>
        <v/>
      </c>
      <c r="F57" s="9" t="inlineStr">
        <is>
          <t>share</t>
        </is>
      </c>
      <c r="G57" s="9" t="inlineStr">
        <is>
          <t>Model estimate</t>
        </is>
      </c>
      <c r="H57" s="23" t="inlineStr">
        <is>
          <t>Old model 0.6. Most private bullion is exported (§8), so 20% here.</t>
        </is>
      </c>
    </row>
    <row r="58">
      <c r="B58" s="9" t="inlineStr">
        <is>
          <t>Concession gold (Korea, Kolyma) sold to the Reserve Bank</t>
        </is>
      </c>
      <c r="C58" s="33" t="n">
        <v>0.6</v>
      </c>
      <c r="D58" s="33" t="n">
        <v>0.4</v>
      </c>
      <c r="E58" s="34">
        <f>IF(case_sel=1,C58,D58)</f>
        <v/>
      </c>
      <c r="F58" s="9" t="inlineStr">
        <is>
          <t>share</t>
        </is>
      </c>
      <c r="G58" s="9" t="inlineStr">
        <is>
          <t>Proposed</t>
        </is>
      </c>
      <c r="H58" s="23" t="inlineStr">
        <is>
          <t>CR-021 H: Pacifican concession companies sell most of their gold in San Francisco against credit.</t>
        </is>
      </c>
    </row>
    <row r="59">
      <c r="B59" s="9" t="inlineStr">
        <is>
          <t>Gold inflow from the external surplus / GDP</t>
        </is>
      </c>
      <c r="C59" s="38" t="n">
        <v>0.002</v>
      </c>
      <c r="D59" s="38" t="n">
        <v>0.0012</v>
      </c>
      <c r="E59" s="39">
        <f>IF(case_sel=1,C59,D59)</f>
        <v/>
      </c>
      <c r="F59" s="9" t="inlineStr">
        <is>
          <t>share</t>
        </is>
      </c>
      <c r="G59" s="9" t="inlineStr">
        <is>
          <t>Model estimate</t>
        </is>
      </c>
      <c r="H59" s="23" t="inlineStr">
        <is>
          <t>Creditor and exporter of oil, wheat, copper and shipping services.</t>
        </is>
      </c>
    </row>
    <row r="60">
      <c r="B60" s="9" t="inlineStr">
        <is>
          <t>Notes and bank reserves / GDP</t>
        </is>
      </c>
      <c r="C60" s="33" t="n">
        <v>0.07000000000000001</v>
      </c>
      <c r="D60" s="33" t="n">
        <v>0.07000000000000001</v>
      </c>
      <c r="E60" s="34">
        <f>IF(case_sel=1,C60,D60)</f>
        <v/>
      </c>
      <c r="F60" s="9" t="inlineStr">
        <is>
          <t>share</t>
        </is>
      </c>
      <c r="G60" s="9" t="inlineStr">
        <is>
          <t>Model estimate</t>
        </is>
      </c>
      <c r="H60" s="23" t="inlineStr">
        <is>
          <t>US monetary base was about 6% of GDP in 1929.</t>
        </is>
      </c>
    </row>
    <row r="61">
      <c r="B61" s="9" t="inlineStr">
        <is>
          <t>Gold cover required</t>
        </is>
      </c>
      <c r="C61" s="33" t="n">
        <v>0.4</v>
      </c>
      <c r="D61" s="33" t="n">
        <v>0.4</v>
      </c>
      <c r="E61" s="34">
        <f>IF(case_sel=1,C61,D61)</f>
        <v/>
      </c>
      <c r="F61" s="9" t="inlineStr">
        <is>
          <t>share</t>
        </is>
      </c>
      <c r="G61" s="9" t="inlineStr">
        <is>
          <t>Proposed</t>
        </is>
      </c>
      <c r="H61" s="23" t="inlineStr">
        <is>
          <t>Sol's proposal and old model: 40%.</t>
        </is>
      </c>
    </row>
    <row r="62">
      <c r="B62" s="7" t="inlineStr">
        <is>
          <t>— Gulf Republic —</t>
        </is>
      </c>
      <c r="C62" s="8" t="n"/>
      <c r="D62" s="8" t="n"/>
      <c r="E62" s="8" t="n"/>
      <c r="F62" s="8" t="n"/>
      <c r="G62" s="8" t="n"/>
      <c r="H62" s="8" t="n"/>
    </row>
    <row r="63">
      <c r="B63" s="9" t="inlineStr">
        <is>
          <t>Gulf Republic joins Pacifica (1 = yes, 0 = no)</t>
        </is>
      </c>
      <c r="C63" s="40" t="n">
        <v>0</v>
      </c>
      <c r="D63" s="40" t="n">
        <v>0</v>
      </c>
      <c r="E63" s="41">
        <f>IF(case_sel=1,C63,D63)</f>
        <v/>
      </c>
      <c r="F63" s="9" t="inlineStr">
        <is>
          <t>switch</t>
        </is>
      </c>
      <c r="G63" s="9" t="inlineStr">
        <is>
          <t>Proposed</t>
        </is>
      </c>
      <c r="H63" s="23" t="inlineStr">
        <is>
          <t>§25 admission test. Off keeps the Gulf an allied republic, as the master storyline has it.</t>
        </is>
      </c>
    </row>
    <row r="64">
      <c r="B64" s="9" t="inlineStr">
        <is>
          <t>Years every measure must be held before admission</t>
        </is>
      </c>
      <c r="C64" s="36" t="n">
        <v>25</v>
      </c>
      <c r="D64" s="36" t="n">
        <v>25</v>
      </c>
      <c r="E64" s="30">
        <f>IF(case_sel=1,C64,D64)</f>
        <v/>
      </c>
      <c r="F64" s="9" t="inlineStr">
        <is>
          <t>years</t>
        </is>
      </c>
      <c r="G64" s="9" t="inlineStr">
        <is>
          <t>Approved</t>
        </is>
      </c>
      <c r="H64" s="23" t="inlineStr">
        <is>
          <t>OPEN-020-04: a generation; Pacifica reserves the right to ask for a second. It is in no hurry.</t>
        </is>
      </c>
    </row>
    <row r="65">
      <c r="B65" s="9" t="inlineStr">
        <is>
          <t>Year the Gulf joins (test only)</t>
        </is>
      </c>
      <c r="C65" s="40" t="n">
        <v>1960</v>
      </c>
      <c r="D65" s="40" t="n">
        <v>1960</v>
      </c>
      <c r="E65" s="41">
        <f>IF(case_sel=1,C65,D65)</f>
        <v/>
      </c>
      <c r="F65" s="9" t="inlineStr">
        <is>
          <t>year</t>
        </is>
      </c>
      <c r="G65" s="9" t="inlineStr">
        <is>
          <t>Approved</t>
        </is>
      </c>
      <c r="H65" s="23" t="inlineStr">
        <is>
          <t>1929 is the earliest the six indicators allow (three passing years 1926-28; see the Gulf sheet). A year after 1932 delays admission past the Depression and beyond this model.</t>
        </is>
      </c>
    </row>
    <row r="66">
      <c r="B66" s="7" t="inlineStr">
        <is>
          <t>— CR-020: Depression, oil compact, standing debt, investment abroad —</t>
        </is>
      </c>
      <c r="C66" s="8" t="n"/>
      <c r="D66" s="8" t="n"/>
      <c r="E66" s="8" t="n"/>
      <c r="F66" s="8" t="n"/>
      <c r="G66" s="8" t="n"/>
      <c r="H66" s="8" t="n"/>
    </row>
    <row r="67">
      <c r="B67" s="9" t="inlineStr">
        <is>
          <t>Share of the US price fall Pacifica suffers, 1930-32</t>
        </is>
      </c>
      <c r="C67" s="31" t="n">
        <v>0.6</v>
      </c>
      <c r="D67" s="31" t="n">
        <v>1</v>
      </c>
      <c r="E67" s="32">
        <f>IF(case_sel=1,C67,D67)</f>
        <v/>
      </c>
      <c r="F67" s="9" t="inlineStr">
        <is>
          <t>×</t>
        </is>
      </c>
      <c r="G67" s="9" t="inlineStr">
        <is>
          <t>Proposed</t>
        </is>
      </c>
      <c r="H67" s="23" t="inlineStr">
        <is>
          <t>CR-020 B6: Pacifica lends its gold out instead of hoarding it, so its prices fall less than America's. 1 = the full US fall.</t>
        </is>
      </c>
    </row>
    <row r="68">
      <c r="B68" s="9" t="inlineStr">
        <is>
          <t>Oil compact with the Gulf (1 = yes; from the year below)</t>
        </is>
      </c>
      <c r="C68" s="40" t="n">
        <v>1</v>
      </c>
      <c r="D68" s="40" t="n">
        <v>0</v>
      </c>
      <c r="E68" s="41">
        <f>IF(case_sel=1,C68,D68)</f>
        <v/>
      </c>
      <c r="F68" s="9" t="inlineStr">
        <is>
          <t>switch</t>
        </is>
      </c>
      <c r="G68" s="9" t="inlineStr">
        <is>
          <t>Proposed</t>
        </is>
      </c>
      <c r="H68" s="23" t="inlineStr">
        <is>
          <t>CR-020 B6: limits output after the East Texas glut and holds the price. Keeps the Gulf's wage indicator from failing in 1931-33.</t>
        </is>
      </c>
    </row>
    <row r="69">
      <c r="B69" s="9" t="inlineStr">
        <is>
          <t>Oil price the compact holds ($ per barrel)</t>
        </is>
      </c>
      <c r="C69" s="29" t="n">
        <v>0.95</v>
      </c>
      <c r="D69" s="29" t="n">
        <v>0.95</v>
      </c>
      <c r="E69" s="30">
        <f>IF(case_sel=1,C69,D69)</f>
        <v/>
      </c>
      <c r="F69" s="9" t="inlineStr">
        <is>
          <t>$</t>
        </is>
      </c>
      <c r="G69" s="9" t="inlineStr">
        <is>
          <t>Proposed</t>
        </is>
      </c>
      <c r="H69" s="23" t="inlineStr">
        <is>
          <t>Historical California crude fell to about $0.70; East Texas to about $0.10.</t>
        </is>
      </c>
    </row>
    <row r="70">
      <c r="B70" s="9" t="inlineStr">
        <is>
          <t>Output cut under the compact</t>
        </is>
      </c>
      <c r="C70" s="33" t="n">
        <v>0.15</v>
      </c>
      <c r="D70" s="33" t="n">
        <v>0.15</v>
      </c>
      <c r="E70" s="34">
        <f>IF(case_sel=1,C70,D70)</f>
        <v/>
      </c>
      <c r="F70" s="9" t="inlineStr">
        <is>
          <t>share</t>
        </is>
      </c>
      <c r="G70" s="9" t="inlineStr">
        <is>
          <t>Proposed</t>
        </is>
      </c>
      <c r="H70" s="23" t="inlineStr"/>
    </row>
    <row r="71">
      <c r="B71" s="9" t="inlineStr">
        <is>
          <t>First year of the oil compact</t>
        </is>
      </c>
      <c r="C71" s="42" t="n">
        <v>1932</v>
      </c>
      <c r="D71" s="42" t="n">
        <v>1932</v>
      </c>
      <c r="E71" s="41">
        <f>IF(case_sel=1,C71,D71)</f>
        <v/>
      </c>
      <c r="F71" s="9" t="inlineStr">
        <is>
          <t>year</t>
        </is>
      </c>
      <c r="G71" s="9" t="inlineStr">
        <is>
          <t>Proposed</t>
        </is>
      </c>
      <c r="H71" s="23" t="inlineStr">
        <is>
          <t>OPEN-020-04 decided: the compact comes a year late, after a year of 10-cent East Texas oil, so 1931 narrowly breaks the Gulf's streak.</t>
        </is>
      </c>
    </row>
    <row r="72">
      <c r="B72" s="9" t="inlineStr">
        <is>
          <t>Fall in the Gulf's real wage, 1931-33, without a compact</t>
        </is>
      </c>
      <c r="C72" s="33" t="n">
        <v>0.09</v>
      </c>
      <c r="D72" s="33" t="n">
        <v>0.12</v>
      </c>
      <c r="E72" s="34">
        <f>IF(case_sel=1,C72,D72)</f>
        <v/>
      </c>
      <c r="F72" s="9" t="inlineStr">
        <is>
          <t>share</t>
        </is>
      </c>
      <c r="G72" s="9" t="inlineStr">
        <is>
          <t>Model estimate</t>
        </is>
      </c>
      <c r="H72" s="23" t="inlineStr">
        <is>
          <t>Enough to break the Gulf's admission streak (CR-020 B5).</t>
        </is>
      </c>
    </row>
    <row r="73">
      <c r="B73" s="9" t="inlineStr">
        <is>
          <t>Fall in Gulf output, 1931-32, without a compact</t>
        </is>
      </c>
      <c r="C73" s="33" t="n">
        <v>0.05</v>
      </c>
      <c r="D73" s="33" t="n">
        <v>0.05</v>
      </c>
      <c r="E73" s="34">
        <f>IF(case_sel=1,C73,D73)</f>
        <v/>
      </c>
      <c r="F73" s="9" t="inlineStr">
        <is>
          <t>share</t>
        </is>
      </c>
      <c r="G73" s="9" t="inlineStr">
        <is>
          <t>Model estimate</t>
        </is>
      </c>
      <c r="H73" s="23" t="inlineStr"/>
    </row>
    <row r="74">
      <c r="B74" s="9" t="inlineStr">
        <is>
          <t>Standing public debt kept from 1887 / GDP</t>
        </is>
      </c>
      <c r="C74" s="37" t="n">
        <v>0.05</v>
      </c>
      <c r="D74" s="37" t="n">
        <v>0.05</v>
      </c>
      <c r="E74" s="34">
        <f>IF(case_sel=1,C74,D74)</f>
        <v/>
      </c>
      <c r="F74" s="9" t="inlineStr">
        <is>
          <t>share</t>
        </is>
      </c>
      <c r="G74" s="9" t="inlineStr">
        <is>
          <t>Proposed</t>
        </is>
      </c>
      <c r="H74" s="23" t="inlineStr">
        <is>
          <t>OPEN-020-06: bonds kept in issue for the Reserve Bank's operations; the proceeds go to the Reserve Fund. Set 0 to repay everything.</t>
        </is>
      </c>
    </row>
    <row r="75">
      <c r="B75" s="9" t="inlineStr">
        <is>
          <t>Pacifican private investors' share of the Entente credit</t>
        </is>
      </c>
      <c r="C75" s="33" t="n">
        <v>0.3</v>
      </c>
      <c r="D75" s="33" t="n">
        <v>0.2</v>
      </c>
      <c r="E75" s="34">
        <f>IF(case_sel=1,C75,D75)</f>
        <v/>
      </c>
      <c r="F75" s="9" t="inlineStr">
        <is>
          <t>share</t>
        </is>
      </c>
      <c r="G75" s="9" t="inlineStr">
        <is>
          <t>Proposed</t>
        </is>
      </c>
      <c r="H75" s="23" t="inlineStr">
        <is>
          <t>CR-020 B4.</t>
        </is>
      </c>
    </row>
    <row r="76">
      <c r="B76" s="9" t="inlineStr">
        <is>
          <t>Return on private investment abroad</t>
        </is>
      </c>
      <c r="C76" s="33" t="n">
        <v>0.06</v>
      </c>
      <c r="D76" s="33" t="n">
        <v>0.05</v>
      </c>
      <c r="E76" s="34">
        <f>IF(case_sel=1,C76,D76)</f>
        <v/>
      </c>
      <c r="F76" s="9" t="inlineStr">
        <is>
          <t>share</t>
        </is>
      </c>
      <c r="G76" s="9" t="inlineStr">
        <is>
          <t>Model estimate</t>
        </is>
      </c>
      <c r="H76" s="23" t="inlineStr">
        <is>
          <t>Britain earned 8-9% of national income from abroad in 1913.</t>
        </is>
      </c>
    </row>
    <row r="77">
      <c r="B77" s="9" t="inlineStr">
        <is>
          <t>Investment abroad repaid or sold each year</t>
        </is>
      </c>
      <c r="C77" s="33" t="n">
        <v>0.03</v>
      </c>
      <c r="D77" s="33" t="n">
        <v>0.03</v>
      </c>
      <c r="E77" s="34">
        <f>IF(case_sel=1,C77,D77)</f>
        <v/>
      </c>
      <c r="F77" s="9" t="inlineStr">
        <is>
          <t>share</t>
        </is>
      </c>
      <c r="G77" s="9" t="inlineStr">
        <is>
          <t>Model estimate</t>
        </is>
      </c>
      <c r="H77" s="23" t="inlineStr"/>
    </row>
    <row r="78">
      <c r="B78" s="9" t="inlineStr">
        <is>
          <t>Losses on investment abroad, 1931-32</t>
        </is>
      </c>
      <c r="C78" s="33" t="n">
        <v>0.08</v>
      </c>
      <c r="D78" s="33" t="n">
        <v>0.15</v>
      </c>
      <c r="E78" s="34">
        <f>IF(case_sel=1,C78,D78)</f>
        <v/>
      </c>
      <c r="F78" s="9" t="inlineStr">
        <is>
          <t>share</t>
        </is>
      </c>
      <c r="G78" s="9" t="inlineStr">
        <is>
          <t>Model estimate</t>
        </is>
      </c>
      <c r="H78" s="23" t="inlineStr">
        <is>
          <t>Defaults and write-downs in the crash.</t>
        </is>
      </c>
    </row>
    <row r="79">
      <c r="B79" s="9" t="inlineStr">
        <is>
          <t>Income from abroad in 1931-32 (× normal)</t>
        </is>
      </c>
      <c r="C79" s="35" t="n">
        <v>0.7</v>
      </c>
      <c r="D79" s="35" t="n">
        <v>0.6</v>
      </c>
      <c r="E79" s="32">
        <f>IF(case_sel=1,C79,D79)</f>
        <v/>
      </c>
      <c r="F79" s="9" t="inlineStr">
        <is>
          <t>×</t>
        </is>
      </c>
      <c r="G79" s="9" t="inlineStr">
        <is>
          <t>Model estimate</t>
        </is>
      </c>
      <c r="H79" s="23" t="inlineStr">
        <is>
          <t>Moratorium and defaults.</t>
        </is>
      </c>
    </row>
    <row r="80">
      <c r="B80" s="9" t="inlineStr">
        <is>
          <t>Tax on income from abroad</t>
        </is>
      </c>
      <c r="C80" s="33" t="n">
        <v>0.1</v>
      </c>
      <c r="D80" s="33" t="n">
        <v>0.1</v>
      </c>
      <c r="E80" s="34">
        <f>IF(case_sel=1,C80,D80)</f>
        <v/>
      </c>
      <c r="F80" s="9" t="inlineStr">
        <is>
          <t>share</t>
        </is>
      </c>
      <c r="G80" s="9" t="inlineStr">
        <is>
          <t>Model estimate</t>
        </is>
      </c>
      <c r="H80" s="23" t="inlineStr"/>
    </row>
    <row r="81">
      <c r="B81" s="7" t="inlineStr">
        <is>
          <t>— CR-020: Development Fund —</t>
        </is>
      </c>
      <c r="C81" s="8" t="n"/>
      <c r="D81" s="8" t="n"/>
      <c r="E81" s="8" t="n"/>
      <c r="F81" s="8" t="n"/>
      <c r="G81" s="8" t="n"/>
      <c r="H81" s="8" t="n"/>
    </row>
    <row r="82">
      <c r="B82" s="9" t="inlineStr">
        <is>
          <t>Share of each surplus invested by the Development Fund</t>
        </is>
      </c>
      <c r="C82" s="37" t="n">
        <v>0.7</v>
      </c>
      <c r="D82" s="37" t="n">
        <v>0.7</v>
      </c>
      <c r="E82" s="34">
        <f>IF(case_sel=1,C82,D82)</f>
        <v/>
      </c>
      <c r="F82" s="9" t="inlineStr">
        <is>
          <t>share</t>
        </is>
      </c>
      <c r="G82" s="9" t="inlineStr">
        <is>
          <t>Proposed</t>
        </is>
      </c>
      <c r="H82" s="23" t="inlineStr">
        <is>
          <t>CR-020 B8: instead of piling up in the Reserve Fund, most of a surplus goes into productive public investment: the Polytechnic and research institutes, the power grid, ports and rail, technical schools, credit for new industries.</t>
        </is>
      </c>
    </row>
    <row r="83">
      <c r="B83" s="9" t="inlineStr">
        <is>
          <t>Lasting rise in output per $1 invested (social return)</t>
        </is>
      </c>
      <c r="C83" s="37" t="n">
        <v>0.3</v>
      </c>
      <c r="D83" s="37" t="n">
        <v>0.15</v>
      </c>
      <c r="E83" s="34">
        <f>IF(case_sel=1,C83,D83)</f>
        <v/>
      </c>
      <c r="F83" s="9" t="inlineStr">
        <is>
          <t>share</t>
        </is>
      </c>
      <c r="G83" s="9" t="inlineStr">
        <is>
          <t>Model estimate</t>
        </is>
      </c>
      <c r="H83" s="23" t="inlineStr">
        <is>
          <t>Each $1 invested raises the next year's output growth by this much per $1 of GDP. Estimates for infrastructure, research and technical education mostly fall between 10% and 40%.</t>
        </is>
      </c>
    </row>
    <row r="84">
      <c r="B84" s="9" t="inlineStr">
        <is>
          <t>First year of the Development Fund</t>
        </is>
      </c>
      <c r="C84" s="42" t="n">
        <v>1880</v>
      </c>
      <c r="D84" s="42" t="n">
        <v>1880</v>
      </c>
      <c r="E84" s="41">
        <f>IF(case_sel=1,C84,D84)</f>
        <v/>
      </c>
      <c r="F84" s="9" t="inlineStr">
        <is>
          <t>year</t>
        </is>
      </c>
      <c r="G84" s="9" t="inlineStr">
        <is>
          <t>Proposed</t>
        </is>
      </c>
      <c r="H84" s="23" t="inlineStr">
        <is>
          <t>Before the regency: Elias's oil and turbine programmes.</t>
        </is>
      </c>
    </row>
    <row r="85">
      <c r="B85" s="9" t="inlineStr">
        <is>
          <t>Standing-debt bonds finance development (1 = yes, 0 = Reserve Fund)</t>
        </is>
      </c>
      <c r="C85" s="40" t="n">
        <v>1</v>
      </c>
      <c r="D85" s="40" t="n">
        <v>1</v>
      </c>
      <c r="E85" s="41">
        <f>IF(case_sel=1,C85,D85)</f>
        <v/>
      </c>
      <c r="F85" s="9" t="inlineStr">
        <is>
          <t>switch</t>
        </is>
      </c>
      <c r="G85" s="9" t="inlineStr">
        <is>
          <t>Proposed</t>
        </is>
      </c>
      <c r="H85" s="23" t="inlineStr">
        <is>
          <t>Development bonds, as in a state-capitalist economy: the bonds kept in issue for the Reserve Bank pay for investment instead of sitting in the Reserve Fund.</t>
        </is>
      </c>
    </row>
    <row r="86">
      <c r="B86" s="9" t="inlineStr">
        <is>
          <t>Reserve Fund kept as a crisis buffer / GDP</t>
        </is>
      </c>
      <c r="C86" s="37" t="n">
        <v>0.03</v>
      </c>
      <c r="D86" s="37" t="n">
        <v>0.03</v>
      </c>
      <c r="E86" s="34">
        <f>IF(case_sel=1,C86,D86)</f>
        <v/>
      </c>
      <c r="F86" s="9" t="inlineStr">
        <is>
          <t>share</t>
        </is>
      </c>
      <c r="G86" s="9" t="inlineStr">
        <is>
          <t>Proposed</t>
        </is>
      </c>
      <c r="H86" s="23" t="inlineStr">
        <is>
          <t>Anything above this is invested by the Development Fund each year.</t>
        </is>
      </c>
    </row>
    <row r="87">
      <c r="B87" s="9" t="inlineStr">
        <is>
          <t>Largest yearly growth boost from the fund</t>
        </is>
      </c>
      <c r="C87" s="33" t="n">
        <v>0.012</v>
      </c>
      <c r="D87" s="33" t="n">
        <v>0.012</v>
      </c>
      <c r="E87" s="34">
        <f>IF(case_sel=1,C87,D87)</f>
        <v/>
      </c>
      <c r="F87" s="9" t="inlineStr">
        <is>
          <t>share</t>
        </is>
      </c>
      <c r="G87" s="9" t="inlineStr">
        <is>
          <t>Model estimate</t>
        </is>
      </c>
      <c r="H87" s="23" t="inlineStr">
        <is>
          <t>A ceiling for diminishing returns; even the fastest frontier economies rarely beat rivals by more than about 1 point a year for decades.</t>
        </is>
      </c>
    </row>
    <row r="88">
      <c r="B88" s="9" t="inlineStr">
        <is>
          <t>Yearly wear-out of the development stock</t>
        </is>
      </c>
      <c r="C88" s="33" t="n">
        <v>0.03</v>
      </c>
      <c r="D88" s="33" t="n">
        <v>0.03</v>
      </c>
      <c r="E88" s="34">
        <f>IF(case_sel=1,C88,D88)</f>
        <v/>
      </c>
      <c r="F88" s="9" t="inlineStr">
        <is>
          <t>share</t>
        </is>
      </c>
      <c r="G88" s="9" t="inlineStr">
        <is>
          <t>Model estimate</t>
        </is>
      </c>
      <c r="H88" s="23" t="inlineStr">
        <is>
          <t>Only for the memo stock column.</t>
        </is>
      </c>
    </row>
    <row r="89">
      <c r="B89" s="7" t="inlineStr">
        <is>
          <t>— CR-020 B9: national champions —</t>
        </is>
      </c>
      <c r="C89" s="8" t="n"/>
      <c r="D89" s="8" t="n"/>
      <c r="E89" s="8" t="n"/>
      <c r="F89" s="8" t="n"/>
      <c r="G89" s="8" t="n"/>
      <c r="H89" s="8" t="n"/>
    </row>
    <row r="90">
      <c r="B90" s="9" t="inlineStr">
        <is>
          <t>Scale of the champions (× story paths)</t>
        </is>
      </c>
      <c r="C90" s="31" t="n">
        <v>1</v>
      </c>
      <c r="D90" s="31" t="n">
        <v>0.6</v>
      </c>
      <c r="E90" s="32">
        <f>IF(case_sel=1,C90,D90)</f>
        <v/>
      </c>
      <c r="F90" s="9" t="inlineStr">
        <is>
          <t>×</t>
        </is>
      </c>
      <c r="G90" s="9" t="inlineStr">
        <is>
          <t>Proposed</t>
        </is>
      </c>
      <c r="H90" s="23" t="inlineStr">
        <is>
          <t>CR-020 B9: oil, steel, motor vehicles, chemicals, electrical, telecom, shipping, finance, film and aircraft. The stress case keeps 60% of what the story claims.</t>
        </is>
      </c>
    </row>
    <row r="91">
      <c r="B91" s="9" t="inlineStr">
        <is>
          <t>Champions' output per worker vs the average job</t>
        </is>
      </c>
      <c r="C91" s="35" t="n">
        <v>1.8</v>
      </c>
      <c r="D91" s="35" t="n">
        <v>1.6</v>
      </c>
      <c r="E91" s="32">
        <f>IF(case_sel=1,C91,D91)</f>
        <v/>
      </c>
      <c r="F91" s="9" t="inlineStr">
        <is>
          <t>×</t>
        </is>
      </c>
      <c r="G91" s="9" t="inlineStr">
        <is>
          <t>Model estimate</t>
        </is>
      </c>
      <c r="H91" s="23" t="inlineStr">
        <is>
          <t>Only this premium adds to GDP: the champions' workers are residents whose average output is already counted (CR-020 B10).</t>
        </is>
      </c>
    </row>
    <row r="92">
      <c r="B92" s="9" t="inlineStr">
        <is>
          <t>Supplier and city spillovers (× champions' value added)</t>
        </is>
      </c>
      <c r="C92" s="35" t="n">
        <v>0.25</v>
      </c>
      <c r="D92" s="35" t="n">
        <v>0.1</v>
      </c>
      <c r="E92" s="32">
        <f>IF(case_sel=1,C92,D92)</f>
        <v/>
      </c>
      <c r="F92" s="9" t="inlineStr">
        <is>
          <t>×</t>
        </is>
      </c>
      <c r="G92" s="9" t="inlineStr">
        <is>
          <t>Model estimate</t>
        </is>
      </c>
      <c r="H92" s="23" t="inlineStr">
        <is>
          <t>Parts makers, machine shops, engineering offices, the service economy of the new industrial cities.</t>
        </is>
      </c>
    </row>
    <row r="93">
      <c r="B93" s="9" t="inlineStr">
        <is>
          <t>Value added / sales: chemicals and drugs</t>
        </is>
      </c>
      <c r="C93" s="33" t="n">
        <v>0.45</v>
      </c>
      <c r="D93" s="33" t="n">
        <v>0.45</v>
      </c>
      <c r="E93" s="34">
        <f>IF(case_sel=1,C93,D93)</f>
        <v/>
      </c>
      <c r="F93" s="9" t="inlineStr">
        <is>
          <t>share</t>
        </is>
      </c>
      <c r="G93" s="9" t="inlineStr">
        <is>
          <t>Model estimate</t>
        </is>
      </c>
      <c r="H93" s="23" t="inlineStr"/>
    </row>
    <row r="94">
      <c r="B94" s="9" t="inlineStr">
        <is>
          <t>Value added / sales: electrical equipment</t>
        </is>
      </c>
      <c r="C94" s="33" t="n">
        <v>0.45</v>
      </c>
      <c r="D94" s="33" t="n">
        <v>0.45</v>
      </c>
      <c r="E94" s="34">
        <f>IF(case_sel=1,C94,D94)</f>
        <v/>
      </c>
      <c r="F94" s="9" t="inlineStr">
        <is>
          <t>share</t>
        </is>
      </c>
      <c r="G94" s="9" t="inlineStr">
        <is>
          <t>Model estimate</t>
        </is>
      </c>
      <c r="H94" s="23" t="inlineStr"/>
    </row>
    <row r="95">
      <c r="B95" s="9" t="inlineStr">
        <is>
          <t>Royalty or licence fee on sales</t>
        </is>
      </c>
      <c r="C95" s="33" t="n">
        <v>0.03</v>
      </c>
      <c r="D95" s="33" t="n">
        <v>0.02</v>
      </c>
      <c r="E95" s="34">
        <f>IF(case_sel=1,C95,D95)</f>
        <v/>
      </c>
      <c r="F95" s="9" t="inlineStr">
        <is>
          <t>share</t>
        </is>
      </c>
      <c r="G95" s="9" t="inlineStr">
        <is>
          <t>Model estimate</t>
        </is>
      </c>
      <c r="H95" s="23" t="inlineStr">
        <is>
          <t>Typical patent licences ran 2-5% of sales.</t>
        </is>
      </c>
    </row>
    <row r="96">
      <c r="B96" s="9" t="inlineStr">
        <is>
          <t>Underwriting and banking fees on bonds floated</t>
        </is>
      </c>
      <c r="C96" s="33" t="n">
        <v>0.025</v>
      </c>
      <c r="D96" s="33" t="n">
        <v>0.02</v>
      </c>
      <c r="E96" s="34">
        <f>IF(case_sel=1,C96,D96)</f>
        <v/>
      </c>
      <c r="F96" s="9" t="inlineStr">
        <is>
          <t>share</t>
        </is>
      </c>
      <c r="G96" s="9" t="inlineStr">
        <is>
          <t>Model estimate</t>
        </is>
      </c>
      <c r="H96" s="23" t="inlineStr"/>
    </row>
    <row r="97">
      <c r="B97" s="9" t="inlineStr">
        <is>
          <t>Book value of oil assets abroad (years of earnings)</t>
        </is>
      </c>
      <c r="C97" s="29" t="n">
        <v>7</v>
      </c>
      <c r="D97" s="29" t="n">
        <v>7</v>
      </c>
      <c r="E97" s="30">
        <f>IF(case_sel=1,C97,D97)</f>
        <v/>
      </c>
      <c r="F97" s="9" t="inlineStr">
        <is>
          <t>years</t>
        </is>
      </c>
      <c r="G97" s="9" t="inlineStr">
        <is>
          <t>Model estimate</t>
        </is>
      </c>
      <c r="H97" s="23" t="inlineStr"/>
    </row>
    <row r="98">
      <c r="B98" s="9" t="inlineStr">
        <is>
          <t>Yield: rail, ports and canals abroad</t>
        </is>
      </c>
      <c r="C98" s="33" t="n">
        <v>0.05</v>
      </c>
      <c r="D98" s="33" t="n">
        <v>0.04</v>
      </c>
      <c r="E98" s="34">
        <f>IF(case_sel=1,C98,D98)</f>
        <v/>
      </c>
      <c r="F98" s="9" t="inlineStr">
        <is>
          <t>share</t>
        </is>
      </c>
      <c r="G98" s="9" t="inlineStr">
        <is>
          <t>Model estimate</t>
        </is>
      </c>
      <c r="H98" s="23" t="inlineStr">
        <is>
          <t>British overseas railways paid 4-6%.</t>
        </is>
      </c>
    </row>
    <row r="99">
      <c r="B99" s="9" t="inlineStr">
        <is>
          <t>Yield: cables and telegraphs abroad</t>
        </is>
      </c>
      <c r="C99" s="33" t="n">
        <v>0.1</v>
      </c>
      <c r="D99" s="33" t="n">
        <v>0.08</v>
      </c>
      <c r="E99" s="34">
        <f>IF(case_sel=1,C99,D99)</f>
        <v/>
      </c>
      <c r="F99" s="9" t="inlineStr">
        <is>
          <t>share</t>
        </is>
      </c>
      <c r="G99" s="9" t="inlineStr">
        <is>
          <t>Model estimate</t>
        </is>
      </c>
      <c r="H99" s="23" t="inlineStr">
        <is>
          <t>Cable companies paid 8-12% on monopoly routes.</t>
        </is>
      </c>
    </row>
    <row r="100">
      <c r="B100" s="9" t="inlineStr">
        <is>
          <t>Yield: power companies abroad</t>
        </is>
      </c>
      <c r="C100" s="33" t="n">
        <v>0.07000000000000001</v>
      </c>
      <c r="D100" s="33" t="n">
        <v>0.06</v>
      </c>
      <c r="E100" s="34">
        <f>IF(case_sel=1,C100,D100)</f>
        <v/>
      </c>
      <c r="F100" s="9" t="inlineStr">
        <is>
          <t>share</t>
        </is>
      </c>
      <c r="G100" s="9" t="inlineStr">
        <is>
          <t>Model estimate</t>
        </is>
      </c>
      <c r="H100" s="23" t="inlineStr"/>
    </row>
    <row r="101">
      <c r="B101" s="9" t="inlineStr">
        <is>
          <t>Yield: assembly plants abroad</t>
        </is>
      </c>
      <c r="C101" s="33" t="n">
        <v>0.12</v>
      </c>
      <c r="D101" s="33" t="n">
        <v>0.08</v>
      </c>
      <c r="E101" s="34">
        <f>IF(case_sel=1,C101,D101)</f>
        <v/>
      </c>
      <c r="F101" s="9" t="inlineStr">
        <is>
          <t>share</t>
        </is>
      </c>
      <c r="G101" s="9" t="inlineStr">
        <is>
          <t>Model estimate</t>
        </is>
      </c>
      <c r="H101" s="23" t="inlineStr"/>
    </row>
    <row r="102">
      <c r="B102" s="9" t="inlineStr">
        <is>
          <t>Yield: chemical plants abroad</t>
        </is>
      </c>
      <c r="C102" s="33" t="n">
        <v>0.12</v>
      </c>
      <c r="D102" s="33" t="n">
        <v>0.08</v>
      </c>
      <c r="E102" s="34">
        <f>IF(case_sel=1,C102,D102)</f>
        <v/>
      </c>
      <c r="F102" s="9" t="inlineStr">
        <is>
          <t>share</t>
        </is>
      </c>
      <c r="G102" s="9" t="inlineStr">
        <is>
          <t>Model estimate</t>
        </is>
      </c>
      <c r="H102" s="23" t="inlineStr"/>
    </row>
    <row r="103">
      <c r="B103" s="9" t="inlineStr">
        <is>
          <t>Yield: ore and mills abroad</t>
        </is>
      </c>
      <c r="C103" s="33" t="n">
        <v>0.06</v>
      </c>
      <c r="D103" s="33" t="n">
        <v>0.05</v>
      </c>
      <c r="E103" s="34">
        <f>IF(case_sel=1,C103,D103)</f>
        <v/>
      </c>
      <c r="F103" s="9" t="inlineStr">
        <is>
          <t>share</t>
        </is>
      </c>
      <c r="G103" s="9" t="inlineStr">
        <is>
          <t>Model estimate</t>
        </is>
      </c>
      <c r="H103" s="23" t="inlineStr"/>
    </row>
    <row r="104">
      <c r="B104" s="9" t="inlineStr">
        <is>
          <t>Champions' profits / value added at home</t>
        </is>
      </c>
      <c r="C104" s="33" t="n">
        <v>0.2</v>
      </c>
      <c r="D104" s="33" t="n">
        <v>0.15</v>
      </c>
      <c r="E104" s="34">
        <f>IF(case_sel=1,C104,D104)</f>
        <v/>
      </c>
      <c r="F104" s="9" t="inlineStr">
        <is>
          <t>share</t>
        </is>
      </c>
      <c r="G104" s="9" t="inlineStr">
        <is>
          <t>Model estimate</t>
        </is>
      </c>
      <c r="H104" s="23" t="inlineStr"/>
    </row>
    <row r="105">
      <c r="B105" s="9" t="inlineStr">
        <is>
          <t>Crown share in chartered and concession industries</t>
        </is>
      </c>
      <c r="C105" s="37" t="n">
        <v>0.25</v>
      </c>
      <c r="D105" s="37" t="n">
        <v>0.25</v>
      </c>
      <c r="E105" s="34">
        <f>IF(case_sel=1,C105,D105)</f>
        <v/>
      </c>
      <c r="F105" s="9" t="inlineStr">
        <is>
          <t>share</t>
        </is>
      </c>
      <c r="G105" s="9" t="inlineStr">
        <is>
          <t>Approved</t>
        </is>
      </c>
      <c r="H105" s="23" t="inlineStr">
        <is>
          <t>OPEN-020-10: oil, rail and ports, telegraph and cable, power companies, canal shipping. Compare the Suez shares (44%), Anglo-Persian (51%), the South Manchuria Railway (50%), CFP (about 25%).</t>
        </is>
      </c>
    </row>
    <row r="106">
      <c r="B106" s="9" t="inlineStr">
        <is>
          <t>Crown share in competitive industries (with a golden share)</t>
        </is>
      </c>
      <c r="C106" s="37" t="n">
        <v>0.08</v>
      </c>
      <c r="D106" s="37" t="n">
        <v>0.08</v>
      </c>
      <c r="E106" s="34">
        <f>IF(case_sel=1,C106,D106)</f>
        <v/>
      </c>
      <c r="F106" s="9" t="inlineStr">
        <is>
          <t>share</t>
        </is>
      </c>
      <c r="G106" s="9" t="inlineStr">
        <is>
          <t>Approved</t>
        </is>
      </c>
      <c r="H106" s="23" t="inlineStr">
        <is>
          <t>OPEN-020-10: steel, cars, chemicals, electrical equipment, film, aircraft; the price of Polytechnic patents. Compare Lower Saxony's 20% of Volkswagen.</t>
        </is>
      </c>
    </row>
    <row r="107">
      <c r="B107" s="9" t="inlineStr">
        <is>
          <t>Share of profits paid out as dividends</t>
        </is>
      </c>
      <c r="C107" s="33" t="n">
        <v>0.5</v>
      </c>
      <c r="D107" s="33" t="n">
        <v>0.5</v>
      </c>
      <c r="E107" s="34">
        <f>IF(case_sel=1,C107,D107)</f>
        <v/>
      </c>
      <c r="F107" s="9" t="inlineStr">
        <is>
          <t>share</t>
        </is>
      </c>
      <c r="G107" s="9" t="inlineStr">
        <is>
          <t>Model estimate</t>
        </is>
      </c>
      <c r="H107" s="23" t="inlineStr"/>
    </row>
    <row r="108">
      <c r="B108" s="9" t="inlineStr">
        <is>
          <t>First year the Crown share pays</t>
        </is>
      </c>
      <c r="C108" s="42" t="n">
        <v>1880</v>
      </c>
      <c r="D108" s="42" t="n">
        <v>1880</v>
      </c>
      <c r="E108" s="41">
        <f>IF(case_sel=1,C108,D108)</f>
        <v/>
      </c>
      <c r="F108" s="9" t="inlineStr">
        <is>
          <t>year</t>
        </is>
      </c>
      <c r="G108" s="9" t="inlineStr">
        <is>
          <t>Proposed</t>
        </is>
      </c>
      <c r="H108" s="23" t="inlineStr"/>
    </row>
    <row r="109">
      <c r="B109" s="7" t="inlineStr">
        <is>
          <t>— CR-020 B10: talent migration and jobs —</t>
        </is>
      </c>
      <c r="C109" s="8" t="n"/>
      <c r="D109" s="8" t="n"/>
      <c r="E109" s="8" t="n"/>
      <c r="F109" s="8" t="n"/>
      <c r="G109" s="8" t="n"/>
      <c r="H109" s="8" t="n"/>
    </row>
    <row r="110">
      <c r="B110" s="9" t="inlineStr">
        <is>
          <t>Migration responds to Pacifica's lead (1 = on)</t>
        </is>
      </c>
      <c r="C110" s="40" t="n">
        <v>1</v>
      </c>
      <c r="D110" s="40" t="n">
        <v>1</v>
      </c>
      <c r="E110" s="41">
        <f>IF(case_sel=1,C110,D110)</f>
        <v/>
      </c>
      <c r="F110" s="9" t="inlineStr">
        <is>
          <t>switch</t>
        </is>
      </c>
      <c r="G110" s="9" t="inlineStr">
        <is>
          <t>Proposed</t>
        </is>
      </c>
      <c r="H110" s="23" t="inlineStr">
        <is>
          <t>CR-020 B10: skilled people, their relatives and workers for new jobs come because Pacifica pays more.</t>
        </is>
      </c>
    </row>
    <row r="111">
      <c r="B111" s="9" t="inlineStr">
        <is>
          <t>First year of the skilled-entry programme</t>
        </is>
      </c>
      <c r="C111" s="42" t="n">
        <v>1880</v>
      </c>
      <c r="D111" s="42" t="n">
        <v>1880</v>
      </c>
      <c r="E111" s="41">
        <f>IF(case_sel=1,C111,D111)</f>
        <v/>
      </c>
      <c r="F111" s="9" t="inlineStr">
        <is>
          <t>year</t>
        </is>
      </c>
      <c r="G111" s="9" t="inlineStr">
        <is>
          <t>Proposed</t>
        </is>
      </c>
      <c r="H111" s="23" t="inlineStr"/>
    </row>
    <row r="112">
      <c r="B112" s="9" t="inlineStr">
        <is>
          <t>Lead over the US that the baseline arrival paths assume</t>
        </is>
      </c>
      <c r="C112" s="35" t="n">
        <v>1.5</v>
      </c>
      <c r="D112" s="35" t="n">
        <v>1.5</v>
      </c>
      <c r="E112" s="32">
        <f>IF(case_sel=1,C112,D112)</f>
        <v/>
      </c>
      <c r="F112" s="9" t="inlineStr">
        <is>
          <t>×</t>
        </is>
      </c>
      <c r="G112" s="9" t="inlineStr">
        <is>
          <t>Model estimate</t>
        </is>
      </c>
      <c r="H112" s="23" t="inlineStr"/>
    </row>
    <row r="113">
      <c r="B113" s="9" t="inlineStr">
        <is>
          <t>Skilled share of the Union's workforce</t>
        </is>
      </c>
      <c r="C113" s="33" t="n">
        <v>0.12</v>
      </c>
      <c r="D113" s="33" t="n">
        <v>0.12</v>
      </c>
      <c r="E113" s="34">
        <f>IF(case_sel=1,C113,D113)</f>
        <v/>
      </c>
      <c r="F113" s="9" t="inlineStr">
        <is>
          <t>share</t>
        </is>
      </c>
      <c r="G113" s="9" t="inlineStr">
        <is>
          <t>Model estimate</t>
        </is>
      </c>
      <c r="H113" s="23" t="inlineStr">
        <is>
          <t>Professionals, technicians, skilled crafts.</t>
        </is>
      </c>
    </row>
    <row r="114">
      <c r="B114" s="9" t="inlineStr">
        <is>
          <t>Union skilled workers leaving per year, per unit of extra lead</t>
        </is>
      </c>
      <c r="C114" s="37" t="n">
        <v>0.01</v>
      </c>
      <c r="D114" s="37" t="n">
        <v>0.006</v>
      </c>
      <c r="E114" s="34">
        <f>IF(case_sel=1,C114,D114)</f>
        <v/>
      </c>
      <c r="F114" s="9" t="inlineStr">
        <is>
          <t>share</t>
        </is>
      </c>
      <c r="G114" s="9" t="inlineStr">
        <is>
          <t>Model estimate</t>
        </is>
      </c>
      <c r="H114" s="23" t="inlineStr">
        <is>
          <t>At a lead 0.5 beyond the baseline, 0.5% of the Union's skilled workers leave each year. East Germany lost about 1.2% of all its people a year before 1961.</t>
        </is>
      </c>
    </row>
    <row r="115">
      <c r="B115" s="9" t="inlineStr">
        <is>
          <t>Share of Europe's and Asia's skilled emigrants drawn, per unit of extra lead</t>
        </is>
      </c>
      <c r="C115" s="33" t="n">
        <v>0.27</v>
      </c>
      <c r="D115" s="33" t="n">
        <v>0.15</v>
      </c>
      <c r="E115" s="34">
        <f>IF(case_sel=1,C115,D115)</f>
        <v/>
      </c>
      <c r="F115" s="9" t="inlineStr">
        <is>
          <t>share</t>
        </is>
      </c>
      <c r="G115" s="9" t="inlineStr">
        <is>
          <t>Model estimate</t>
        </is>
      </c>
      <c r="H115" s="23" t="inlineStr"/>
    </row>
    <row r="116">
      <c r="B116" s="9" t="inlineStr">
        <is>
          <t>Skilled-entry places / residents</t>
        </is>
      </c>
      <c r="C116" s="43" t="n">
        <v>0.003</v>
      </c>
      <c r="D116" s="43" t="n">
        <v>0.0015</v>
      </c>
      <c r="E116" s="39">
        <f>IF(case_sel=1,C116,D116)</f>
        <v/>
      </c>
      <c r="F116" s="9" t="inlineStr">
        <is>
          <t>share</t>
        </is>
      </c>
      <c r="G116" s="9" t="inlineStr">
        <is>
          <t>Proposed</t>
        </is>
      </c>
      <c r="H116" s="23" t="inlineStr">
        <is>
          <t>Pacifica's own ceiling on the programme. At 0.3% it stops binding in the late 1920s: everyone who qualifies and wants to come is admitted.</t>
        </is>
      </c>
    </row>
    <row r="117">
      <c r="B117" s="9" t="inlineStr">
        <is>
          <t>People per skilled worker admitted (with family)</t>
        </is>
      </c>
      <c r="C117" s="35" t="n">
        <v>2.2</v>
      </c>
      <c r="D117" s="35" t="n">
        <v>2.2</v>
      </c>
      <c r="E117" s="32">
        <f>IF(case_sel=1,C117,D117)</f>
        <v/>
      </c>
      <c r="F117" s="9" t="inlineStr">
        <is>
          <t>×</t>
        </is>
      </c>
      <c r="G117" s="9" t="inlineStr">
        <is>
          <t>Model estimate</t>
        </is>
      </c>
      <c r="H117" s="23" t="inlineStr"/>
    </row>
    <row r="118">
      <c r="B118" s="9" t="inlineStr">
        <is>
          <t>Relatives following per year, per talent migrant in Pacifica</t>
        </is>
      </c>
      <c r="C118" s="33" t="n">
        <v>0.015</v>
      </c>
      <c r="D118" s="33" t="n">
        <v>0.008</v>
      </c>
      <c r="E118" s="34">
        <f>IF(case_sel=1,C118,D118)</f>
        <v/>
      </c>
      <c r="F118" s="9" t="inlineStr">
        <is>
          <t>share</t>
        </is>
      </c>
      <c r="G118" s="9" t="inlineStr">
        <is>
          <t>Model estimate</t>
        </is>
      </c>
      <c r="H118" s="23" t="inlineStr"/>
    </row>
    <row r="119">
      <c r="B119" s="9" t="inlineStr">
        <is>
          <t>Output of a talent migrant vs an average worker</t>
        </is>
      </c>
      <c r="C119" s="35" t="n">
        <v>2</v>
      </c>
      <c r="D119" s="35" t="n">
        <v>1.7</v>
      </c>
      <c r="E119" s="32">
        <f>IF(case_sel=1,C119,D119)</f>
        <v/>
      </c>
      <c r="F119" s="9" t="inlineStr">
        <is>
          <t>×</t>
        </is>
      </c>
      <c r="G119" s="9" t="inlineStr">
        <is>
          <t>Model estimate</t>
        </is>
      </c>
      <c r="H119" s="23" t="inlineStr">
        <is>
          <t>Selected for skill: engineers, chemists, doctors, master machinists.</t>
        </is>
      </c>
    </row>
    <row r="120">
      <c r="B120" s="9" t="inlineStr">
        <is>
          <t>Extra output of others per talent migrant (× average worker)</t>
        </is>
      </c>
      <c r="C120" s="35" t="n">
        <v>0.3</v>
      </c>
      <c r="D120" s="35" t="n">
        <v>0.15</v>
      </c>
      <c r="E120" s="32">
        <f>IF(case_sel=1,C120,D120)</f>
        <v/>
      </c>
      <c r="F120" s="9" t="inlineStr">
        <is>
          <t>×</t>
        </is>
      </c>
      <c r="G120" s="9" t="inlineStr">
        <is>
          <t>Model estimate</t>
        </is>
      </c>
      <c r="H120" s="23" t="inlineStr">
        <is>
          <t>Ideas, firms founded, apprentices trained.</t>
        </is>
      </c>
    </row>
    <row r="121">
      <c r="B121" s="9" t="inlineStr">
        <is>
          <t>Talent stock retiring or dying each year</t>
        </is>
      </c>
      <c r="C121" s="33" t="n">
        <v>0.025</v>
      </c>
      <c r="D121" s="33" t="n">
        <v>0.025</v>
      </c>
      <c r="E121" s="34">
        <f>IF(case_sel=1,C121,D121)</f>
        <v/>
      </c>
      <c r="F121" s="9" t="inlineStr">
        <is>
          <t>share</t>
        </is>
      </c>
      <c r="G121" s="9" t="inlineStr">
        <is>
          <t>Model estimate</t>
        </is>
      </c>
      <c r="H121" s="23" t="inlineStr"/>
    </row>
    <row r="122">
      <c r="B122" s="9" t="inlineStr">
        <is>
          <t>Pacifica's own skilled share of the workforce</t>
        </is>
      </c>
      <c r="C122" s="33" t="n">
        <v>0.15</v>
      </c>
      <c r="D122" s="33" t="n">
        <v>0.15</v>
      </c>
      <c r="E122" s="34">
        <f>IF(case_sel=1,C122,D122)</f>
        <v/>
      </c>
      <c r="F122" s="9" t="inlineStr">
        <is>
          <t>share</t>
        </is>
      </c>
      <c r="G122" s="9" t="inlineStr">
        <is>
          <t>Model estimate</t>
        </is>
      </c>
      <c r="H122" s="23" t="inlineStr"/>
    </row>
    <row r="123">
      <c r="B123" s="9" t="inlineStr">
        <is>
          <t>Rise in the champions per rise in the skilled workforce</t>
        </is>
      </c>
      <c r="C123" s="35" t="n">
        <v>0.3</v>
      </c>
      <c r="D123" s="35" t="n">
        <v>0.15</v>
      </c>
      <c r="E123" s="32">
        <f>IF(case_sel=1,C123,D123)</f>
        <v/>
      </c>
      <c r="F123" s="9" t="inlineStr">
        <is>
          <t>×</t>
        </is>
      </c>
      <c r="G123" s="9" t="inlineStr">
        <is>
          <t>Model estimate</t>
        </is>
      </c>
      <c r="H123" s="23" t="inlineStr"/>
    </row>
    <row r="124">
      <c r="B124" s="9" t="inlineStr">
        <is>
          <t>Labour force / residents</t>
        </is>
      </c>
      <c r="C124" s="33" t="n">
        <v>0.42</v>
      </c>
      <c r="D124" s="33" t="n">
        <v>0.42</v>
      </c>
      <c r="E124" s="34">
        <f>IF(case_sel=1,C124,D124)</f>
        <v/>
      </c>
      <c r="F124" s="9" t="inlineStr">
        <is>
          <t>share</t>
        </is>
      </c>
      <c r="G124" s="9" t="inlineStr">
        <is>
          <t>Model estimate</t>
        </is>
      </c>
      <c r="H124" s="23" t="inlineStr"/>
    </row>
    <row r="125">
      <c r="B125" s="9" t="inlineStr">
        <is>
          <t>Related jobs per champion job</t>
        </is>
      </c>
      <c r="C125" s="35" t="n">
        <v>0.7</v>
      </c>
      <c r="D125" s="35" t="n">
        <v>0.5</v>
      </c>
      <c r="E125" s="32">
        <f>IF(case_sel=1,C125,D125)</f>
        <v/>
      </c>
      <c r="F125" s="9" t="inlineStr">
        <is>
          <t>×</t>
        </is>
      </c>
      <c r="G125" s="9" t="inlineStr">
        <is>
          <t>Model estimate</t>
        </is>
      </c>
      <c r="H125" s="23" t="inlineStr">
        <is>
          <t>Suppliers, services, construction.</t>
        </is>
      </c>
    </row>
    <row r="126">
      <c r="B126" s="9" t="inlineStr">
        <is>
          <t>Share of new champion-related jobs filled by new arrivals</t>
        </is>
      </c>
      <c r="C126" s="33" t="n">
        <v>0.35</v>
      </c>
      <c r="D126" s="33" t="n">
        <v>0.25</v>
      </c>
      <c r="E126" s="34">
        <f>IF(case_sel=1,C126,D126)</f>
        <v/>
      </c>
      <c r="F126" s="9" t="inlineStr">
        <is>
          <t>share</t>
        </is>
      </c>
      <c r="G126" s="9" t="inlineStr">
        <is>
          <t>Model estimate</t>
        </is>
      </c>
      <c r="H126" s="23" t="inlineStr"/>
    </row>
    <row r="127">
      <c r="B127" s="9" t="inlineStr">
        <is>
          <t>Share of lost champion-related jobs whose workers leave</t>
        </is>
      </c>
      <c r="C127" s="33" t="n">
        <v>0.3</v>
      </c>
      <c r="D127" s="33" t="n">
        <v>0.3</v>
      </c>
      <c r="E127" s="34">
        <f>IF(case_sel=1,C127,D127)</f>
        <v/>
      </c>
      <c r="F127" s="9" t="inlineStr">
        <is>
          <t>share</t>
        </is>
      </c>
      <c r="G127" s="9" t="inlineStr">
        <is>
          <t>Model estimate</t>
        </is>
      </c>
      <c r="H127" s="23" t="inlineStr"/>
    </row>
    <row r="128">
      <c r="B128" s="9" t="inlineStr">
        <is>
          <t>People per worker arriving for a job</t>
        </is>
      </c>
      <c r="C128" s="35" t="n">
        <v>1.8</v>
      </c>
      <c r="D128" s="35" t="n">
        <v>1.8</v>
      </c>
      <c r="E128" s="32">
        <f>IF(case_sel=1,C128,D128)</f>
        <v/>
      </c>
      <c r="F128" s="9" t="inlineStr">
        <is>
          <t>×</t>
        </is>
      </c>
      <c r="G128" s="9" t="inlineStr">
        <is>
          <t>Model estimate</t>
        </is>
      </c>
      <c r="H128" s="23" t="inlineStr"/>
    </row>
    <row r="129">
      <c r="B129" s="9" t="inlineStr">
        <is>
          <t>Share of the champions' business taken from Union firms</t>
        </is>
      </c>
      <c r="C129" s="33" t="n">
        <v>0.3</v>
      </c>
      <c r="D129" s="33" t="n">
        <v>0.2</v>
      </c>
      <c r="E129" s="34">
        <f>IF(case_sel=1,C129,D129)</f>
        <v/>
      </c>
      <c r="F129" s="9" t="inlineStr">
        <is>
          <t>share</t>
        </is>
      </c>
      <c r="G129" s="9" t="inlineStr">
        <is>
          <t>Model estimate</t>
        </is>
      </c>
      <c r="H129" s="23" t="inlineStr"/>
    </row>
    <row r="130">
      <c r="B130" s="9" t="inlineStr">
        <is>
          <t>Displaced Union workers re-employed each year (not in 1930-32)</t>
        </is>
      </c>
      <c r="C130" s="33" t="n">
        <v>0.25</v>
      </c>
      <c r="D130" s="33" t="n">
        <v>0.25</v>
      </c>
      <c r="E130" s="34">
        <f>IF(case_sel=1,C130,D130)</f>
        <v/>
      </c>
      <c r="F130" s="9" t="inlineStr">
        <is>
          <t>share</t>
        </is>
      </c>
      <c r="G130" s="9" t="inlineStr">
        <is>
          <t>Model estimate</t>
        </is>
      </c>
      <c r="H130" s="23" t="inlineStr"/>
    </row>
    <row r="131">
      <c r="B131" s="9" t="inlineStr">
        <is>
          <t>Pacifica's normal unemployment rate</t>
        </is>
      </c>
      <c r="C131" s="33" t="n">
        <v>0.015</v>
      </c>
      <c r="D131" s="33" t="n">
        <v>0.025</v>
      </c>
      <c r="E131" s="34">
        <f>IF(case_sel=1,C131,D131)</f>
        <v/>
      </c>
      <c r="F131" s="9" t="inlineStr">
        <is>
          <t>share</t>
        </is>
      </c>
      <c r="G131" s="9" t="inlineStr">
        <is>
          <t>Model estimate</t>
        </is>
      </c>
      <c r="H131" s="23" t="inlineStr">
        <is>
          <t>Frictional only: vacancies are filled from abroad through the permit system. Switzerland ran about 0.5% and Singapore about 2% in comparable labour-short decades.</t>
        </is>
      </c>
    </row>
    <row r="132">
      <c r="B132" s="9" t="inlineStr">
        <is>
          <t>Normal unemployment in war years (× normal)</t>
        </is>
      </c>
      <c r="C132" s="35" t="n">
        <v>0.6</v>
      </c>
      <c r="D132" s="35" t="n">
        <v>0.6</v>
      </c>
      <c r="E132" s="32">
        <f>IF(case_sel=1,C132,D132)</f>
        <v/>
      </c>
      <c r="F132" s="9" t="inlineStr">
        <is>
          <t>×</t>
        </is>
      </c>
      <c r="G132" s="9" t="inlineStr">
        <is>
          <t>Model estimate</t>
        </is>
      </c>
      <c r="H132" s="23" t="inlineStr">
        <is>
          <t>Munitions, shipyards and the services absorb the slack.</t>
        </is>
      </c>
    </row>
    <row r="133">
      <c r="B133" s="9" t="inlineStr">
        <is>
          <t>Unemployment rise per point of output below trend</t>
        </is>
      </c>
      <c r="C133" s="35" t="n">
        <v>0.5</v>
      </c>
      <c r="D133" s="35" t="n">
        <v>0.5</v>
      </c>
      <c r="E133" s="32">
        <f>IF(case_sel=1,C133,D133)</f>
        <v/>
      </c>
      <c r="F133" s="9" t="inlineStr">
        <is>
          <t>×</t>
        </is>
      </c>
      <c r="G133" s="9" t="inlineStr">
        <is>
          <t>Model estimate</t>
        </is>
      </c>
      <c r="H133" s="23" t="inlineStr">
        <is>
          <t>Okun's rule.</t>
        </is>
      </c>
    </row>
    <row r="134">
      <c r="B134" s="9" t="inlineStr">
        <is>
          <t>Recruiting cost per skilled worker (1913 $)</t>
        </is>
      </c>
      <c r="C134" s="29" t="n">
        <v>400</v>
      </c>
      <c r="D134" s="29" t="n">
        <v>400</v>
      </c>
      <c r="E134" s="30">
        <f>IF(case_sel=1,C134,D134)</f>
        <v/>
      </c>
      <c r="F134" s="9" t="inlineStr">
        <is>
          <t>$</t>
        </is>
      </c>
      <c r="G134" s="9" t="inlineStr">
        <is>
          <t>Model estimate</t>
        </is>
      </c>
      <c r="H134" s="23" t="inlineStr">
        <is>
          <t>Chairs, laboratories, passage, housing loans.</t>
        </is>
      </c>
    </row>
    <row r="135">
      <c r="B135" s="7" t="inlineStr">
        <is>
          <t>— CR-020 B12: the Union as a modelled economy —</t>
        </is>
      </c>
      <c r="C135" s="8" t="n"/>
      <c r="D135" s="8" t="n"/>
      <c r="E135" s="8" t="n"/>
      <c r="F135" s="8" t="n"/>
      <c r="G135" s="8" t="n"/>
      <c r="H135" s="8" t="n"/>
    </row>
    <row r="136">
      <c r="B136" s="9" t="inlineStr">
        <is>
          <t>Pacifica diverts part of the Union's European immigration (1 = on)</t>
        </is>
      </c>
      <c r="C136" s="40" t="n">
        <v>1</v>
      </c>
      <c r="D136" s="40" t="n">
        <v>1</v>
      </c>
      <c r="E136" s="41">
        <f>IF(case_sel=1,C136,D136)</f>
        <v/>
      </c>
      <c r="F136" s="9" t="inlineStr">
        <is>
          <t>switch</t>
        </is>
      </c>
      <c r="G136" s="9" t="inlineStr">
        <is>
          <t>Proposed</t>
        </is>
      </c>
      <c r="H136" s="23" t="inlineStr">
        <is>
          <t>CR-020 B12: Europeans who would have gone to New York sail for San Francisco instead.</t>
        </is>
      </c>
    </row>
    <row r="137">
      <c r="B137" s="9" t="inlineStr">
        <is>
          <t>First year of diversion</t>
        </is>
      </c>
      <c r="C137" s="42" t="n">
        <v>1880</v>
      </c>
      <c r="D137" s="42" t="n">
        <v>1880</v>
      </c>
      <c r="E137" s="41">
        <f>IF(case_sel=1,C137,D137)</f>
        <v/>
      </c>
      <c r="F137" s="9" t="inlineStr">
        <is>
          <t>year</t>
        </is>
      </c>
      <c r="G137" s="9" t="inlineStr">
        <is>
          <t>Model estimate</t>
        </is>
      </c>
      <c r="H137" s="23" t="inlineStr">
        <is>
          <t>Once the Polytechnic and the oil programme make Pacifica's lead visible in Europe.</t>
        </is>
      </c>
    </row>
    <row r="138">
      <c r="B138" s="9" t="inlineStr">
        <is>
          <t>Share of US-bound immigrants diverted, per unit of extra lead</t>
        </is>
      </c>
      <c r="C138" s="33" t="n">
        <v>0.25</v>
      </c>
      <c r="D138" s="33" t="n">
        <v>0.15</v>
      </c>
      <c r="E138" s="34">
        <f>IF(case_sel=1,C138,D138)</f>
        <v/>
      </c>
      <c r="F138" s="9" t="inlineStr">
        <is>
          <t>share</t>
        </is>
      </c>
      <c r="G138" s="9" t="inlineStr">
        <is>
          <t>Model estimate</t>
        </is>
      </c>
      <c r="H138" s="23" t="inlineStr"/>
    </row>
    <row r="139">
      <c r="B139" s="9" t="inlineStr">
        <is>
          <t>Largest share diverted</t>
        </is>
      </c>
      <c r="C139" s="37" t="n">
        <v>0.2</v>
      </c>
      <c r="D139" s="37" t="n">
        <v>0.12</v>
      </c>
      <c r="E139" s="34">
        <f>IF(case_sel=1,C139,D139)</f>
        <v/>
      </c>
      <c r="F139" s="9" t="inlineStr">
        <is>
          <t>share</t>
        </is>
      </c>
      <c r="G139" s="9" t="inlineStr">
        <is>
          <t>Model estimate</t>
        </is>
      </c>
      <c r="H139" s="23" t="inlineStr">
        <is>
          <t>Distance and passage cost: Hamburg or Naples to San Francisco is four to six weeks longer than to New York.</t>
        </is>
      </c>
    </row>
    <row r="140">
      <c r="B140" s="9" t="inlineStr">
        <is>
          <t>First-generation diverted immigrant's output vs an average resident</t>
        </is>
      </c>
      <c r="C140" s="35" t="n">
        <v>0.75</v>
      </c>
      <c r="D140" s="35" t="n">
        <v>0.7</v>
      </c>
      <c r="E140" s="32">
        <f>IF(case_sel=1,C140,D140)</f>
        <v/>
      </c>
      <c r="F140" s="9" t="inlineStr">
        <is>
          <t>×</t>
        </is>
      </c>
      <c r="G140" s="9" t="inlineStr">
        <is>
          <t>Model estimate</t>
        </is>
      </c>
      <c r="H140" s="23" t="inlineStr"/>
    </row>
    <row r="141">
      <c r="B141" s="9" t="inlineStr">
        <is>
          <t>Share of first-generation diverted immigrants who catch up each year</t>
        </is>
      </c>
      <c r="C141" s="33" t="n">
        <v>0.05</v>
      </c>
      <c r="D141" s="33" t="n">
        <v>0.04</v>
      </c>
      <c r="E141" s="34">
        <f>IF(case_sel=1,C141,D141)</f>
        <v/>
      </c>
      <c r="F141" s="9" t="inlineStr">
        <is>
          <t>share</t>
        </is>
      </c>
      <c r="G141" s="9" t="inlineStr">
        <is>
          <t>Model estimate</t>
        </is>
      </c>
      <c r="H141" s="23" t="inlineStr"/>
    </row>
    <row r="142">
      <c r="B142" s="9" t="inlineStr">
        <is>
          <t>Union natural increase</t>
        </is>
      </c>
      <c r="C142" s="33" t="n">
        <v>0.013</v>
      </c>
      <c r="D142" s="33" t="n">
        <v>0.013</v>
      </c>
      <c r="E142" s="34">
        <f>IF(case_sel=1,C142,D142)</f>
        <v/>
      </c>
      <c r="F142" s="9" t="inlineStr">
        <is>
          <t>share</t>
        </is>
      </c>
      <c r="G142" s="9" t="inlineStr">
        <is>
          <t>Model estimate</t>
        </is>
      </c>
      <c r="H142" s="23" t="inlineStr">
        <is>
          <t>For the children the missing people would have had there.</t>
        </is>
      </c>
    </row>
    <row r="143">
      <c r="B143" s="9" t="inlineStr">
        <is>
          <t>Union growth lost per unit share of its skilled workers gone</t>
        </is>
      </c>
      <c r="C143" s="31" t="n">
        <v>0.03</v>
      </c>
      <c r="D143" s="31" t="n">
        <v>0.015</v>
      </c>
      <c r="E143" s="32">
        <f>IF(case_sel=1,C143,D143)</f>
        <v/>
      </c>
      <c r="F143" s="9" t="inlineStr">
        <is>
          <t>×</t>
        </is>
      </c>
      <c r="G143" s="9" t="inlineStr">
        <is>
          <t>Model estimate</t>
        </is>
      </c>
      <c r="H143" s="23" t="inlineStr">
        <is>
          <t>With 7% of its skilled workers in Pacifica, the Union grows about 0.2 points a year slower.</t>
        </is>
      </c>
    </row>
    <row r="144">
      <c r="B144" s="9" t="inlineStr">
        <is>
          <t>Union growth lost to Pacific trade and gold, per unit of Pacifica / Union GDP</t>
        </is>
      </c>
      <c r="C144" s="43" t="n">
        <v>0.003</v>
      </c>
      <c r="D144" s="43" t="n">
        <v>0.002</v>
      </c>
      <c r="E144" s="39">
        <f>IF(case_sel=1,C144,D144)</f>
        <v/>
      </c>
      <c r="F144" s="9" t="inlineStr">
        <is>
          <t>share</t>
        </is>
      </c>
      <c r="G144" s="9" t="inlineStr">
        <is>
          <t>Model estimate</t>
        </is>
      </c>
      <c r="H144" s="23" t="inlineStr">
        <is>
          <t>At half the Union's size, Pacifica costs it about 0.15 points of growth a year; replaces the old fixed drag.</t>
        </is>
      </c>
    </row>
    <row r="145">
      <c r="B145" s="9" t="inlineStr">
        <is>
          <t>Share of guest workers who are Union citizens</t>
        </is>
      </c>
      <c r="C145" s="33" t="n">
        <v>0.2</v>
      </c>
      <c r="D145" s="33" t="n">
        <v>0.2</v>
      </c>
      <c r="E145" s="34">
        <f>IF(case_sel=1,C145,D145)</f>
        <v/>
      </c>
      <c r="F145" s="9" t="inlineStr">
        <is>
          <t>share</t>
        </is>
      </c>
      <c r="G145" s="9" t="inlineStr">
        <is>
          <t>Model estimate</t>
        </is>
      </c>
      <c r="H145" s="23" t="inlineStr"/>
    </row>
    <row r="146">
      <c r="B146" s="7" t="inlineStr">
        <is>
          <t>— CR-020 B14: the partners catch up —</t>
        </is>
      </c>
      <c r="C146" s="8" t="n"/>
      <c r="D146" s="8" t="n"/>
      <c r="E146" s="8" t="n"/>
      <c r="F146" s="8" t="n"/>
      <c r="G146" s="8" t="n"/>
      <c r="H146" s="8" t="n"/>
    </row>
    <row r="147">
      <c r="B147" s="9" t="inlineStr">
        <is>
          <t>Share of the log gap to Pacifica a fully integrated partner closes each year</t>
        </is>
      </c>
      <c r="C147" s="37" t="n">
        <v>0.01</v>
      </c>
      <c r="D147" s="37" t="n">
        <v>0.006</v>
      </c>
      <c r="E147" s="34">
        <f>IF(case_sel=1,C147,D147)</f>
        <v/>
      </c>
      <c r="F147" s="9" t="inlineStr">
        <is>
          <t>share</t>
        </is>
      </c>
      <c r="G147" s="9" t="inlineStr">
        <is>
          <t>Model estimate</t>
        </is>
      </c>
      <c r="H147" s="23" t="inlineStr">
        <is>
          <t>Conditional convergence: integrated regions close about 2% of the gap a year (Barro and Sala-i-Martin); separate states with open trade, capital and schools, about half of that.</t>
        </is>
      </c>
    </row>
    <row r="148">
      <c r="B148" s="9" t="inlineStr">
        <is>
          <t>Largest extra growth a year from catching up</t>
        </is>
      </c>
      <c r="C148" s="33" t="n">
        <v>0.03</v>
      </c>
      <c r="D148" s="33" t="n">
        <v>0.02</v>
      </c>
      <c r="E148" s="34">
        <f>IF(case_sel=1,C148,D148)</f>
        <v/>
      </c>
      <c r="F148" s="9" t="inlineStr">
        <is>
          <t>share</t>
        </is>
      </c>
      <c r="G148" s="9" t="inlineStr">
        <is>
          <t>Model estimate</t>
        </is>
      </c>
      <c r="H148" s="23" t="inlineStr">
        <is>
          <t>Post-war Japan and Korea managed 4-6 points.</t>
        </is>
      </c>
    </row>
    <row r="149">
      <c r="B149" s="9" t="inlineStr">
        <is>
          <t>Rise in the champions per rise in their markets abroad</t>
        </is>
      </c>
      <c r="C149" s="31" t="n">
        <v>0.5</v>
      </c>
      <c r="D149" s="31" t="n">
        <v>0.3</v>
      </c>
      <c r="E149" s="32">
        <f>IF(case_sel=1,C149,D149)</f>
        <v/>
      </c>
      <c r="F149" s="9" t="inlineStr">
        <is>
          <t>×</t>
        </is>
      </c>
      <c r="G149" s="9" t="inlineStr">
        <is>
          <t>Model estimate</t>
        </is>
      </c>
      <c r="H149" s="23" t="inlineStr">
        <is>
          <t>CR-020 B15: about half the champions' business is abroad or tied to foreign markets.</t>
        </is>
      </c>
    </row>
    <row r="150">
      <c r="B150" s="9" t="inlineStr">
        <is>
          <t>Largest rise in the champions from richer markets</t>
        </is>
      </c>
      <c r="C150" s="33" t="n">
        <v>0.5</v>
      </c>
      <c r="D150" s="33" t="n">
        <v>0.3</v>
      </c>
      <c r="E150" s="34">
        <f>IF(case_sel=1,C150,D150)</f>
        <v/>
      </c>
      <c r="F150" s="9" t="inlineStr">
        <is>
          <t>share</t>
        </is>
      </c>
      <c r="G150" s="9" t="inlineStr">
        <is>
          <t>Model estimate</t>
        </is>
      </c>
      <c r="H150" s="23" t="inlineStr"/>
    </row>
    <row r="151">
      <c r="B151" s="7" t="inlineStr">
        <is>
          <t>— CR-020 B13: the Union responds —</t>
        </is>
      </c>
      <c r="C151" s="8" t="n"/>
      <c r="D151" s="8" t="n"/>
      <c r="E151" s="8" t="n"/>
      <c r="F151" s="8" t="n"/>
      <c r="G151" s="8" t="n"/>
      <c r="H151" s="8" t="n"/>
    </row>
    <row r="152">
      <c r="B152" s="9" t="inlineStr">
        <is>
          <t>The Union's response (0 = passive, 1 = emulates, 2 = emulates and contains)</t>
        </is>
      </c>
      <c r="C152" s="40" t="n">
        <v>2</v>
      </c>
      <c r="D152" s="40" t="n">
        <v>2</v>
      </c>
      <c r="E152" s="41">
        <f>IF(case_sel=1,C152,D152)</f>
        <v/>
      </c>
      <c r="F152" s="9" t="inlineStr">
        <is>
          <t>switch</t>
        </is>
      </c>
      <c r="G152" s="9" t="inlineStr">
        <is>
          <t>Proposed</t>
        </is>
      </c>
      <c r="H152" s="23" t="inlineStr">
        <is>
          <t>CR-020 B13: copy Pacifica at home, box it in abroad.</t>
        </is>
      </c>
    </row>
    <row r="153">
      <c r="B153" s="9" t="inlineStr">
        <is>
          <t>The alarm rings (first year of the response)</t>
        </is>
      </c>
      <c r="C153" s="40" t="n">
        <v>1903</v>
      </c>
      <c r="D153" s="40" t="n">
        <v>1903</v>
      </c>
      <c r="E153" s="41">
        <f>IF(case_sel=1,C153,D153)</f>
        <v/>
      </c>
      <c r="F153" s="9" t="inlineStr">
        <is>
          <t>year</t>
        </is>
      </c>
      <c r="G153" s="9" t="inlineStr">
        <is>
          <t>Proposed</t>
        </is>
      </c>
      <c r="H153" s="23" t="inlineStr">
        <is>
          <t>Whitney (1897-1901) lets his financier friends profit from the brain drain; Roosevelt makes it a national cause.</t>
        </is>
      </c>
    </row>
    <row r="154">
      <c r="B154" s="9" t="inlineStr">
        <is>
          <t>The response fully in force</t>
        </is>
      </c>
      <c r="C154" s="42" t="n">
        <v>1910</v>
      </c>
      <c r="D154" s="42" t="n">
        <v>1910</v>
      </c>
      <c r="E154" s="41">
        <f>IF(case_sel=1,C154,D154)</f>
        <v/>
      </c>
      <c r="F154" s="9" t="inlineStr">
        <is>
          <t>year</t>
        </is>
      </c>
      <c r="G154" s="9" t="inlineStr">
        <is>
          <t>Proposed</t>
        </is>
      </c>
      <c r="H154" s="23" t="inlineStr"/>
    </row>
    <row r="155">
      <c r="B155" s="9" t="inlineStr">
        <is>
          <t>Union skilled emigration left once it responds (× passive)</t>
        </is>
      </c>
      <c r="C155" s="31" t="n">
        <v>0.333</v>
      </c>
      <c r="D155" s="31" t="n">
        <v>0.333</v>
      </c>
      <c r="E155" s="32">
        <f>IF(case_sel=1,C155,D155)</f>
        <v/>
      </c>
      <c r="F155" s="9" t="inlineStr">
        <is>
          <t>×</t>
        </is>
      </c>
      <c r="G155" s="9" t="inlineStr">
        <is>
          <t>Proposed</t>
        </is>
      </c>
      <c r="H155" s="23" t="inlineStr">
        <is>
          <t>Down to a third.</t>
        </is>
      </c>
    </row>
    <row r="156">
      <c r="B156" s="9" t="inlineStr">
        <is>
          <t>Pacifica's share of Europe's skilled emigrants lost to Union competition</t>
        </is>
      </c>
      <c r="C156" s="33" t="n">
        <v>0.3</v>
      </c>
      <c r="D156" s="33" t="n">
        <v>0.4</v>
      </c>
      <c r="E156" s="34">
        <f>IF(case_sel=1,C156,D156)</f>
        <v/>
      </c>
      <c r="F156" s="9" t="inlineStr">
        <is>
          <t>share</t>
        </is>
      </c>
      <c r="G156" s="9" t="inlineStr">
        <is>
          <t>Model estimate</t>
        </is>
      </c>
      <c r="H156" s="23" t="inlineStr"/>
    </row>
    <row r="157">
      <c r="B157" s="9" t="inlineStr">
        <is>
          <t>Diverted immigration lost to Union competition</t>
        </is>
      </c>
      <c r="C157" s="33" t="n">
        <v>0.3</v>
      </c>
      <c r="D157" s="33" t="n">
        <v>0.4</v>
      </c>
      <c r="E157" s="34">
        <f>IF(case_sel=1,C157,D157)</f>
        <v/>
      </c>
      <c r="F157" s="9" t="inlineStr">
        <is>
          <t>share</t>
        </is>
      </c>
      <c r="G157" s="9" t="inlineStr">
        <is>
          <t>Model estimate</t>
        </is>
      </c>
      <c r="H157" s="23" t="inlineStr"/>
    </row>
    <row r="158">
      <c r="B158" s="9" t="inlineStr">
        <is>
          <t>Union growth regained by emulating Pacifica (a year)</t>
        </is>
      </c>
      <c r="C158" s="38" t="n">
        <v>0.0015</v>
      </c>
      <c r="D158" s="38" t="n">
        <v>0.0025</v>
      </c>
      <c r="E158" s="39">
        <f>IF(case_sel=1,C158,D158)</f>
        <v/>
      </c>
      <c r="F158" s="9" t="inlineStr">
        <is>
          <t>share</t>
        </is>
      </c>
      <c r="G158" s="9" t="inlineStr">
        <is>
          <t>Model estimate</t>
        </is>
      </c>
      <c r="H158" s="23" t="inlineStr"/>
    </row>
    <row r="159">
      <c r="B159" s="9" t="inlineStr">
        <is>
          <t>Champions' Union business lost to tariffs and licensing</t>
        </is>
      </c>
      <c r="C159" s="33" t="n">
        <v>0.3</v>
      </c>
      <c r="D159" s="33" t="n">
        <v>0.3</v>
      </c>
      <c r="E159" s="34">
        <f>IF(case_sel=1,C159,D159)</f>
        <v/>
      </c>
      <c r="F159" s="9" t="inlineStr">
        <is>
          <t>share</t>
        </is>
      </c>
      <c r="G159" s="9" t="inlineStr">
        <is>
          <t>Model estimate</t>
        </is>
      </c>
      <c r="H159" s="23" t="inlineStr"/>
    </row>
    <row r="160">
      <c r="B160" s="9" t="inlineStr">
        <is>
          <t>Royalties lost to compulsory licensing</t>
        </is>
      </c>
      <c r="C160" s="33" t="n">
        <v>0.3</v>
      </c>
      <c r="D160" s="33" t="n">
        <v>0.3</v>
      </c>
      <c r="E160" s="34">
        <f>IF(case_sel=1,C160,D160)</f>
        <v/>
      </c>
      <c r="F160" s="9" t="inlineStr">
        <is>
          <t>share</t>
        </is>
      </c>
      <c r="G160" s="9" t="inlineStr">
        <is>
          <t>Model estimate</t>
        </is>
      </c>
      <c r="H160" s="23" t="inlineStr"/>
    </row>
    <row r="161">
      <c r="B161" s="9" t="inlineStr">
        <is>
          <t>Champions' output lost to Union tariffs</t>
        </is>
      </c>
      <c r="C161" s="33" t="n">
        <v>0.04</v>
      </c>
      <c r="D161" s="33" t="n">
        <v>0.05</v>
      </c>
      <c r="E161" s="34">
        <f>IF(case_sel=1,C161,D161)</f>
        <v/>
      </c>
      <c r="F161" s="9" t="inlineStr">
        <is>
          <t>share</t>
        </is>
      </c>
      <c r="G161" s="9" t="inlineStr">
        <is>
          <t>Model estimate</t>
        </is>
      </c>
      <c r="H161" s="23" t="inlineStr"/>
    </row>
    <row r="162">
      <c r="B162" s="9" t="inlineStr">
        <is>
          <t>Share of Asia's skilled emigrants drawn, per unit of extra lead</t>
        </is>
      </c>
      <c r="C162" s="37" t="n">
        <v>0.2</v>
      </c>
      <c r="D162" s="37" t="n">
        <v>0.12</v>
      </c>
      <c r="E162" s="34">
        <f>IF(case_sel=1,C162,D162)</f>
        <v/>
      </c>
      <c r="F162" s="9" t="inlineStr">
        <is>
          <t>share</t>
        </is>
      </c>
      <c r="G162" s="9" t="inlineStr">
        <is>
          <t>Proposed</t>
        </is>
      </c>
      <c r="H162" s="23" t="inlineStr">
        <is>
          <t>Pacifica's answer to the Union's competition for Europeans.</t>
        </is>
      </c>
    </row>
    <row r="163">
      <c r="B163" s="7" t="inlineStr">
        <is>
          <t>— CR-020 B11: guest workers —</t>
        </is>
      </c>
      <c r="C163" s="8" t="n"/>
      <c r="D163" s="8" t="n"/>
      <c r="E163" s="8" t="n"/>
      <c r="F163" s="8" t="n"/>
      <c r="G163" s="8" t="n"/>
      <c r="H163" s="8" t="n"/>
    </row>
    <row r="164">
      <c r="B164" s="9" t="inlineStr">
        <is>
          <t>Guest-worker programme (1 = on)</t>
        </is>
      </c>
      <c r="C164" s="40" t="n">
        <v>1</v>
      </c>
      <c r="D164" s="40" t="n">
        <v>1</v>
      </c>
      <c r="E164" s="41">
        <f>IF(case_sel=1,C164,D164)</f>
        <v/>
      </c>
      <c r="F164" s="9" t="inlineStr">
        <is>
          <t>switch</t>
        </is>
      </c>
      <c r="G164" s="9" t="inlineStr">
        <is>
          <t>Proposed</t>
        </is>
      </c>
      <c r="H164" s="23" t="inlineStr">
        <is>
          <t>CR-020 B11: Singapore-style permits for the jobs the champions create: quotas, an employer levy, inspected housing, wage protection, paid return passage, a path to residence.</t>
        </is>
      </c>
    </row>
    <row r="165">
      <c r="B165" s="9" t="inlineStr">
        <is>
          <t>First year of the programme</t>
        </is>
      </c>
      <c r="C165" s="42" t="n">
        <v>1890</v>
      </c>
      <c r="D165" s="42" t="n">
        <v>1890</v>
      </c>
      <c r="E165" s="41">
        <f>IF(case_sel=1,C165,D165)</f>
        <v/>
      </c>
      <c r="F165" s="9" t="inlineStr">
        <is>
          <t>year</t>
        </is>
      </c>
      <c r="G165" s="9" t="inlineStr">
        <is>
          <t>Proposed</t>
        </is>
      </c>
      <c r="H165" s="23" t="inlineStr">
        <is>
          <t>A regency measure (§25).</t>
        </is>
      </c>
    </row>
    <row r="166">
      <c r="B166" s="9" t="inlineStr">
        <is>
          <t>Guest workers per champion-related job</t>
        </is>
      </c>
      <c r="C166" s="35" t="n">
        <v>0.6</v>
      </c>
      <c r="D166" s="35" t="n">
        <v>0.4</v>
      </c>
      <c r="E166" s="32">
        <f>IF(case_sel=1,C166,D166)</f>
        <v/>
      </c>
      <c r="F166" s="9" t="inlineStr">
        <is>
          <t>×</t>
        </is>
      </c>
      <c r="G166" s="9" t="inlineStr">
        <is>
          <t>Model estimate</t>
        </is>
      </c>
      <c r="H166" s="23" t="inlineStr"/>
    </row>
    <row r="167">
      <c r="B167" s="9" t="inlineStr">
        <is>
          <t>Guest workers in construction, docks, farms and homes / resident labour force</t>
        </is>
      </c>
      <c r="C167" s="33" t="n">
        <v>0.08</v>
      </c>
      <c r="D167" s="33" t="n">
        <v>0.05</v>
      </c>
      <c r="E167" s="34">
        <f>IF(case_sel=1,C167,D167)</f>
        <v/>
      </c>
      <c r="F167" s="9" t="inlineStr">
        <is>
          <t>share</t>
        </is>
      </c>
      <c r="G167" s="9" t="inlineStr">
        <is>
          <t>Model estimate</t>
        </is>
      </c>
      <c r="H167" s="23" t="inlineStr"/>
    </row>
    <row r="168">
      <c r="B168" s="9" t="inlineStr">
        <is>
          <t>Statutory quota: guest workers / resident labour force</t>
        </is>
      </c>
      <c r="C168" s="37" t="n">
        <v>0.2</v>
      </c>
      <c r="D168" s="37" t="n">
        <v>0.15</v>
      </c>
      <c r="E168" s="34">
        <f>IF(case_sel=1,C168,D168)</f>
        <v/>
      </c>
      <c r="F168" s="9" t="inlineStr">
        <is>
          <t>share</t>
        </is>
      </c>
      <c r="G168" s="9" t="inlineStr">
        <is>
          <t>Proposed</t>
        </is>
      </c>
      <c r="H168" s="23" t="inlineStr">
        <is>
          <t>Switzerland had about 30% of its workforce foreign around 1970, Singapore about 38% today, the Gulf states 80-90%.</t>
        </is>
      </c>
    </row>
    <row r="169">
      <c r="B169" s="9" t="inlineStr">
        <is>
          <t>Share of the gap to demand closed each year</t>
        </is>
      </c>
      <c r="C169" s="33" t="n">
        <v>0.4</v>
      </c>
      <c r="D169" s="33" t="n">
        <v>0.3</v>
      </c>
      <c r="E169" s="34">
        <f>IF(case_sel=1,C169,D169)</f>
        <v/>
      </c>
      <c r="F169" s="9" t="inlineStr">
        <is>
          <t>share</t>
        </is>
      </c>
      <c r="G169" s="9" t="inlineStr">
        <is>
          <t>Model estimate</t>
        </is>
      </c>
      <c r="H169" s="23" t="inlineStr"/>
    </row>
    <row r="170">
      <c r="B170" s="9" t="inlineStr">
        <is>
          <t>Contract length (years)</t>
        </is>
      </c>
      <c r="C170" s="29" t="n">
        <v>3</v>
      </c>
      <c r="D170" s="29" t="n">
        <v>3</v>
      </c>
      <c r="E170" s="30">
        <f>IF(case_sel=1,C170,D170)</f>
        <v/>
      </c>
      <c r="F170" s="9" t="inlineStr">
        <is>
          <t>years</t>
        </is>
      </c>
      <c r="G170" s="9" t="inlineStr">
        <is>
          <t>Proposed</t>
        </is>
      </c>
      <c r="H170" s="23" t="inlineStr"/>
    </row>
    <row r="171">
      <c r="B171" s="9" t="inlineStr">
        <is>
          <t>Share of permits not renewed per point of output below trend</t>
        </is>
      </c>
      <c r="C171" s="35" t="n">
        <v>1.6</v>
      </c>
      <c r="D171" s="35" t="n">
        <v>1.6</v>
      </c>
      <c r="E171" s="32">
        <f>IF(case_sel=1,C171,D171)</f>
        <v/>
      </c>
      <c r="F171" s="9" t="inlineStr">
        <is>
          <t>×</t>
        </is>
      </c>
      <c r="G171" s="9" t="inlineStr">
        <is>
          <t>Model estimate</t>
        </is>
      </c>
      <c r="H171" s="23" t="inlineStr">
        <is>
          <t>With output 11% below trend (1931), about 18% of permits lapse.</t>
        </is>
      </c>
    </row>
    <row r="172">
      <c r="B172" s="9" t="inlineStr">
        <is>
          <t>Guest workers becoming residents each year</t>
        </is>
      </c>
      <c r="C172" s="33" t="n">
        <v>0.03</v>
      </c>
      <c r="D172" s="33" t="n">
        <v>0.02</v>
      </c>
      <c r="E172" s="34">
        <f>IF(case_sel=1,C172,D172)</f>
        <v/>
      </c>
      <c r="F172" s="9" t="inlineStr">
        <is>
          <t>share</t>
        </is>
      </c>
      <c r="G172" s="9" t="inlineStr">
        <is>
          <t>Proposed</t>
        </is>
      </c>
      <c r="H172" s="23" t="inlineStr">
        <is>
          <t>After six years and a trade test.</t>
        </is>
      </c>
    </row>
    <row r="173">
      <c r="B173" s="9" t="inlineStr">
        <is>
          <t>People per guest worker who settles (with family)</t>
        </is>
      </c>
      <c r="C173" s="35" t="n">
        <v>1.8</v>
      </c>
      <c r="D173" s="35" t="n">
        <v>1.8</v>
      </c>
      <c r="E173" s="32">
        <f>IF(case_sel=1,C173,D173)</f>
        <v/>
      </c>
      <c r="F173" s="9" t="inlineStr">
        <is>
          <t>×</t>
        </is>
      </c>
      <c r="G173" s="9" t="inlineStr">
        <is>
          <t>Model estimate</t>
        </is>
      </c>
      <c r="H173" s="23" t="inlineStr"/>
    </row>
    <row r="174">
      <c r="B174" s="9" t="inlineStr">
        <is>
          <t>Asian-origin share of guest workers</t>
        </is>
      </c>
      <c r="C174" s="33" t="n">
        <v>0.6</v>
      </c>
      <c r="D174" s="33" t="n">
        <v>0.6</v>
      </c>
      <c r="E174" s="34">
        <f>IF(case_sel=1,C174,D174)</f>
        <v/>
      </c>
      <c r="F174" s="9" t="inlineStr">
        <is>
          <t>share</t>
        </is>
      </c>
      <c r="G174" s="9" t="inlineStr">
        <is>
          <t>Model estimate</t>
        </is>
      </c>
      <c r="H174" s="23" t="inlineStr">
        <is>
          <t>Guangdong, Fujian, Korea, the Philippine crown; a fifth from the Union; the rest from Mexico, the Azores and southern Italy.</t>
        </is>
      </c>
    </row>
    <row r="175">
      <c r="B175" s="9" t="inlineStr">
        <is>
          <t>Output of a guest worker vs an average resident worker</t>
        </is>
      </c>
      <c r="C175" s="35" t="n">
        <v>0.6</v>
      </c>
      <c r="D175" s="35" t="n">
        <v>0.55</v>
      </c>
      <c r="E175" s="32">
        <f>IF(case_sel=1,C175,D175)</f>
        <v/>
      </c>
      <c r="F175" s="9" t="inlineStr">
        <is>
          <t>×</t>
        </is>
      </c>
      <c r="G175" s="9" t="inlineStr">
        <is>
          <t>Model estimate</t>
        </is>
      </c>
      <c r="H175" s="23" t="inlineStr"/>
    </row>
    <row r="176">
      <c r="B176" s="9" t="inlineStr">
        <is>
          <t>Guest workers' wages / their output</t>
        </is>
      </c>
      <c r="C176" s="33" t="n">
        <v>0.65</v>
      </c>
      <c r="D176" s="33" t="n">
        <v>0.65</v>
      </c>
      <c r="E176" s="34">
        <f>IF(case_sel=1,C176,D176)</f>
        <v/>
      </c>
      <c r="F176" s="9" t="inlineStr">
        <is>
          <t>share</t>
        </is>
      </c>
      <c r="G176" s="9" t="inlineStr">
        <is>
          <t>Model estimate</t>
        </is>
      </c>
      <c r="H176" s="23" t="inlineStr"/>
    </row>
    <row r="177">
      <c r="B177" s="9" t="inlineStr">
        <is>
          <t>Employer levy / guest workers' wages</t>
        </is>
      </c>
      <c r="C177" s="37" t="n">
        <v>0.25</v>
      </c>
      <c r="D177" s="37" t="n">
        <v>0.15</v>
      </c>
      <c r="E177" s="34">
        <f>IF(case_sel=1,C177,D177)</f>
        <v/>
      </c>
      <c r="F177" s="9" t="inlineStr">
        <is>
          <t>share</t>
        </is>
      </c>
      <c r="G177" s="9" t="inlineStr">
        <is>
          <t>Proposed</t>
        </is>
      </c>
      <c r="H177" s="23" t="inlineStr">
        <is>
          <t>On top of income tax, which they pay like residents. Singapore's levies today run from about 20% to over 50% of a work-permit wage.</t>
        </is>
      </c>
    </row>
    <row r="178">
      <c r="B178" s="9" t="inlineStr">
        <is>
          <t>Share of wages sent home</t>
        </is>
      </c>
      <c r="C178" s="33" t="n">
        <v>0.25</v>
      </c>
      <c r="D178" s="33" t="n">
        <v>0.3</v>
      </c>
      <c r="E178" s="34">
        <f>IF(case_sel=1,C178,D178)</f>
        <v/>
      </c>
      <c r="F178" s="9" t="inlineStr">
        <is>
          <t>share</t>
        </is>
      </c>
      <c r="G178" s="9" t="inlineStr">
        <is>
          <t>Model estimate</t>
        </is>
      </c>
      <c r="H178" s="23" t="inlineStr"/>
    </row>
    <row r="179">
      <c r="B179" s="9" t="inlineStr">
        <is>
          <t>Inspection, health and return passage per guest worker a year (1913 $)</t>
        </is>
      </c>
      <c r="C179" s="29" t="n">
        <v>25</v>
      </c>
      <c r="D179" s="29" t="n">
        <v>25</v>
      </c>
      <c r="E179" s="30">
        <f>IF(case_sel=1,C179,D179)</f>
        <v/>
      </c>
      <c r="F179" s="9" t="inlineStr">
        <is>
          <t>$</t>
        </is>
      </c>
      <c r="G179" s="9" t="inlineStr">
        <is>
          <t>Model estimate</t>
        </is>
      </c>
      <c r="H179" s="23" t="inlineStr"/>
    </row>
    <row r="180">
      <c r="B180" s="7" t="inlineStr">
        <is>
          <t>— Japan —</t>
        </is>
      </c>
      <c r="C180" s="8" t="n"/>
      <c r="D180" s="8" t="n"/>
      <c r="E180" s="8" t="n"/>
      <c r="F180" s="8" t="n"/>
      <c r="G180" s="8" t="n"/>
      <c r="H180" s="8" t="n"/>
    </row>
    <row r="181">
      <c r="B181" s="9" t="inlineStr">
        <is>
          <t>Japan's catch-up speed (× the partners' base speed)</t>
        </is>
      </c>
      <c r="C181" s="31" t="n">
        <v>1</v>
      </c>
      <c r="D181" s="31" t="n">
        <v>0.6</v>
      </c>
      <c r="E181" s="32">
        <f>IF(case_sel=1,C181,D181)</f>
        <v/>
      </c>
      <c r="F181" s="9" t="inlineStr">
        <is>
          <t>×</t>
        </is>
      </c>
      <c r="G181" s="9" t="inlineStr">
        <is>
          <t>Model estimate</t>
        </is>
      </c>
      <c r="H181" s="23" t="inlineStr">
        <is>
          <t>Scales how fast Japan closes its gap to Pacifica (Partners sheet).</t>
        </is>
      </c>
    </row>
    <row r="182">
      <c r="B182" s="9" t="inlineStr">
        <is>
          <t>Coupon on Japanese public debt</t>
        </is>
      </c>
      <c r="C182" s="33" t="n">
        <v>0.05</v>
      </c>
      <c r="D182" s="33" t="n">
        <v>0.05</v>
      </c>
      <c r="E182" s="34">
        <f>IF(case_sel=1,C182,D182)</f>
        <v/>
      </c>
      <c r="F182" s="9" t="inlineStr">
        <is>
          <t>share</t>
        </is>
      </c>
      <c r="G182" s="9" t="inlineStr">
        <is>
          <t>Model estimate</t>
        </is>
      </c>
      <c r="H182" s="23" t="inlineStr"/>
    </row>
    <row r="183">
      <c r="B183" s="9" t="inlineStr">
        <is>
          <t>Repayment of Japan's foreign debt</t>
        </is>
      </c>
      <c r="C183" s="33" t="n">
        <v>0.03</v>
      </c>
      <c r="D183" s="33" t="n">
        <v>0.03</v>
      </c>
      <c r="E183" s="34">
        <f>IF(case_sel=1,C183,D183)</f>
        <v/>
      </c>
      <c r="F183" s="9" t="inlineStr">
        <is>
          <t>share</t>
        </is>
      </c>
      <c r="G183" s="9" t="inlineStr">
        <is>
          <t>Model estimate</t>
        </is>
      </c>
      <c r="H183" s="23" t="inlineStr"/>
    </row>
    <row r="184">
      <c r="B184" s="7" t="inlineStr">
        <is>
          <t>— Policy ceilings (canon planning guides, §25) —</t>
        </is>
      </c>
      <c r="C184" s="8" t="n"/>
      <c r="D184" s="8" t="n"/>
      <c r="E184" s="8" t="n"/>
      <c r="F184" s="8" t="n"/>
      <c r="G184" s="8" t="n"/>
      <c r="H184" s="8" t="n"/>
    </row>
    <row r="185">
      <c r="B185" s="9" t="inlineStr">
        <is>
          <t>Peacetime military &amp; overseas spending / GDP</t>
        </is>
      </c>
      <c r="C185" s="33" t="n">
        <v>0.04</v>
      </c>
      <c r="D185" s="33" t="n">
        <v>0.04</v>
      </c>
      <c r="E185" s="34">
        <f>IF(case_sel=1,C185,D185)</f>
        <v/>
      </c>
      <c r="F185" s="9" t="inlineStr">
        <is>
          <t>share</t>
        </is>
      </c>
      <c r="G185" s="9" t="inlineStr">
        <is>
          <t>Canon</t>
        </is>
      </c>
      <c r="H185" s="23" t="inlineStr">
        <is>
          <t>§25 planning ceiling of 4%.</t>
        </is>
      </c>
    </row>
    <row r="186">
      <c r="B186" s="9" t="inlineStr">
        <is>
          <t>Interest / public receipts</t>
        </is>
      </c>
      <c r="C186" s="33" t="n">
        <v>0.15</v>
      </c>
      <c r="D186" s="33" t="n">
        <v>0.15</v>
      </c>
      <c r="E186" s="34">
        <f>IF(case_sel=1,C186,D186)</f>
        <v/>
      </c>
      <c r="F186" s="9" t="inlineStr">
        <is>
          <t>share</t>
        </is>
      </c>
      <c r="G186" s="9" t="inlineStr">
        <is>
          <t>Canon</t>
        </is>
      </c>
      <c r="H186" s="23" t="inlineStr">
        <is>
          <t>§25 ceiling of 15%.</t>
        </is>
      </c>
    </row>
    <row r="187">
      <c r="B187" s="9" t="inlineStr">
        <is>
          <t>Public debt / GDP</t>
        </is>
      </c>
      <c r="C187" s="33" t="n">
        <v>0.3</v>
      </c>
      <c r="D187" s="33" t="n">
        <v>0.3</v>
      </c>
      <c r="E187" s="34">
        <f>IF(case_sel=1,C187,D187)</f>
        <v/>
      </c>
      <c r="F187" s="9" t="inlineStr">
        <is>
          <t>share</t>
        </is>
      </c>
      <c r="G187" s="9" t="inlineStr">
        <is>
          <t>Canon</t>
        </is>
      </c>
      <c r="H187" s="23" t="inlineStr">
        <is>
          <t>§25 ceiling of 30%.</t>
        </is>
      </c>
    </row>
    <row r="189">
      <c r="B189" s="7" t="inlineStr">
        <is>
          <t>Fleet classes</t>
        </is>
      </c>
      <c r="C189" s="8" t="n"/>
      <c r="D189" s="8" t="n"/>
      <c r="E189" s="8" t="n"/>
      <c r="F189" s="8" t="n"/>
      <c r="G189" s="8" t="n"/>
      <c r="H189" s="8" t="n"/>
      <c r="I189" s="8" t="n"/>
      <c r="J189" s="8" t="n"/>
      <c r="K189" s="8" t="n"/>
    </row>
    <row r="190" ht="42" customHeight="1">
      <c r="B190" s="44" t="inlineStr">
        <is>
          <t>Parameter</t>
        </is>
      </c>
      <c r="C190" s="28" t="inlineStr">
        <is>
          <t>Turret ships &amp; coastal ironclads</t>
        </is>
      </c>
      <c r="D190" s="28" t="inlineStr">
        <is>
          <t>Steam cruisers (coal)</t>
        </is>
      </c>
      <c r="E190" s="28" t="inlineStr">
        <is>
          <t>Oil-fired torpedo boats</t>
        </is>
      </c>
      <c r="F190" s="28" t="inlineStr">
        <is>
          <t>Oil-fired protected cruisers</t>
        </is>
      </c>
      <c r="G190" s="28" t="inlineStr">
        <is>
          <t>Turbine destroyers</t>
        </is>
      </c>
      <c r="H190" s="28" t="inlineStr">
        <is>
          <t>Turbine cruisers</t>
        </is>
      </c>
      <c r="I190" s="28" t="inlineStr">
        <is>
          <t>Turbine capital ships</t>
        </is>
      </c>
      <c r="J190" s="28" t="inlineStr">
        <is>
          <t>Submarines</t>
        </is>
      </c>
      <c r="K190" s="28" t="inlineStr">
        <is>
          <t>Aircraft carriers</t>
        </is>
      </c>
    </row>
    <row r="191">
      <c r="B191" s="9" t="inlineStr">
        <is>
          <t>Service life (years)</t>
        </is>
      </c>
      <c r="C191" s="45" t="n">
        <v>25</v>
      </c>
      <c r="D191" s="45" t="n">
        <v>20</v>
      </c>
      <c r="E191" s="45" t="n">
        <v>15</v>
      </c>
      <c r="F191" s="45" t="n">
        <v>22</v>
      </c>
      <c r="G191" s="45" t="n">
        <v>18</v>
      </c>
      <c r="H191" s="45" t="n">
        <v>22</v>
      </c>
      <c r="I191" s="45" t="n">
        <v>22</v>
      </c>
      <c r="J191" s="45" t="n">
        <v>15</v>
      </c>
      <c r="K191" s="45" t="n">
        <v>25</v>
      </c>
    </row>
    <row r="192">
      <c r="B192" s="9" t="inlineStr">
        <is>
          <t>Crew per ship</t>
        </is>
      </c>
      <c r="C192" s="45" t="n">
        <v>120</v>
      </c>
      <c r="D192" s="45" t="n">
        <v>250</v>
      </c>
      <c r="E192" s="45" t="n">
        <v>20</v>
      </c>
      <c r="F192" s="45" t="n">
        <v>280</v>
      </c>
      <c r="G192" s="45" t="n">
        <v>90</v>
      </c>
      <c r="H192" s="45" t="n">
        <v>400</v>
      </c>
      <c r="I192" s="45" t="n">
        <v>1000</v>
      </c>
      <c r="J192" s="45" t="n">
        <v>30</v>
      </c>
      <c r="K192" s="45" t="n">
        <v>1500</v>
      </c>
    </row>
    <row r="193">
      <c r="B193" s="9" t="inlineStr">
        <is>
          <t>Fuel per ship-year ($m, 1913)</t>
        </is>
      </c>
      <c r="C193" s="46" t="n">
        <v>0.02</v>
      </c>
      <c r="D193" s="46" t="n">
        <v>0.05</v>
      </c>
      <c r="E193" s="46" t="n">
        <v>0.005</v>
      </c>
      <c r="F193" s="46" t="n">
        <v>0.05</v>
      </c>
      <c r="G193" s="46" t="n">
        <v>0.03</v>
      </c>
      <c r="H193" s="46" t="n">
        <v>0.08</v>
      </c>
      <c r="I193" s="46" t="n">
        <v>0.2</v>
      </c>
      <c r="J193" s="46" t="n">
        <v>0.01</v>
      </c>
      <c r="K193" s="46" t="n">
        <v>0.25</v>
      </c>
    </row>
    <row r="194">
      <c r="B194" s="9" t="inlineStr">
        <is>
          <t>Oil-fired (1 = yes)</t>
        </is>
      </c>
      <c r="C194" s="45" t="n">
        <v>0</v>
      </c>
      <c r="D194" s="45" t="n">
        <v>0</v>
      </c>
      <c r="E194" s="45" t="n">
        <v>1</v>
      </c>
      <c r="F194" s="45" t="n">
        <v>1</v>
      </c>
      <c r="G194" s="45" t="n">
        <v>1</v>
      </c>
      <c r="H194" s="45" t="n">
        <v>1</v>
      </c>
      <c r="I194" s="45" t="n">
        <v>1</v>
      </c>
      <c r="J194" s="45" t="n">
        <v>1</v>
      </c>
      <c r="K194" s="45" t="n">
        <v>1</v>
      </c>
    </row>
    <row r="195">
      <c r="B195" s="9" t="inlineStr">
        <is>
          <t>Crew if coal-fired (formula)</t>
        </is>
      </c>
      <c r="C195" s="47">
        <f>C192/IF(C194=1,oil_crew,1)</f>
        <v/>
      </c>
      <c r="D195" s="47">
        <f>D192/IF(D194=1,oil_crew,1)</f>
        <v/>
      </c>
      <c r="E195" s="47">
        <f>E192/IF(E194=1,oil_crew,1)</f>
        <v/>
      </c>
      <c r="F195" s="47">
        <f>F192/IF(F194=1,oil_crew,1)</f>
        <v/>
      </c>
      <c r="G195" s="47">
        <f>G192/IF(G194=1,oil_crew,1)</f>
        <v/>
      </c>
      <c r="H195" s="47">
        <f>H192/IF(H194=1,oil_crew,1)</f>
        <v/>
      </c>
      <c r="I195" s="47">
        <f>I192/IF(I194=1,oil_crew,1)</f>
        <v/>
      </c>
      <c r="J195" s="47">
        <f>J192/IF(J194=1,oil_crew,1)</f>
        <v/>
      </c>
      <c r="K195" s="47">
        <f>K192/IF(K194=1,oil_crew,1)</f>
        <v/>
      </c>
    </row>
    <row r="196">
      <c r="B196" s="9" t="inlineStr">
        <is>
          <t>Story status</t>
        </is>
      </c>
      <c r="C196" s="48" t="inlineStr">
        <is>
          <t>Canon</t>
        </is>
      </c>
      <c r="D196" s="48" t="inlineStr">
        <is>
          <t>Canon</t>
        </is>
      </c>
      <c r="E196" s="48" t="inlineStr">
        <is>
          <t>Approved</t>
        </is>
      </c>
      <c r="F196" s="48" t="inlineStr">
        <is>
          <t>Approved</t>
        </is>
      </c>
      <c r="G196" s="48" t="inlineStr">
        <is>
          <t>Approved</t>
        </is>
      </c>
      <c r="H196" s="48" t="inlineStr">
        <is>
          <t>Approved</t>
        </is>
      </c>
      <c r="I196" s="48" t="inlineStr">
        <is>
          <t>Proposed</t>
        </is>
      </c>
      <c r="J196" s="48" t="inlineStr">
        <is>
          <t>Proposed</t>
        </is>
      </c>
      <c r="K196" s="48" t="inlineStr">
        <is>
          <t>Proposed</t>
        </is>
      </c>
    </row>
    <row r="197" ht="64" customHeight="1">
      <c r="B197" s="9" t="inlineStr">
        <is>
          <t>What it is</t>
        </is>
      </c>
      <c r="C197" s="49" t="inlineStr">
        <is>
          <t>Ericsson turret ships from 1862 (Columbia), more for the 1870 Gulf war.</t>
        </is>
      </c>
      <c r="D197" s="49" t="inlineStr">
        <is>
          <t>Wooden and iron steam cruisers for the ocean road, Manila and Vladivostok.</t>
        </is>
      </c>
      <c r="E197" s="49" t="inlineStr">
        <is>
          <t>Oil-fired light craft in the 1880s (oil programme from 1876).</t>
        </is>
      </c>
      <c r="F197" s="49" t="inlineStr">
        <is>
          <t>Water-tube boilers burning oil, early 1890s.</t>
        </is>
      </c>
      <c r="G197" s="49" t="inlineStr">
        <is>
          <t>Turbine programme from 1885: destroyers 1893-95.</t>
        </is>
      </c>
      <c r="H197" s="49" t="inlineStr">
        <is>
          <t>Turbine cruisers by 1898.</t>
        </is>
      </c>
      <c r="I197" s="49" t="inlineStr">
        <is>
          <t>All-big-gun turbine ships from 1903, three years before HMS Dreadnought.</t>
        </is>
      </c>
      <c r="J197" s="49" t="inlineStr">
        <is>
          <t>Coastal and fleet submarines from 1900.</t>
        </is>
      </c>
      <c r="K197" s="49" t="inlineStr">
        <is>
          <t>Naval aviation in the 1920s; first carrier converted 1922.</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7F6000"/>
    <outlinePr summaryBelow="1" summaryRight="1"/>
    <pageSetUpPr fitToPage="1"/>
  </sheetPr>
  <dimension ref="A1:M158"/>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7" customWidth="1" min="3" max="3"/>
    <col width="52" customWidth="1" min="4" max="4"/>
    <col width="19" customWidth="1" min="5" max="5"/>
    <col width="12" customWidth="1" min="6" max="6"/>
    <col width="14" customWidth="1" min="7" max="7"/>
    <col width="11" customWidth="1" min="8" max="8"/>
    <col width="11" customWidth="1" min="9" max="9"/>
    <col width="8" customWidth="1" min="10" max="10"/>
    <col width="14" customWidth="1" min="11" max="11"/>
    <col width="9" customWidth="1" min="12" max="12"/>
    <col width="70" customWidth="1" min="13" max="13"/>
  </cols>
  <sheetData>
    <row r="1">
      <c r="A1" s="18" t="inlineStr">
        <is>
          <t>Story events ledger</t>
        </is>
      </c>
    </row>
    <row r="2">
      <c r="A2" s="2" t="inlineStr">
        <is>
          <t>Every dated commitment from the master storyline that costs or brings in money. One row per event; the annual amount applies in each year from Start to End.</t>
        </is>
      </c>
    </row>
    <row r="3">
      <c r="A3" s="19" t="inlineStr">
        <is>
          <t>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is>
      </c>
    </row>
    <row r="5">
      <c r="A5" s="28" t="inlineStr">
        <is>
          <t>ID</t>
        </is>
      </c>
      <c r="B5" s="28" t="inlineStr">
        <is>
          <t>Start</t>
        </is>
      </c>
      <c r="C5" s="28" t="inlineStr">
        <is>
          <t>End</t>
        </is>
      </c>
      <c r="D5" s="28" t="inlineStr">
        <is>
          <t>Event</t>
        </is>
      </c>
      <c r="E5" s="28" t="inlineStr">
        <is>
          <t>Category</t>
        </is>
      </c>
      <c r="F5" s="28" t="inlineStr">
        <is>
          <t>Loan group</t>
        </is>
      </c>
      <c r="G5" s="28" t="inlineStr">
        <is>
          <t>Party</t>
        </is>
      </c>
      <c r="H5" s="28" t="inlineStr">
        <is>
          <t>Per year ($m)</t>
        </is>
      </c>
      <c r="I5" s="28" t="inlineStr">
        <is>
          <t>Total ($m)</t>
        </is>
      </c>
      <c r="J5" s="28" t="inlineStr">
        <is>
          <t>Paid in gold</t>
        </is>
      </c>
      <c r="K5" s="28" t="inlineStr">
        <is>
          <t>Story status</t>
        </is>
      </c>
      <c r="L5" s="28" t="inlineStr">
        <is>
          <t>Section</t>
        </is>
      </c>
      <c r="M5" s="28" t="inlineStr">
        <is>
          <t>Basis of the amount</t>
        </is>
      </c>
    </row>
    <row r="6">
      <c r="A6" s="9" t="inlineStr">
        <is>
          <t>E01</t>
        </is>
      </c>
      <c r="B6" s="50" t="n">
        <v>1848</v>
      </c>
      <c r="C6" s="50" t="n">
        <v>1848</v>
      </c>
      <c r="D6" s="51" t="inlineStr">
        <is>
          <t>London bondholders' Mexican debt assumed (£3m)</t>
        </is>
      </c>
      <c r="E6" s="9" t="inlineStr">
        <is>
          <t>Debt assumed</t>
        </is>
      </c>
      <c r="F6" s="9" t="inlineStr"/>
      <c r="G6" s="9" t="inlineStr">
        <is>
          <t>Britain</t>
        </is>
      </c>
      <c r="H6" s="52" t="n">
        <v>14.6</v>
      </c>
      <c r="I6" s="53">
        <f>IF(H6="","",H6*(C6-B6+1))</f>
        <v/>
      </c>
      <c r="J6" s="9" t="inlineStr">
        <is>
          <t>No</t>
        </is>
      </c>
      <c r="K6" s="9" t="inlineStr">
        <is>
          <t>Canon</t>
        </is>
      </c>
      <c r="L6" s="9" t="inlineStr">
        <is>
          <t>§4</t>
        </is>
      </c>
      <c r="M6" s="54" t="inlineStr">
        <is>
          <t>£3m at $4.87</t>
        </is>
      </c>
    </row>
    <row r="7">
      <c r="A7" s="9" t="inlineStr">
        <is>
          <t>E02</t>
        </is>
      </c>
      <c r="B7" s="50" t="n">
        <v>1850</v>
      </c>
      <c r="C7" s="50" t="n">
        <v>1851</v>
      </c>
      <c r="D7" s="51" t="inlineStr">
        <is>
          <t>San Francisco mint and assay office</t>
        </is>
      </c>
      <c r="E7" s="9" t="inlineStr">
        <is>
          <t>Programme</t>
        </is>
      </c>
      <c r="F7" s="9" t="inlineStr"/>
      <c r="G7" s="9" t="inlineStr"/>
      <c r="H7" s="52" t="n">
        <v>0.5</v>
      </c>
      <c r="I7" s="53">
        <f>IF(H7="","",H7*(C7-B7+1))</f>
        <v/>
      </c>
      <c r="J7" s="9" t="inlineStr">
        <is>
          <t>No</t>
        </is>
      </c>
      <c r="K7" s="9" t="inlineStr">
        <is>
          <t>Canon</t>
        </is>
      </c>
      <c r="L7" s="9" t="inlineStr">
        <is>
          <t>§5</t>
        </is>
      </c>
      <c r="M7" s="54" t="inlineStr">
        <is>
          <t>Model estimate</t>
        </is>
      </c>
    </row>
    <row r="8">
      <c r="A8" s="9" t="inlineStr">
        <is>
          <t>E03</t>
        </is>
      </c>
      <c r="B8" s="50" t="n">
        <v>1853</v>
      </c>
      <c r="C8" s="50" t="n">
        <v>1854</v>
      </c>
      <c r="D8" s="51" t="inlineStr">
        <is>
          <t>Walker filibusters: naval supply cut-off</t>
        </is>
      </c>
      <c r="E8" s="9" t="inlineStr">
        <is>
          <t>War &amp; operations</t>
        </is>
      </c>
      <c r="F8" s="9" t="inlineStr"/>
      <c r="G8" s="9" t="inlineStr"/>
      <c r="H8" s="52" t="n">
        <v>0.3</v>
      </c>
      <c r="I8" s="53">
        <f>IF(H8="","",H8*(C8-B8+1))</f>
        <v/>
      </c>
      <c r="J8" s="9" t="inlineStr">
        <is>
          <t>No</t>
        </is>
      </c>
      <c r="K8" s="9" t="inlineStr">
        <is>
          <t>Canon</t>
        </is>
      </c>
      <c r="L8" s="9" t="inlineStr">
        <is>
          <t>§6</t>
        </is>
      </c>
      <c r="M8" s="54" t="inlineStr">
        <is>
          <t>Model estimate</t>
        </is>
      </c>
    </row>
    <row r="9">
      <c r="A9" s="9" t="inlineStr">
        <is>
          <t>E04</t>
        </is>
      </c>
      <c r="B9" s="50" t="n">
        <v>1855</v>
      </c>
      <c r="C9" s="50" t="n">
        <v>1861</v>
      </c>
      <c r="D9" s="51" t="inlineStr">
        <is>
          <t>Ericsson experimental workshop and turret trials</t>
        </is>
      </c>
      <c r="E9" s="9" t="inlineStr">
        <is>
          <t>Programme</t>
        </is>
      </c>
      <c r="F9" s="9" t="inlineStr"/>
      <c r="G9" s="9" t="inlineStr"/>
      <c r="H9" s="52" t="n">
        <v>0.4</v>
      </c>
      <c r="I9" s="53">
        <f>IF(H9="","",H9*(C9-B9+1))</f>
        <v/>
      </c>
      <c r="J9" s="9" t="inlineStr">
        <is>
          <t>No</t>
        </is>
      </c>
      <c r="K9" s="9" t="inlineStr">
        <is>
          <t>Canon</t>
        </is>
      </c>
      <c r="L9" s="9" t="inlineStr">
        <is>
          <t>§8</t>
        </is>
      </c>
      <c r="M9" s="54" t="inlineStr">
        <is>
          <t>Hulls are in the navy plan</t>
        </is>
      </c>
    </row>
    <row r="10">
      <c r="A10" s="9" t="inlineStr">
        <is>
          <t>E05</t>
        </is>
      </c>
      <c r="B10" s="50" t="n">
        <v>1857</v>
      </c>
      <c r="C10" s="50" t="n">
        <v>1858</v>
      </c>
      <c r="D10" s="51" t="inlineStr">
        <is>
          <t>Utah War border readiness</t>
        </is>
      </c>
      <c r="E10" s="9" t="inlineStr">
        <is>
          <t>War &amp; operations</t>
        </is>
      </c>
      <c r="F10" s="9" t="inlineStr"/>
      <c r="G10" s="9" t="inlineStr"/>
      <c r="H10" s="52" t="n">
        <v>0.3</v>
      </c>
      <c r="I10" s="53">
        <f>IF(H10="","",H10*(C10-B10+1))</f>
        <v/>
      </c>
      <c r="J10" s="9" t="inlineStr">
        <is>
          <t>No</t>
        </is>
      </c>
      <c r="K10" s="9" t="inlineStr">
        <is>
          <t>Canon</t>
        </is>
      </c>
      <c r="L10" s="9" t="inlineStr">
        <is>
          <t>§8</t>
        </is>
      </c>
      <c r="M10" s="54" t="inlineStr">
        <is>
          <t>Model estimate</t>
        </is>
      </c>
    </row>
    <row r="11">
      <c r="A11" s="9" t="inlineStr">
        <is>
          <t>E06</t>
        </is>
      </c>
      <c r="B11" s="50" t="n">
        <v>1860</v>
      </c>
      <c r="C11" s="50" t="n">
        <v>1860</v>
      </c>
      <c r="D11" s="51" t="inlineStr">
        <is>
          <t>Pyramid Lake relief force and Washoe crisis</t>
        </is>
      </c>
      <c r="E11" s="9" t="inlineStr">
        <is>
          <t>War &amp; operations</t>
        </is>
      </c>
      <c r="F11" s="9" t="inlineStr"/>
      <c r="G11" s="9" t="inlineStr"/>
      <c r="H11" s="52" t="n">
        <v>1</v>
      </c>
      <c r="I11" s="53">
        <f>IF(H11="","",H11*(C11-B11+1))</f>
        <v/>
      </c>
      <c r="J11" s="9" t="inlineStr">
        <is>
          <t>No</t>
        </is>
      </c>
      <c r="K11" s="9" t="inlineStr">
        <is>
          <t>Canon</t>
        </is>
      </c>
      <c r="L11" s="9" t="inlineStr">
        <is>
          <t>§8</t>
        </is>
      </c>
      <c r="M11" s="54" t="inlineStr">
        <is>
          <t>Model estimate</t>
        </is>
      </c>
    </row>
    <row r="12">
      <c r="A12" s="9" t="inlineStr">
        <is>
          <t>E07</t>
        </is>
      </c>
      <c r="B12" s="50" t="n">
        <v>1861</v>
      </c>
      <c r="C12" s="50" t="n">
        <v>1861</v>
      </c>
      <c r="D12" s="51" t="inlineStr">
        <is>
          <t>Northwestern campaign: sea transport and occupation</t>
        </is>
      </c>
      <c r="E12" s="9" t="inlineStr">
        <is>
          <t>War &amp; operations</t>
        </is>
      </c>
      <c r="F12" s="9" t="inlineStr"/>
      <c r="G12" s="9" t="inlineStr"/>
      <c r="H12" s="52" t="n">
        <v>6</v>
      </c>
      <c r="I12" s="53">
        <f>IF(H12="","",H12*(C12-B12+1))</f>
        <v/>
      </c>
      <c r="J12" s="9" t="inlineStr">
        <is>
          <t>No</t>
        </is>
      </c>
      <c r="K12" s="9" t="inlineStr">
        <is>
          <t>Canon</t>
        </is>
      </c>
      <c r="L12" s="9" t="inlineStr">
        <is>
          <t>§10</t>
        </is>
      </c>
      <c r="M12" s="54" t="inlineStr">
        <is>
          <t>On top of the wartime army in Paths</t>
        </is>
      </c>
    </row>
    <row r="13">
      <c r="A13" s="9" t="inlineStr">
        <is>
          <t>E08</t>
        </is>
      </c>
      <c r="B13" s="50" t="n">
        <v>1862</v>
      </c>
      <c r="C13" s="50" t="n">
        <v>1864</v>
      </c>
      <c r="D13" s="51" t="inlineStr">
        <is>
          <t>Occupation, interior columns and garrisons</t>
        </is>
      </c>
      <c r="E13" s="9" t="inlineStr">
        <is>
          <t>War &amp; operations</t>
        </is>
      </c>
      <c r="F13" s="9" t="inlineStr"/>
      <c r="G13" s="9" t="inlineStr"/>
      <c r="H13" s="52" t="n">
        <v>5</v>
      </c>
      <c r="I13" s="53">
        <f>IF(H13="","",H13*(C13-B13+1))</f>
        <v/>
      </c>
      <c r="J13" s="9" t="inlineStr">
        <is>
          <t>No</t>
        </is>
      </c>
      <c r="K13" s="9" t="inlineStr">
        <is>
          <t>Canon</t>
        </is>
      </c>
      <c r="L13" s="9" t="inlineStr">
        <is>
          <t>§10-11</t>
        </is>
      </c>
      <c r="M13" s="54" t="inlineStr">
        <is>
          <t>Model estimate</t>
        </is>
      </c>
    </row>
    <row r="14">
      <c r="A14" s="9" t="inlineStr">
        <is>
          <t>E09</t>
        </is>
      </c>
      <c r="B14" s="50" t="n">
        <v>1862</v>
      </c>
      <c r="C14" s="50" t="n">
        <v>1864</v>
      </c>
      <c r="D14" s="51" t="inlineStr">
        <is>
          <t>Eastern technical mission and Confederate aid</t>
        </is>
      </c>
      <c r="E14" s="9" t="inlineStr">
        <is>
          <t>Subsidy &amp; guarantee</t>
        </is>
      </c>
      <c r="F14" s="9" t="inlineStr"/>
      <c r="G14" s="9" t="inlineStr">
        <is>
          <t>Confederacy</t>
        </is>
      </c>
      <c r="H14" s="52" t="n">
        <v>0.8</v>
      </c>
      <c r="I14" s="53">
        <f>IF(H14="","",H14*(C14-B14+1))</f>
        <v/>
      </c>
      <c r="J14" s="9" t="inlineStr">
        <is>
          <t>No</t>
        </is>
      </c>
      <c r="K14" s="9" t="inlineStr">
        <is>
          <t>Canon</t>
        </is>
      </c>
      <c r="L14" s="9" t="inlineStr">
        <is>
          <t>§11</t>
        </is>
      </c>
      <c r="M14" s="54" t="inlineStr">
        <is>
          <t>Logan's mission, Louisiana repairs, Mobile mines</t>
        </is>
      </c>
    </row>
    <row r="15">
      <c r="A15" s="9" t="inlineStr">
        <is>
          <t>E10</t>
        </is>
      </c>
      <c r="B15" s="50" t="n">
        <v>1865</v>
      </c>
      <c r="C15" s="50" t="n">
        <v>1865</v>
      </c>
      <c r="D15" s="51" t="inlineStr">
        <is>
          <t>Navajo and Apache treaties, peonage compensation</t>
        </is>
      </c>
      <c r="E15" s="9" t="inlineStr">
        <is>
          <t>Subsidy &amp; guarantee</t>
        </is>
      </c>
      <c r="F15" s="9" t="inlineStr"/>
      <c r="G15" s="9" t="inlineStr"/>
      <c r="H15" s="52" t="n">
        <v>2</v>
      </c>
      <c r="I15" s="53">
        <f>IF(H15="","",H15*(C15-B15+1))</f>
        <v/>
      </c>
      <c r="J15" s="9" t="inlineStr">
        <is>
          <t>No</t>
        </is>
      </c>
      <c r="K15" s="9" t="inlineStr">
        <is>
          <t>Proposed</t>
        </is>
      </c>
      <c r="L15" s="9" t="inlineStr">
        <is>
          <t>§10</t>
        </is>
      </c>
      <c r="M15" s="54" t="inlineStr">
        <is>
          <t>Model estimate</t>
        </is>
      </c>
    </row>
    <row r="16">
      <c r="A16" s="9" t="inlineStr">
        <is>
          <t>E11</t>
        </is>
      </c>
      <c r="B16" s="50" t="n">
        <v>1866</v>
      </c>
      <c r="C16" s="50" t="n">
        <v>1872</v>
      </c>
      <c r="D16" s="51" t="inlineStr">
        <is>
          <t>Western cession: vendor credit to the Union</t>
        </is>
      </c>
      <c r="E16" s="9" t="inlineStr">
        <is>
          <t>Purchase</t>
        </is>
      </c>
      <c r="F16" s="9" t="inlineStr"/>
      <c r="G16" s="9" t="inlineStr">
        <is>
          <t>Union</t>
        </is>
      </c>
      <c r="H16" s="52">
        <f>union_vendor/7</f>
        <v/>
      </c>
      <c r="I16" s="53">
        <f>IF(H16="","",H16*(C16-B16+1))</f>
        <v/>
      </c>
      <c r="J16" s="9" t="inlineStr">
        <is>
          <t>Yes</t>
        </is>
      </c>
      <c r="K16" s="9" t="inlineStr">
        <is>
          <t>Proposed</t>
        </is>
      </c>
      <c r="L16" s="9" t="inlineStr">
        <is>
          <t>§12</t>
        </is>
      </c>
      <c r="M16" s="54" t="inlineStr">
        <is>
          <t>$40m gold in instalments through 1872</t>
        </is>
      </c>
    </row>
    <row r="17">
      <c r="A17" s="9" t="inlineStr">
        <is>
          <t>E12</t>
        </is>
      </c>
      <c r="B17" s="50" t="n">
        <v>1867</v>
      </c>
      <c r="C17" s="50" t="n">
        <v>1867</v>
      </c>
      <c r="D17" s="51" t="inlineStr">
        <is>
          <t>Alaska purchase</t>
        </is>
      </c>
      <c r="E17" s="9" t="inlineStr">
        <is>
          <t>Purchase</t>
        </is>
      </c>
      <c r="F17" s="9" t="inlineStr"/>
      <c r="G17" s="9" t="inlineStr">
        <is>
          <t>Russia</t>
        </is>
      </c>
      <c r="H17" s="52" t="n">
        <v>7.2</v>
      </c>
      <c r="I17" s="53">
        <f>IF(H17="","",H17*(C17-B17+1))</f>
        <v/>
      </c>
      <c r="J17" s="9" t="inlineStr">
        <is>
          <t>Yes</t>
        </is>
      </c>
      <c r="K17" s="9" t="inlineStr">
        <is>
          <t>Canon</t>
        </is>
      </c>
      <c r="L17" s="9" t="inlineStr">
        <is>
          <t>§14</t>
        </is>
      </c>
      <c r="M17" s="54" t="inlineStr">
        <is>
          <t>Historical US price as comparator</t>
        </is>
      </c>
    </row>
    <row r="18">
      <c r="A18" s="9" t="inlineStr">
        <is>
          <t>E13</t>
        </is>
      </c>
      <c r="B18" s="50" t="n">
        <v>1867</v>
      </c>
      <c r="C18" s="50" t="n">
        <v>1867</v>
      </c>
      <c r="D18" s="51" t="inlineStr">
        <is>
          <t>Baja purchase</t>
        </is>
      </c>
      <c r="E18" s="9" t="inlineStr">
        <is>
          <t>Purchase</t>
        </is>
      </c>
      <c r="F18" s="9" t="inlineStr"/>
      <c r="G18" s="9" t="inlineStr">
        <is>
          <t>Mexico</t>
        </is>
      </c>
      <c r="H18" s="52" t="n">
        <v>5</v>
      </c>
      <c r="I18" s="53">
        <f>IF(H18="","",H18*(C18-B18+1))</f>
        <v/>
      </c>
      <c r="J18" s="9" t="inlineStr">
        <is>
          <t>Yes</t>
        </is>
      </c>
      <c r="K18" s="9" t="inlineStr">
        <is>
          <t>Proposed</t>
        </is>
      </c>
      <c r="L18" s="9" t="inlineStr">
        <is>
          <t>§13</t>
        </is>
      </c>
      <c r="M18" s="54" t="inlineStr">
        <is>
          <t>Old model working price</t>
        </is>
      </c>
    </row>
    <row r="19">
      <c r="A19" s="9" t="inlineStr">
        <is>
          <t>E14</t>
        </is>
      </c>
      <c r="B19" s="50" t="n">
        <v>1867</v>
      </c>
      <c r="C19" s="50" t="n">
        <v>1867</v>
      </c>
      <c r="D19" s="51" t="inlineStr">
        <is>
          <t>Treasury loan to the Union</t>
        </is>
      </c>
      <c r="E19" s="9" t="inlineStr">
        <is>
          <t>Loan</t>
        </is>
      </c>
      <c r="F19" s="9" t="inlineStr">
        <is>
          <t>Continental</t>
        </is>
      </c>
      <c r="G19" s="9" t="inlineStr">
        <is>
          <t>Union</t>
        </is>
      </c>
      <c r="H19" s="52" t="n">
        <v>10</v>
      </c>
      <c r="I19" s="53">
        <f>IF(H19="","",H19*(C19-B19+1))</f>
        <v/>
      </c>
      <c r="J19" s="9" t="inlineStr">
        <is>
          <t>Yes</t>
        </is>
      </c>
      <c r="K19" s="9" t="inlineStr">
        <is>
          <t>Proposed</t>
        </is>
      </c>
      <c r="L19" s="9" t="inlineStr">
        <is>
          <t>§12</t>
        </is>
      </c>
      <c r="M19" s="54" t="inlineStr">
        <is>
          <t>Old model L01: $10m syndicate</t>
        </is>
      </c>
    </row>
    <row r="20">
      <c r="A20" s="9" t="inlineStr">
        <is>
          <t>E15</t>
        </is>
      </c>
      <c r="B20" s="50" t="n">
        <v>1867</v>
      </c>
      <c r="C20" s="50" t="n">
        <v>1900</v>
      </c>
      <c r="D20" s="51" t="inlineStr">
        <is>
          <t>Ocean mail line subsidy (SF-Honolulu-Yokohama-Hong Kong)</t>
        </is>
      </c>
      <c r="E20" s="9" t="inlineStr">
        <is>
          <t>Subsidy &amp; guarantee</t>
        </is>
      </c>
      <c r="F20" s="9" t="inlineStr"/>
      <c r="G20" s="9" t="inlineStr"/>
      <c r="H20" s="52" t="n">
        <v>1</v>
      </c>
      <c r="I20" s="53">
        <f>IF(H20="","",H20*(C20-B20+1))</f>
        <v/>
      </c>
      <c r="J20" s="9" t="inlineStr">
        <is>
          <t>No</t>
        </is>
      </c>
      <c r="K20" s="9" t="inlineStr">
        <is>
          <t>Proposed</t>
        </is>
      </c>
      <c r="L20" s="9" t="inlineStr">
        <is>
          <t>§14</t>
        </is>
      </c>
      <c r="M20" s="54" t="inlineStr">
        <is>
          <t>Model estimate</t>
        </is>
      </c>
    </row>
    <row r="21">
      <c r="A21" s="9" t="inlineStr">
        <is>
          <t>E16</t>
        </is>
      </c>
      <c r="B21" s="50" t="n">
        <v>1868</v>
      </c>
      <c r="C21" s="50" t="n">
        <v>1869</v>
      </c>
      <c r="D21" s="51" t="inlineStr">
        <is>
          <t>Fleet guarantee for the Edo transition</t>
        </is>
      </c>
      <c r="E21" s="9" t="inlineStr">
        <is>
          <t>War &amp; operations</t>
        </is>
      </c>
      <c r="F21" s="9" t="inlineStr"/>
      <c r="G21" s="9" t="inlineStr">
        <is>
          <t>Japan</t>
        </is>
      </c>
      <c r="H21" s="52" t="n">
        <v>0.5</v>
      </c>
      <c r="I21" s="53">
        <f>IF(H21="","",H21*(C21-B21+1))</f>
        <v/>
      </c>
      <c r="J21" s="9" t="inlineStr">
        <is>
          <t>No</t>
        </is>
      </c>
      <c r="K21" s="9" t="inlineStr">
        <is>
          <t>Proposed</t>
        </is>
      </c>
      <c r="L21" s="9" t="inlineStr">
        <is>
          <t>§14</t>
        </is>
      </c>
      <c r="M21" s="54" t="inlineStr">
        <is>
          <t>Model estimate</t>
        </is>
      </c>
    </row>
    <row r="22">
      <c r="A22" s="9" t="inlineStr">
        <is>
          <t>E17</t>
        </is>
      </c>
      <c r="B22" s="50" t="n">
        <v>1870</v>
      </c>
      <c r="C22" s="50" t="n">
        <v>1871</v>
      </c>
      <c r="D22" s="51" t="inlineStr">
        <is>
          <t>Gulf squadron, turret ships and mines in Grant's war</t>
        </is>
      </c>
      <c r="E22" s="9" t="inlineStr">
        <is>
          <t>War &amp; operations</t>
        </is>
      </c>
      <c r="F22" s="9" t="inlineStr"/>
      <c r="G22" s="9" t="inlineStr">
        <is>
          <t>Confederacy</t>
        </is>
      </c>
      <c r="H22" s="52" t="n">
        <v>6</v>
      </c>
      <c r="I22" s="53">
        <f>IF(H22="","",H22*(C22-B22+1))</f>
        <v/>
      </c>
      <c r="J22" s="9" t="inlineStr">
        <is>
          <t>No</t>
        </is>
      </c>
      <c r="K22" s="9" t="inlineStr">
        <is>
          <t>Canon</t>
        </is>
      </c>
      <c r="L22" s="9" t="inlineStr">
        <is>
          <t>§13</t>
        </is>
      </c>
      <c r="M22" s="54" t="inlineStr">
        <is>
          <t>No field army sent</t>
        </is>
      </c>
    </row>
    <row r="23">
      <c r="A23" s="9" t="inlineStr">
        <is>
          <t>E18</t>
        </is>
      </c>
      <c r="B23" s="50" t="n">
        <v>1870</v>
      </c>
      <c r="C23" s="50" t="n">
        <v>1870</v>
      </c>
      <c r="D23" s="51" t="inlineStr">
        <is>
          <t>Japan alliance credit (Yokosuka, Takashima)</t>
        </is>
      </c>
      <c r="E23" s="9" t="inlineStr">
        <is>
          <t>Loan</t>
        </is>
      </c>
      <c r="F23" s="9" t="inlineStr">
        <is>
          <t>Asia</t>
        </is>
      </c>
      <c r="G23" s="9" t="inlineStr">
        <is>
          <t>Japan</t>
        </is>
      </c>
      <c r="H23" s="52" t="n">
        <v>5</v>
      </c>
      <c r="I23" s="53">
        <f>IF(H23="","",H23*(C23-B23+1))</f>
        <v/>
      </c>
      <c r="J23" s="9" t="inlineStr">
        <is>
          <t>No</t>
        </is>
      </c>
      <c r="K23" s="9" t="inlineStr">
        <is>
          <t>Canon</t>
        </is>
      </c>
      <c r="L23" s="9" t="inlineStr">
        <is>
          <t>§14</t>
        </is>
      </c>
      <c r="M23" s="54" t="inlineStr">
        <is>
          <t>Old model L02</t>
        </is>
      </c>
    </row>
    <row r="24">
      <c r="A24" s="9" t="inlineStr">
        <is>
          <t>E19</t>
        </is>
      </c>
      <c r="B24" s="50" t="n">
        <v>1871</v>
      </c>
      <c r="C24" s="50" t="n">
        <v>1872</v>
      </c>
      <c r="D24" s="51" t="inlineStr">
        <is>
          <t>Confederate debt refinanced on customs security</t>
        </is>
      </c>
      <c r="E24" s="9" t="inlineStr">
        <is>
          <t>Loan</t>
        </is>
      </c>
      <c r="F24" s="9" t="inlineStr">
        <is>
          <t>Continental</t>
        </is>
      </c>
      <c r="G24" s="9" t="inlineStr">
        <is>
          <t>Confederacy</t>
        </is>
      </c>
      <c r="H24" s="52" t="n">
        <v>12.5</v>
      </c>
      <c r="I24" s="53">
        <f>IF(H24="","",H24*(C24-B24+1))</f>
        <v/>
      </c>
      <c r="J24" s="9" t="inlineStr">
        <is>
          <t>No</t>
        </is>
      </c>
      <c r="K24" s="9" t="inlineStr">
        <is>
          <t>Canon</t>
        </is>
      </c>
      <c r="L24" s="9" t="inlineStr">
        <is>
          <t>§13</t>
        </is>
      </c>
      <c r="M24" s="54" t="inlineStr">
        <is>
          <t>Old model L03 + L04</t>
        </is>
      </c>
    </row>
    <row r="25">
      <c r="A25" s="9" t="inlineStr">
        <is>
          <t>E20</t>
        </is>
      </c>
      <c r="B25" s="50" t="n">
        <v>1871</v>
      </c>
      <c r="C25" s="50" t="n">
        <v>1888</v>
      </c>
      <c r="D25" s="51" t="inlineStr">
        <is>
          <t>Replacement of Richmond's Mississippi tolls</t>
        </is>
      </c>
      <c r="E25" s="9" t="inlineStr">
        <is>
          <t>Subsidy &amp; guarantee</t>
        </is>
      </c>
      <c r="F25" s="9" t="inlineStr"/>
      <c r="G25" s="9" t="inlineStr">
        <is>
          <t>Confederacy</t>
        </is>
      </c>
      <c r="H25" s="52" t="n">
        <v>1</v>
      </c>
      <c r="I25" s="53">
        <f>IF(H25="","",H25*(C25-B25+1))</f>
        <v/>
      </c>
      <c r="J25" s="9" t="inlineStr">
        <is>
          <t>No</t>
        </is>
      </c>
      <c r="K25" s="9" t="inlineStr">
        <is>
          <t>Canon</t>
        </is>
      </c>
      <c r="L25" s="9" t="inlineStr">
        <is>
          <t>§13</t>
        </is>
      </c>
      <c r="M25" s="54" t="inlineStr">
        <is>
          <t>Model estimate</t>
        </is>
      </c>
    </row>
    <row r="26">
      <c r="A26" s="9" t="inlineStr">
        <is>
          <t>E21</t>
        </is>
      </c>
      <c r="B26" s="50" t="n">
        <v>1872</v>
      </c>
      <c r="C26" s="50" t="n">
        <v>1872</v>
      </c>
      <c r="D26" s="51" t="inlineStr">
        <is>
          <t>Chinese industrial loans (arsenals, steamships, Kaiping)</t>
        </is>
      </c>
      <c r="E26" s="9" t="inlineStr">
        <is>
          <t>Loan</t>
        </is>
      </c>
      <c r="F26" s="9" t="inlineStr">
        <is>
          <t>Asia</t>
        </is>
      </c>
      <c r="G26" s="9" t="inlineStr">
        <is>
          <t>China</t>
        </is>
      </c>
      <c r="H26" s="52" t="n">
        <v>4</v>
      </c>
      <c r="I26" s="53">
        <f>IF(H26="","",H26*(C26-B26+1))</f>
        <v/>
      </c>
      <c r="J26" s="9" t="inlineStr">
        <is>
          <t>No</t>
        </is>
      </c>
      <c r="K26" s="9" t="inlineStr">
        <is>
          <t>Proposed</t>
        </is>
      </c>
      <c r="L26" s="9" t="inlineStr">
        <is>
          <t>§14</t>
        </is>
      </c>
      <c r="M26" s="54" t="inlineStr">
        <is>
          <t>Public share of a $20m syndicate</t>
        </is>
      </c>
    </row>
    <row r="27">
      <c r="A27" s="9" t="inlineStr">
        <is>
          <t>E22</t>
        </is>
      </c>
      <c r="B27" s="50" t="n">
        <v>1873</v>
      </c>
      <c r="C27" s="50" t="n">
        <v>1873</v>
      </c>
      <c r="D27" s="51" t="inlineStr">
        <is>
          <t>One-day naval action at Manila Bay</t>
        </is>
      </c>
      <c r="E27" s="9" t="inlineStr">
        <is>
          <t>War &amp; operations</t>
        </is>
      </c>
      <c r="F27" s="9" t="inlineStr"/>
      <c r="G27" s="9" t="inlineStr">
        <is>
          <t>Spain</t>
        </is>
      </c>
      <c r="H27" s="52" t="n">
        <v>1.5</v>
      </c>
      <c r="I27" s="53">
        <f>IF(H27="","",H27*(C27-B27+1))</f>
        <v/>
      </c>
      <c r="J27" s="9" t="inlineStr">
        <is>
          <t>No</t>
        </is>
      </c>
      <c r="K27" s="9" t="inlineStr">
        <is>
          <t>Canon</t>
        </is>
      </c>
      <c r="L27" s="9" t="inlineStr">
        <is>
          <t>§15</t>
        </is>
      </c>
      <c r="M27" s="54" t="inlineStr">
        <is>
          <t>Model estimate</t>
        </is>
      </c>
    </row>
    <row r="28">
      <c r="A28" s="9" t="inlineStr">
        <is>
          <t>E23</t>
        </is>
      </c>
      <c r="B28" s="50" t="n">
        <v>1874</v>
      </c>
      <c r="C28" s="50" t="n">
        <v>1874</v>
      </c>
      <c r="D28" s="51" t="inlineStr">
        <is>
          <t>Hawaiian crisis and the Honolulu suppression</t>
        </is>
      </c>
      <c r="E28" s="9" t="inlineStr">
        <is>
          <t>War &amp; operations</t>
        </is>
      </c>
      <c r="F28" s="9" t="inlineStr"/>
      <c r="G28" s="9" t="inlineStr">
        <is>
          <t>Hawaii</t>
        </is>
      </c>
      <c r="H28" s="52" t="n">
        <v>1</v>
      </c>
      <c r="I28" s="53">
        <f>IF(H28="","",H28*(C28-B28+1))</f>
        <v/>
      </c>
      <c r="J28" s="9" t="inlineStr">
        <is>
          <t>No</t>
        </is>
      </c>
      <c r="K28" s="9" t="inlineStr">
        <is>
          <t>Canon</t>
        </is>
      </c>
      <c r="L28" s="9" t="inlineStr">
        <is>
          <t>§17</t>
        </is>
      </c>
      <c r="M28" s="54" t="inlineStr">
        <is>
          <t>Model estimate</t>
        </is>
      </c>
    </row>
    <row r="29">
      <c r="A29" s="9" t="inlineStr">
        <is>
          <t>E24</t>
        </is>
      </c>
      <c r="B29" s="50" t="n">
        <v>1874</v>
      </c>
      <c r="C29" s="50" t="n">
        <v>1874</v>
      </c>
      <c r="D29" s="51" t="inlineStr">
        <is>
          <t>Supplies for Japan's Formosa expedition</t>
        </is>
      </c>
      <c r="E29" s="9" t="inlineStr">
        <is>
          <t>War &amp; operations</t>
        </is>
      </c>
      <c r="F29" s="9" t="inlineStr"/>
      <c r="G29" s="9" t="inlineStr">
        <is>
          <t>Japan</t>
        </is>
      </c>
      <c r="H29" s="52" t="n">
        <v>0.5</v>
      </c>
      <c r="I29" s="53">
        <f>IF(H29="","",H29*(C29-B29+1))</f>
        <v/>
      </c>
      <c r="J29" s="9" t="inlineStr">
        <is>
          <t>No</t>
        </is>
      </c>
      <c r="K29" s="9" t="inlineStr">
        <is>
          <t>Proposed</t>
        </is>
      </c>
      <c r="L29" s="9" t="inlineStr">
        <is>
          <t>§15</t>
        </is>
      </c>
      <c r="M29" s="54" t="inlineStr">
        <is>
          <t>Model estimate</t>
        </is>
      </c>
    </row>
    <row r="30">
      <c r="A30" s="9" t="inlineStr">
        <is>
          <t>E25</t>
        </is>
      </c>
      <c r="B30" s="50" t="n">
        <v>1874</v>
      </c>
      <c r="C30" s="50" t="n">
        <v>1875</v>
      </c>
      <c r="D30" s="51" t="inlineStr">
        <is>
          <t>Bridging loan to Madrid secured on the islands</t>
        </is>
      </c>
      <c r="E30" s="9" t="inlineStr">
        <is>
          <t>Loan</t>
        </is>
      </c>
      <c r="F30" s="9" t="inlineStr">
        <is>
          <t>Europe</t>
        </is>
      </c>
      <c r="G30" s="9" t="inlineStr">
        <is>
          <t>Spain</t>
        </is>
      </c>
      <c r="H30" s="52" t="n">
        <v>3</v>
      </c>
      <c r="I30" s="53">
        <f>IF(H30="","",H30*(C30-B30+1))</f>
        <v/>
      </c>
      <c r="J30" s="9" t="inlineStr">
        <is>
          <t>No</t>
        </is>
      </c>
      <c r="K30" s="9" t="inlineStr">
        <is>
          <t>Proposed</t>
        </is>
      </c>
      <c r="L30" s="9" t="inlineStr">
        <is>
          <t>§15</t>
        </is>
      </c>
      <c r="M30" s="54" t="inlineStr">
        <is>
          <t>Old model L09: $6m</t>
        </is>
      </c>
    </row>
    <row r="31">
      <c r="A31" s="9" t="inlineStr">
        <is>
          <t>E26</t>
        </is>
      </c>
      <c r="B31" s="50" t="n">
        <v>1876</v>
      </c>
      <c r="C31" s="50" t="n">
        <v>1876</v>
      </c>
      <c r="D31" s="51" t="inlineStr">
        <is>
          <t>Purchase of the Philippines, Marianas, Carolines and Palau</t>
        </is>
      </c>
      <c r="E31" s="9" t="inlineStr">
        <is>
          <t>Purchase</t>
        </is>
      </c>
      <c r="F31" s="9" t="inlineStr"/>
      <c r="G31" s="9" t="inlineStr">
        <is>
          <t>Spain</t>
        </is>
      </c>
      <c r="H31" s="52" t="n">
        <v>20</v>
      </c>
      <c r="I31" s="53">
        <f>IF(H31="","",H31*(C31-B31+1))</f>
        <v/>
      </c>
      <c r="J31" s="9" t="inlineStr">
        <is>
          <t>Yes</t>
        </is>
      </c>
      <c r="K31" s="9" t="inlineStr">
        <is>
          <t>Canon</t>
        </is>
      </c>
      <c r="L31" s="9" t="inlineStr">
        <is>
          <t>§15</t>
        </is>
      </c>
      <c r="M31" s="54" t="inlineStr">
        <is>
          <t>Model estimate; US paid $20m in 1898</t>
        </is>
      </c>
    </row>
    <row r="32">
      <c r="A32" s="9" t="inlineStr">
        <is>
          <t>E27</t>
        </is>
      </c>
      <c r="B32" s="50" t="n">
        <v>1876</v>
      </c>
      <c r="C32" s="50" t="n">
        <v>1890</v>
      </c>
      <c r="D32" s="51" t="inlineStr">
        <is>
          <t>State oil programme: survey, burner trials, oil locomotives</t>
        </is>
      </c>
      <c r="E32" s="9" t="inlineStr">
        <is>
          <t>Programme</t>
        </is>
      </c>
      <c r="F32" s="9" t="inlineStr"/>
      <c r="G32" s="9" t="inlineStr"/>
      <c r="H32" s="52" t="n">
        <v>0.3</v>
      </c>
      <c r="I32" s="53">
        <f>IF(H32="","",H32*(C32-B32+1))</f>
        <v/>
      </c>
      <c r="J32" s="9" t="inlineStr">
        <is>
          <t>No</t>
        </is>
      </c>
      <c r="K32" s="9" t="inlineStr">
        <is>
          <t>Approved</t>
        </is>
      </c>
      <c r="L32" s="9" t="inlineStr">
        <is>
          <t>§21</t>
        </is>
      </c>
      <c r="M32" s="54" t="inlineStr">
        <is>
          <t>Pico Canyon find; LA and Kern fields found 1885-88</t>
        </is>
      </c>
    </row>
    <row r="33">
      <c r="A33" s="9" t="inlineStr">
        <is>
          <t>E28</t>
        </is>
      </c>
      <c r="B33" s="50" t="n">
        <v>1876</v>
      </c>
      <c r="C33" s="50" t="n">
        <v>1879</v>
      </c>
      <c r="D33" s="51" t="inlineStr">
        <is>
          <t>North China famine relief</t>
        </is>
      </c>
      <c r="E33" s="9" t="inlineStr">
        <is>
          <t>Relief</t>
        </is>
      </c>
      <c r="F33" s="9" t="inlineStr"/>
      <c r="G33" s="9" t="inlineStr">
        <is>
          <t>China</t>
        </is>
      </c>
      <c r="H33" s="52" t="n">
        <v>0.5</v>
      </c>
      <c r="I33" s="53">
        <f>IF(H33="","",H33*(C33-B33+1))</f>
        <v/>
      </c>
      <c r="J33" s="9" t="inlineStr">
        <is>
          <t>No</t>
        </is>
      </c>
      <c r="K33" s="9" t="inlineStr">
        <is>
          <t>Proposed</t>
        </is>
      </c>
      <c r="L33" s="9" t="inlineStr">
        <is>
          <t>§14</t>
        </is>
      </c>
      <c r="M33" s="54" t="inlineStr">
        <is>
          <t>Model estimate</t>
        </is>
      </c>
    </row>
    <row r="34">
      <c r="A34" s="9" t="inlineStr">
        <is>
          <t>E29</t>
        </is>
      </c>
      <c r="B34" s="50" t="n">
        <v>1877</v>
      </c>
      <c r="C34" s="50" t="n">
        <v>1932</v>
      </c>
      <c r="D34" s="51" t="inlineStr">
        <is>
          <t>Support to the Philippine crown budget</t>
        </is>
      </c>
      <c r="E34" s="9" t="inlineStr">
        <is>
          <t>Subsidy &amp; guarantee</t>
        </is>
      </c>
      <c r="F34" s="9" t="inlineStr"/>
      <c r="G34" s="9" t="inlineStr">
        <is>
          <t>Philippines</t>
        </is>
      </c>
      <c r="H34" s="52" t="n">
        <v>0.5</v>
      </c>
      <c r="I34" s="53">
        <f>IF(H34="","",H34*(C34-B34+1))</f>
        <v/>
      </c>
      <c r="J34" s="9" t="inlineStr">
        <is>
          <t>No</t>
        </is>
      </c>
      <c r="K34" s="9" t="inlineStr">
        <is>
          <t>Proposed</t>
        </is>
      </c>
      <c r="L34" s="9" t="inlineStr">
        <is>
          <t>§15</t>
        </is>
      </c>
      <c r="M34" s="54" t="inlineStr">
        <is>
          <t>Old model transfer</t>
        </is>
      </c>
    </row>
    <row r="35">
      <c r="A35" s="9" t="inlineStr">
        <is>
          <t>E30</t>
        </is>
      </c>
      <c r="B35" s="50" t="n">
        <v>1877</v>
      </c>
      <c r="C35" s="50" t="n">
        <v>1877</v>
      </c>
      <c r="D35" s="51" t="inlineStr">
        <is>
          <t>Support for the Meiji government against Satsuma</t>
        </is>
      </c>
      <c r="E35" s="9" t="inlineStr">
        <is>
          <t>War &amp; operations</t>
        </is>
      </c>
      <c r="F35" s="9" t="inlineStr"/>
      <c r="G35" s="9" t="inlineStr">
        <is>
          <t>Japan</t>
        </is>
      </c>
      <c r="H35" s="52" t="n">
        <v>0.5</v>
      </c>
      <c r="I35" s="53">
        <f>IF(H35="","",H35*(C35-B35+1))</f>
        <v/>
      </c>
      <c r="J35" s="9" t="inlineStr">
        <is>
          <t>No</t>
        </is>
      </c>
      <c r="K35" s="9" t="inlineStr">
        <is>
          <t>Proposed</t>
        </is>
      </c>
      <c r="L35" s="9" t="inlineStr">
        <is>
          <t>§15</t>
        </is>
      </c>
      <c r="M35" s="54" t="inlineStr">
        <is>
          <t>Model estimate</t>
        </is>
      </c>
    </row>
    <row r="36">
      <c r="A36" s="9" t="inlineStr">
        <is>
          <t>E31</t>
        </is>
      </c>
      <c r="B36" s="50" t="n">
        <v>1878</v>
      </c>
      <c r="C36" s="50" t="n">
        <v>1878</v>
      </c>
      <c r="D36" s="51" t="inlineStr">
        <is>
          <t>Vladivostok maritime action</t>
        </is>
      </c>
      <c r="E36" s="9" t="inlineStr">
        <is>
          <t>War &amp; operations</t>
        </is>
      </c>
      <c r="F36" s="9" t="inlineStr"/>
      <c r="G36" s="9" t="inlineStr">
        <is>
          <t>Russia</t>
        </is>
      </c>
      <c r="H36" s="52" t="n">
        <v>6</v>
      </c>
      <c r="I36" s="53">
        <f>IF(H36="","",H36*(C36-B36+1))</f>
        <v/>
      </c>
      <c r="J36" s="9" t="inlineStr">
        <is>
          <t>No</t>
        </is>
      </c>
      <c r="K36" s="9" t="inlineStr">
        <is>
          <t>Canon</t>
        </is>
      </c>
      <c r="L36" s="9" t="inlineStr">
        <is>
          <t>§16</t>
        </is>
      </c>
      <c r="M36" s="54" t="inlineStr">
        <is>
          <t>Model estimate</t>
        </is>
      </c>
    </row>
    <row r="37">
      <c r="A37" s="9" t="inlineStr">
        <is>
          <t>E32</t>
        </is>
      </c>
      <c r="B37" s="50" t="n">
        <v>1880</v>
      </c>
      <c r="C37" s="50" t="n">
        <v>1880</v>
      </c>
      <c r="D37" s="51" t="inlineStr">
        <is>
          <t>Panama Railroad control and Colombian transit treaty</t>
        </is>
      </c>
      <c r="E37" s="9" t="inlineStr">
        <is>
          <t>Purchase</t>
        </is>
      </c>
      <c r="F37" s="9" t="inlineStr"/>
      <c r="G37" s="9" t="inlineStr">
        <is>
          <t>Colombia</t>
        </is>
      </c>
      <c r="H37" s="52" t="n">
        <v>10</v>
      </c>
      <c r="I37" s="53">
        <f>IF(H37="","",H37*(C37-B37+1))</f>
        <v/>
      </c>
      <c r="J37" s="9" t="inlineStr">
        <is>
          <t>Yes</t>
        </is>
      </c>
      <c r="K37" s="9" t="inlineStr">
        <is>
          <t>Canon</t>
        </is>
      </c>
      <c r="L37" s="9" t="inlineStr">
        <is>
          <t>§19</t>
        </is>
      </c>
      <c r="M37" s="54" t="inlineStr">
        <is>
          <t>Old model $10m</t>
        </is>
      </c>
    </row>
    <row r="38">
      <c r="A38" s="9" t="inlineStr">
        <is>
          <t>E33</t>
        </is>
      </c>
      <c r="B38" s="50" t="n">
        <v>1880</v>
      </c>
      <c r="C38" s="50" t="n">
        <v>1887</v>
      </c>
      <c r="D38" s="51" t="inlineStr">
        <is>
          <t>Korean treaty and neutrality advisers</t>
        </is>
      </c>
      <c r="E38" s="9" t="inlineStr">
        <is>
          <t>Programme</t>
        </is>
      </c>
      <c r="F38" s="9" t="inlineStr"/>
      <c r="G38" s="9" t="inlineStr">
        <is>
          <t>Korea</t>
        </is>
      </c>
      <c r="H38" s="52" t="n">
        <v>0.2</v>
      </c>
      <c r="I38" s="53">
        <f>IF(H38="","",H38*(C38-B38+1))</f>
        <v/>
      </c>
      <c r="J38" s="9" t="inlineStr">
        <is>
          <t>No</t>
        </is>
      </c>
      <c r="K38" s="9" t="inlineStr">
        <is>
          <t>Proposed</t>
        </is>
      </c>
      <c r="L38" s="9" t="inlineStr">
        <is>
          <t>§14</t>
        </is>
      </c>
      <c r="M38" s="54" t="inlineStr">
        <is>
          <t>Model estimate</t>
        </is>
      </c>
    </row>
    <row r="39">
      <c r="A39" s="9" t="inlineStr">
        <is>
          <t>E34</t>
        </is>
      </c>
      <c r="B39" s="50" t="n">
        <v>1884</v>
      </c>
      <c r="C39" s="50" t="n">
        <v>1885</v>
      </c>
      <c r="D39" s="51" t="inlineStr">
        <is>
          <t>Keelung squadron protecting the coal trade</t>
        </is>
      </c>
      <c r="E39" s="9" t="inlineStr">
        <is>
          <t>War &amp; operations</t>
        </is>
      </c>
      <c r="F39" s="9" t="inlineStr"/>
      <c r="G39" s="9" t="inlineStr">
        <is>
          <t>China</t>
        </is>
      </c>
      <c r="H39" s="52" t="n">
        <v>1</v>
      </c>
      <c r="I39" s="53">
        <f>IF(H39="","",H39*(C39-B39+1))</f>
        <v/>
      </c>
      <c r="J39" s="9" t="inlineStr">
        <is>
          <t>No</t>
        </is>
      </c>
      <c r="K39" s="9" t="inlineStr">
        <is>
          <t>Proposed</t>
        </is>
      </c>
      <c r="L39" s="9" t="inlineStr">
        <is>
          <t>§16</t>
        </is>
      </c>
      <c r="M39" s="54" t="inlineStr">
        <is>
          <t>Model estimate</t>
        </is>
      </c>
    </row>
    <row r="40">
      <c r="A40" s="9" t="inlineStr">
        <is>
          <t>E35</t>
        </is>
      </c>
      <c r="B40" s="50" t="n">
        <v>1885</v>
      </c>
      <c r="C40" s="50" t="n">
        <v>1885</v>
      </c>
      <c r="D40" s="51" t="inlineStr">
        <is>
          <t>Keelung coal and local rail (public stake)</t>
        </is>
      </c>
      <c r="E40" s="9" t="inlineStr">
        <is>
          <t>Loan</t>
        </is>
      </c>
      <c r="F40" s="9" t="inlineStr">
        <is>
          <t>Asia</t>
        </is>
      </c>
      <c r="G40" s="9" t="inlineStr">
        <is>
          <t>China</t>
        </is>
      </c>
      <c r="H40" s="52" t="n">
        <v>0.6</v>
      </c>
      <c r="I40" s="53">
        <f>IF(H40="","",H40*(C40-B40+1))</f>
        <v/>
      </c>
      <c r="J40" s="9" t="inlineStr">
        <is>
          <t>No</t>
        </is>
      </c>
      <c r="K40" s="9" t="inlineStr">
        <is>
          <t>Proposed</t>
        </is>
      </c>
      <c r="L40" s="9" t="inlineStr">
        <is>
          <t>§16</t>
        </is>
      </c>
      <c r="M40" s="54" t="inlineStr">
        <is>
          <t>Old model Q03</t>
        </is>
      </c>
    </row>
    <row r="41">
      <c r="A41" s="9" t="inlineStr">
        <is>
          <t>E36</t>
        </is>
      </c>
      <c r="B41" s="50" t="n">
        <v>1885</v>
      </c>
      <c r="C41" s="50" t="n">
        <v>1900</v>
      </c>
      <c r="D41" s="51" t="inlineStr">
        <is>
          <t>Steam-turbine programme</t>
        </is>
      </c>
      <c r="E41" s="9" t="inlineStr">
        <is>
          <t>Programme</t>
        </is>
      </c>
      <c r="F41" s="9" t="inlineStr"/>
      <c r="G41" s="9" t="inlineStr"/>
      <c r="H41" s="52" t="n">
        <v>0.6</v>
      </c>
      <c r="I41" s="53">
        <f>IF(H41="","",H41*(C41-B41+1))</f>
        <v/>
      </c>
      <c r="J41" s="9" t="inlineStr">
        <is>
          <t>No</t>
        </is>
      </c>
      <c r="K41" s="9" t="inlineStr">
        <is>
          <t>Approved</t>
        </is>
      </c>
      <c r="L41" s="9" t="inlineStr">
        <is>
          <t>§21</t>
        </is>
      </c>
      <c r="M41" s="54" t="inlineStr">
        <is>
          <t>Turbo-generators 1885, marine prototype 1890</t>
        </is>
      </c>
    </row>
    <row r="42">
      <c r="A42" s="9" t="inlineStr">
        <is>
          <t>E37</t>
        </is>
      </c>
      <c r="B42" s="50" t="n">
        <v>1886</v>
      </c>
      <c r="C42" s="50" t="n">
        <v>1900</v>
      </c>
      <c r="D42" s="51" t="inlineStr">
        <is>
          <t>Electrical institute, Tesla, one AC standard</t>
        </is>
      </c>
      <c r="E42" s="9" t="inlineStr">
        <is>
          <t>Programme</t>
        </is>
      </c>
      <c r="F42" s="9" t="inlineStr"/>
      <c r="G42" s="9" t="inlineStr"/>
      <c r="H42" s="52" t="n">
        <v>0.5</v>
      </c>
      <c r="I42" s="53">
        <f>IF(H42="","",H42*(C42-B42+1))</f>
        <v/>
      </c>
      <c r="J42" s="9" t="inlineStr">
        <is>
          <t>No</t>
        </is>
      </c>
      <c r="K42" s="9" t="inlineStr">
        <is>
          <t>Proposed</t>
        </is>
      </c>
      <c r="L42" s="9" t="inlineStr">
        <is>
          <t>§21</t>
        </is>
      </c>
      <c r="M42" s="54" t="inlineStr">
        <is>
          <t>Model estimate</t>
        </is>
      </c>
    </row>
    <row r="43">
      <c r="A43" s="9" t="inlineStr">
        <is>
          <t>E38</t>
        </is>
      </c>
      <c r="B43" s="50" t="n">
        <v>1885</v>
      </c>
      <c r="C43" s="50" t="n">
        <v>1887</v>
      </c>
      <c r="D43" s="51" t="inlineStr">
        <is>
          <t>Port Hamilton near-war readiness</t>
        </is>
      </c>
      <c r="E43" s="9" t="inlineStr">
        <is>
          <t>War &amp; operations</t>
        </is>
      </c>
      <c r="F43" s="9" t="inlineStr"/>
      <c r="G43" s="9" t="inlineStr">
        <is>
          <t>Britain</t>
        </is>
      </c>
      <c r="H43" s="52" t="n">
        <v>1</v>
      </c>
      <c r="I43" s="53">
        <f>IF(H43="","",H43*(C43-B43+1))</f>
        <v/>
      </c>
      <c r="J43" s="9" t="inlineStr">
        <is>
          <t>No</t>
        </is>
      </c>
      <c r="K43" s="9" t="inlineStr">
        <is>
          <t>Proposed</t>
        </is>
      </c>
      <c r="L43" s="9" t="inlineStr">
        <is>
          <t>§16</t>
        </is>
      </c>
      <c r="M43" s="54" t="inlineStr">
        <is>
          <t>Model estimate</t>
        </is>
      </c>
    </row>
    <row r="44">
      <c r="A44" s="9" t="inlineStr">
        <is>
          <t>E39</t>
        </is>
      </c>
      <c r="B44" s="50" t="n">
        <v>1887</v>
      </c>
      <c r="C44" s="50" t="n">
        <v>1889</v>
      </c>
      <c r="D44" s="51" t="inlineStr">
        <is>
          <t>Managed succession, Truce of Thalassia, Donner standoff</t>
        </is>
      </c>
      <c r="E44" s="9" t="inlineStr">
        <is>
          <t>War &amp; operations</t>
        </is>
      </c>
      <c r="F44" s="9" t="inlineStr"/>
      <c r="G44" s="9" t="inlineStr"/>
      <c r="H44" s="52" t="n">
        <v>0.5</v>
      </c>
      <c r="I44" s="53">
        <f>IF(H44="","",H44*(C44-B44+1))</f>
        <v/>
      </c>
      <c r="J44" s="9" t="inlineStr">
        <is>
          <t>No</t>
        </is>
      </c>
      <c r="K44" s="9" t="inlineStr">
        <is>
          <t>Canon</t>
        </is>
      </c>
      <c r="L44" s="9" t="inlineStr">
        <is>
          <t>§22</t>
        </is>
      </c>
      <c r="M44" s="54" t="inlineStr">
        <is>
          <t>Old model $1.5m</t>
        </is>
      </c>
    </row>
    <row r="45">
      <c r="A45" s="9" t="inlineStr">
        <is>
          <t>E40</t>
        </is>
      </c>
      <c r="B45" s="50" t="n">
        <v>1888</v>
      </c>
      <c r="C45" s="50" t="n">
        <v>1932</v>
      </c>
      <c r="D45" s="51" t="inlineStr">
        <is>
          <t>Statistics bureau, multilingual weekly and newsreels</t>
        </is>
      </c>
      <c r="E45" s="9" t="inlineStr">
        <is>
          <t>Programme</t>
        </is>
      </c>
      <c r="F45" s="9" t="inlineStr"/>
      <c r="G45" s="9" t="inlineStr"/>
      <c r="H45" s="52" t="n">
        <v>0.4</v>
      </c>
      <c r="I45" s="53">
        <f>IF(H45="","",H45*(C45-B45+1))</f>
        <v/>
      </c>
      <c r="J45" s="9" t="inlineStr">
        <is>
          <t>No</t>
        </is>
      </c>
      <c r="K45" s="9" t="inlineStr">
        <is>
          <t>Canon</t>
        </is>
      </c>
      <c r="L45" s="9" t="inlineStr">
        <is>
          <t>§25</t>
        </is>
      </c>
      <c r="M45" s="54" t="inlineStr">
        <is>
          <t>Kaiulani's life project; model estimate</t>
        </is>
      </c>
    </row>
    <row r="46">
      <c r="A46" s="9" t="inlineStr">
        <is>
          <t>E41</t>
        </is>
      </c>
      <c r="B46" s="50" t="n">
        <v>1888</v>
      </c>
      <c r="C46" s="50" t="n">
        <v>1889</v>
      </c>
      <c r="D46" s="51" t="inlineStr">
        <is>
          <t>Abolition compensation bonds (public participation)</t>
        </is>
      </c>
      <c r="E46" s="9" t="inlineStr">
        <is>
          <t>Loan</t>
        </is>
      </c>
      <c r="F46" s="9" t="inlineStr">
        <is>
          <t>Continental</t>
        </is>
      </c>
      <c r="G46" s="9" t="inlineStr">
        <is>
          <t>Confederacy</t>
        </is>
      </c>
      <c r="H46" s="52" t="n">
        <v>3</v>
      </c>
      <c r="I46" s="53">
        <f>IF(H46="","",H46*(C46-B46+1))</f>
        <v/>
      </c>
      <c r="J46" s="9" t="inlineStr">
        <is>
          <t>No</t>
        </is>
      </c>
      <c r="K46" s="9" t="inlineStr">
        <is>
          <t>Canon</t>
        </is>
      </c>
      <c r="L46" s="9" t="inlineStr">
        <is>
          <t>§25</t>
        </is>
      </c>
      <c r="M46" s="54" t="inlineStr">
        <is>
          <t>Old model L06</t>
        </is>
      </c>
    </row>
    <row r="47">
      <c r="A47" s="9" t="inlineStr">
        <is>
          <t>E42</t>
        </is>
      </c>
      <c r="B47" s="50" t="n">
        <v>1889</v>
      </c>
      <c r="C47" s="50" t="n">
        <v>1889</v>
      </c>
      <c r="D47" s="51" t="inlineStr">
        <is>
          <t>Purchase of the French Panama works</t>
        </is>
      </c>
      <c r="E47" s="9" t="inlineStr">
        <is>
          <t>Purchase</t>
        </is>
      </c>
      <c r="F47" s="9" t="inlineStr"/>
      <c r="G47" s="9" t="inlineStr">
        <is>
          <t>France</t>
        </is>
      </c>
      <c r="H47" s="52">
        <f>30*canal_share</f>
        <v/>
      </c>
      <c r="I47" s="53">
        <f>IF(H47="","",H47*(C47-B47+1))</f>
        <v/>
      </c>
      <c r="J47" s="9" t="inlineStr">
        <is>
          <t>Yes</t>
        </is>
      </c>
      <c r="K47" s="9" t="inlineStr">
        <is>
          <t>Canon</t>
        </is>
      </c>
      <c r="L47" s="9" t="inlineStr">
        <is>
          <t>§19, §25</t>
        </is>
      </c>
      <c r="M47" s="54" t="inlineStr">
        <is>
          <t>US paid $40m in 1904</t>
        </is>
      </c>
    </row>
    <row r="48">
      <c r="A48" s="9" t="inlineStr">
        <is>
          <t>E43</t>
        </is>
      </c>
      <c r="B48" s="50" t="n">
        <v>1890</v>
      </c>
      <c r="C48" s="50" t="n">
        <v>1901</v>
      </c>
      <c r="D48" s="51" t="inlineStr">
        <is>
          <t>Canal construction, lock-and-lake design</t>
        </is>
      </c>
      <c r="E48" s="9" t="inlineStr">
        <is>
          <t>Purchase</t>
        </is>
      </c>
      <c r="F48" s="9" t="inlineStr"/>
      <c r="G48" s="9" t="inlineStr"/>
      <c r="H48" s="52">
        <f>225/12*canal_share</f>
        <v/>
      </c>
      <c r="I48" s="53">
        <f>IF(H48="","",H48*(C48-B48+1))</f>
        <v/>
      </c>
      <c r="J48" s="9" t="inlineStr">
        <is>
          <t>No</t>
        </is>
      </c>
      <c r="K48" s="9" t="inlineStr">
        <is>
          <t>Canon</t>
        </is>
      </c>
      <c r="L48" s="9" t="inlineStr">
        <is>
          <t>§25</t>
        </is>
      </c>
      <c r="M48" s="54" t="inlineStr">
        <is>
          <t>Old model $225m</t>
        </is>
      </c>
    </row>
    <row r="49">
      <c r="A49" s="9" t="inlineStr">
        <is>
          <t>E44</t>
        </is>
      </c>
      <c r="B49" s="50" t="n">
        <v>1890</v>
      </c>
      <c r="C49" s="50" t="n">
        <v>1891</v>
      </c>
      <c r="D49" s="51" t="inlineStr">
        <is>
          <t>Baring-crisis gold loans</t>
        </is>
      </c>
      <c r="E49" s="9" t="inlineStr">
        <is>
          <t>Loan</t>
        </is>
      </c>
      <c r="F49" s="9" t="inlineStr">
        <is>
          <t>Europe</t>
        </is>
      </c>
      <c r="G49" s="9" t="inlineStr">
        <is>
          <t>Britain</t>
        </is>
      </c>
      <c r="H49" s="52" t="n">
        <v>1.5</v>
      </c>
      <c r="I49" s="53">
        <f>IF(H49="","",H49*(C49-B49+1))</f>
        <v/>
      </c>
      <c r="J49" s="9" t="inlineStr">
        <is>
          <t>Yes</t>
        </is>
      </c>
      <c r="K49" s="9" t="inlineStr">
        <is>
          <t>Proposed</t>
        </is>
      </c>
      <c r="L49" s="9" t="inlineStr">
        <is>
          <t>§25</t>
        </is>
      </c>
      <c r="M49" s="54" t="inlineStr">
        <is>
          <t>Public share of $15m</t>
        </is>
      </c>
    </row>
    <row r="50">
      <c r="A50" s="9" t="inlineStr">
        <is>
          <t>E45</t>
        </is>
      </c>
      <c r="B50" s="50" t="n">
        <v>1890</v>
      </c>
      <c r="C50" s="50" t="n">
        <v>1902</v>
      </c>
      <c r="D50" s="51" t="inlineStr">
        <is>
          <t>Galapagos coaling station lease</t>
        </is>
      </c>
      <c r="E50" s="9" t="inlineStr">
        <is>
          <t>Subsidy &amp; guarantee</t>
        </is>
      </c>
      <c r="F50" s="9" t="inlineStr"/>
      <c r="G50" s="9" t="inlineStr">
        <is>
          <t>Ecuador</t>
        </is>
      </c>
      <c r="H50" s="52" t="n">
        <v>0.2</v>
      </c>
      <c r="I50" s="53">
        <f>IF(H50="","",H50*(C50-B50+1))</f>
        <v/>
      </c>
      <c r="J50" s="9" t="inlineStr">
        <is>
          <t>No</t>
        </is>
      </c>
      <c r="K50" s="9" t="inlineStr">
        <is>
          <t>Proposed</t>
        </is>
      </c>
      <c r="L50" s="9" t="inlineStr">
        <is>
          <t>§25</t>
        </is>
      </c>
      <c r="M50" s="54" t="inlineStr">
        <is>
          <t>Model estimate</t>
        </is>
      </c>
    </row>
    <row r="51">
      <c r="A51" s="9" t="inlineStr">
        <is>
          <t>E46</t>
        </is>
      </c>
      <c r="B51" s="50" t="n">
        <v>1893</v>
      </c>
      <c r="C51" s="50" t="n">
        <v>1895</v>
      </c>
      <c r="D51" s="51" t="inlineStr">
        <is>
          <t>Guarantee pays Richmond's missed coupons</t>
        </is>
      </c>
      <c r="E51" s="9" t="inlineStr">
        <is>
          <t>Subsidy &amp; guarantee</t>
        </is>
      </c>
      <c r="F51" s="9" t="inlineStr"/>
      <c r="G51" s="9" t="inlineStr">
        <is>
          <t>Confederacy</t>
        </is>
      </c>
      <c r="H51" s="52" t="n">
        <v>2</v>
      </c>
      <c r="I51" s="53">
        <f>IF(H51="","",H51*(C51-B51+1))</f>
        <v/>
      </c>
      <c r="J51" s="9" t="inlineStr">
        <is>
          <t>No</t>
        </is>
      </c>
      <c r="K51" s="9" t="inlineStr">
        <is>
          <t>Canon</t>
        </is>
      </c>
      <c r="L51" s="9" t="inlineStr">
        <is>
          <t>§25</t>
        </is>
      </c>
      <c r="M51" s="54" t="inlineStr">
        <is>
          <t>Model estimate</t>
        </is>
      </c>
    </row>
    <row r="52">
      <c r="A52" s="9" t="inlineStr">
        <is>
          <t>E47</t>
        </is>
      </c>
      <c r="B52" s="50" t="n">
        <v>1894</v>
      </c>
      <c r="C52" s="50" t="n">
        <v>1894</v>
      </c>
      <c r="D52" s="51" t="inlineStr">
        <is>
          <t>Coal, equipment and credit for Japan (Korean war)</t>
        </is>
      </c>
      <c r="E52" s="9" t="inlineStr">
        <is>
          <t>Loan</t>
        </is>
      </c>
      <c r="F52" s="9" t="inlineStr">
        <is>
          <t>Asia</t>
        </is>
      </c>
      <c r="G52" s="9" t="inlineStr">
        <is>
          <t>Japan</t>
        </is>
      </c>
      <c r="H52" s="52" t="n">
        <v>10</v>
      </c>
      <c r="I52" s="53">
        <f>IF(H52="","",H52*(C52-B52+1))</f>
        <v/>
      </c>
      <c r="J52" s="9" t="inlineStr">
        <is>
          <t>No</t>
        </is>
      </c>
      <c r="K52" s="9" t="inlineStr">
        <is>
          <t>Canon</t>
        </is>
      </c>
      <c r="L52" s="9" t="inlineStr">
        <is>
          <t>§25</t>
        </is>
      </c>
      <c r="M52" s="54" t="inlineStr">
        <is>
          <t>Model estimate</t>
        </is>
      </c>
    </row>
    <row r="53">
      <c r="A53" s="9" t="inlineStr">
        <is>
          <t>E48</t>
        </is>
      </c>
      <c r="B53" s="50" t="n">
        <v>1894</v>
      </c>
      <c r="C53" s="50" t="n">
        <v>1895</v>
      </c>
      <c r="D53" s="51" t="inlineStr">
        <is>
          <t>Bread March: border defence, detention, filmed trials</t>
        </is>
      </c>
      <c r="E53" s="9" t="inlineStr">
        <is>
          <t>War &amp; operations</t>
        </is>
      </c>
      <c r="F53" s="9" t="inlineStr"/>
      <c r="G53" s="9" t="inlineStr"/>
      <c r="H53" s="52" t="n">
        <v>0.4</v>
      </c>
      <c r="I53" s="53">
        <f>IF(H53="","",H53*(C53-B53+1))</f>
        <v/>
      </c>
      <c r="J53" s="9" t="inlineStr">
        <is>
          <t>No</t>
        </is>
      </c>
      <c r="K53" s="9" t="inlineStr">
        <is>
          <t>Canon</t>
        </is>
      </c>
      <c r="L53" s="9" t="inlineStr">
        <is>
          <t>§25</t>
        </is>
      </c>
      <c r="M53" s="54" t="inlineStr">
        <is>
          <t>Model estimate</t>
        </is>
      </c>
    </row>
    <row r="54">
      <c r="A54" s="9" t="inlineStr">
        <is>
          <t>E49</t>
        </is>
      </c>
      <c r="B54" s="50" t="n">
        <v>1894</v>
      </c>
      <c r="C54" s="50" t="n">
        <v>1900</v>
      </c>
      <c r="D54" s="51" t="inlineStr">
        <is>
          <t>Pacific cable onward from Oahu via Midway and Guam to Manila</t>
        </is>
      </c>
      <c r="E54" s="9" t="inlineStr">
        <is>
          <t>Investment</t>
        </is>
      </c>
      <c r="F54" s="9" t="inlineStr"/>
      <c r="G54" s="9" t="inlineStr"/>
      <c r="H54" s="52" t="n">
        <v>3</v>
      </c>
      <c r="I54" s="53">
        <f>IF(H54="","",H54*(C54-B54+1))</f>
        <v/>
      </c>
      <c r="J54" s="9" t="inlineStr">
        <is>
          <t>No</t>
        </is>
      </c>
      <c r="K54" s="9" t="inlineStr">
        <is>
          <t>Proposed</t>
        </is>
      </c>
      <c r="L54" s="9" t="inlineStr">
        <is>
          <t>§25</t>
        </is>
      </c>
      <c r="M54" s="54" t="inlineStr">
        <is>
          <t>Old model $20m gross; the San Francisco-Oahu leg is E101</t>
        </is>
      </c>
    </row>
    <row r="55">
      <c r="A55" s="9" t="inlineStr">
        <is>
          <t>E50</t>
        </is>
      </c>
      <c r="B55" s="50" t="n">
        <v>1895</v>
      </c>
      <c r="C55" s="50" t="n">
        <v>1895</v>
      </c>
      <c r="D55" s="51" t="inlineStr">
        <is>
          <t>Rescue of the Union's gold reserve</t>
        </is>
      </c>
      <c r="E55" s="9" t="inlineStr">
        <is>
          <t>Loan</t>
        </is>
      </c>
      <c r="F55" s="9" t="inlineStr">
        <is>
          <t>Continental</t>
        </is>
      </c>
      <c r="G55" s="9" t="inlineStr">
        <is>
          <t>Union</t>
        </is>
      </c>
      <c r="H55" s="52" t="n">
        <v>65</v>
      </c>
      <c r="I55" s="53">
        <f>IF(H55="","",H55*(C55-B55+1))</f>
        <v/>
      </c>
      <c r="J55" s="9" t="inlineStr">
        <is>
          <t>Yes</t>
        </is>
      </c>
      <c r="K55" s="9" t="inlineStr">
        <is>
          <t>Canon</t>
        </is>
      </c>
      <c r="L55" s="9" t="inlineStr">
        <is>
          <t>§25</t>
        </is>
      </c>
      <c r="M55" s="54" t="inlineStr">
        <is>
          <t>Size of the historical 1895 Morgan-Belmont syndicate</t>
        </is>
      </c>
    </row>
    <row r="56">
      <c r="A56" s="9" t="inlineStr">
        <is>
          <t>E51</t>
        </is>
      </c>
      <c r="B56" s="50" t="n">
        <v>1895</v>
      </c>
      <c r="C56" s="50" t="n">
        <v>1895</v>
      </c>
      <c r="D56" s="51" t="inlineStr">
        <is>
          <t>Chinese indemnity facility (public share)</t>
        </is>
      </c>
      <c r="E56" s="9" t="inlineStr">
        <is>
          <t>Loan</t>
        </is>
      </c>
      <c r="F56" s="9" t="inlineStr">
        <is>
          <t>Asia</t>
        </is>
      </c>
      <c r="G56" s="9" t="inlineStr">
        <is>
          <t>China</t>
        </is>
      </c>
      <c r="H56" s="52" t="n">
        <v>15</v>
      </c>
      <c r="I56" s="53">
        <f>IF(H56="","",H56*(C56-B56+1))</f>
        <v/>
      </c>
      <c r="J56" s="9" t="inlineStr">
        <is>
          <t>No</t>
        </is>
      </c>
      <c r="K56" s="9" t="inlineStr">
        <is>
          <t>Proposed</t>
        </is>
      </c>
      <c r="L56" s="9" t="inlineStr">
        <is>
          <t>§25</t>
        </is>
      </c>
      <c r="M56" s="54" t="inlineStr">
        <is>
          <t>Public share of a $75m facility</t>
        </is>
      </c>
    </row>
    <row r="57">
      <c r="A57" s="9" t="inlineStr">
        <is>
          <t>E52</t>
        </is>
      </c>
      <c r="B57" s="50" t="n">
        <v>1895</v>
      </c>
      <c r="C57" s="50" t="n">
        <v>1895</v>
      </c>
      <c r="D57" s="51" t="inlineStr">
        <is>
          <t>Formosan revenue administration set-up</t>
        </is>
      </c>
      <c r="E57" s="9" t="inlineStr">
        <is>
          <t>Programme</t>
        </is>
      </c>
      <c r="F57" s="9" t="inlineStr"/>
      <c r="G57" s="9" t="inlineStr">
        <is>
          <t>China</t>
        </is>
      </c>
      <c r="H57" s="52" t="n">
        <v>0.5</v>
      </c>
      <c r="I57" s="53">
        <f>IF(H57="","",H57*(C57-B57+1))</f>
        <v/>
      </c>
      <c r="J57" s="9" t="inlineStr">
        <is>
          <t>No</t>
        </is>
      </c>
      <c r="K57" s="9" t="inlineStr">
        <is>
          <t>Canon</t>
        </is>
      </c>
      <c r="L57" s="9" t="inlineStr">
        <is>
          <t>§25</t>
        </is>
      </c>
      <c r="M57" s="54" t="inlineStr">
        <is>
          <t>Old model value</t>
        </is>
      </c>
    </row>
    <row r="58">
      <c r="A58" s="9" t="inlineStr">
        <is>
          <t>E53</t>
        </is>
      </c>
      <c r="B58" s="50" t="n">
        <v>1896</v>
      </c>
      <c r="C58" s="50" t="n">
        <v>1897</v>
      </c>
      <c r="D58" s="51" t="inlineStr">
        <is>
          <t>Manchurian and Hankow-Canton railway credits</t>
        </is>
      </c>
      <c r="E58" s="9" t="inlineStr">
        <is>
          <t>Loan</t>
        </is>
      </c>
      <c r="F58" s="9" t="inlineStr">
        <is>
          <t>Asia</t>
        </is>
      </c>
      <c r="G58" s="9" t="inlineStr">
        <is>
          <t>China</t>
        </is>
      </c>
      <c r="H58" s="52" t="n">
        <v>3</v>
      </c>
      <c r="I58" s="53">
        <f>IF(H58="","",H58*(C58-B58+1))</f>
        <v/>
      </c>
      <c r="J58" s="9" t="inlineStr">
        <is>
          <t>No</t>
        </is>
      </c>
      <c r="K58" s="9" t="inlineStr">
        <is>
          <t>Proposed</t>
        </is>
      </c>
      <c r="L58" s="9" t="inlineStr">
        <is>
          <t>§25</t>
        </is>
      </c>
      <c r="M58" s="54" t="inlineStr">
        <is>
          <t>Public share of $20m</t>
        </is>
      </c>
    </row>
    <row r="59">
      <c r="A59" s="9" t="inlineStr">
        <is>
          <t>E54</t>
        </is>
      </c>
      <c r="B59" s="50" t="n">
        <v>1897</v>
      </c>
      <c r="C59" s="50" t="n">
        <v>1897</v>
      </c>
      <c r="D59" s="51" t="inlineStr">
        <is>
          <t>Gold loan for Japan's move to gold</t>
        </is>
      </c>
      <c r="E59" s="9" t="inlineStr">
        <is>
          <t>Loan</t>
        </is>
      </c>
      <c r="F59" s="9" t="inlineStr">
        <is>
          <t>Asia</t>
        </is>
      </c>
      <c r="G59" s="9" t="inlineStr">
        <is>
          <t>Japan</t>
        </is>
      </c>
      <c r="H59" s="52" t="n">
        <v>20</v>
      </c>
      <c r="I59" s="53">
        <f>IF(H59="","",H59*(C59-B59+1))</f>
        <v/>
      </c>
      <c r="J59" s="9" t="inlineStr">
        <is>
          <t>Yes</t>
        </is>
      </c>
      <c r="K59" s="9" t="inlineStr">
        <is>
          <t>Proposed</t>
        </is>
      </c>
      <c r="L59" s="9" t="inlineStr">
        <is>
          <t>§25</t>
        </is>
      </c>
      <c r="M59" s="54" t="inlineStr">
        <is>
          <t>Old model L11</t>
        </is>
      </c>
    </row>
    <row r="60">
      <c r="A60" s="9" t="inlineStr">
        <is>
          <t>E55</t>
        </is>
      </c>
      <c r="B60" s="50" t="n">
        <v>1898</v>
      </c>
      <c r="C60" s="50" t="n">
        <v>1899</v>
      </c>
      <c r="D60" s="51" t="inlineStr">
        <is>
          <t>Primorye war: holding the sea</t>
        </is>
      </c>
      <c r="E60" s="9" t="inlineStr">
        <is>
          <t>War &amp; operations</t>
        </is>
      </c>
      <c r="F60" s="9" t="inlineStr"/>
      <c r="G60" s="9" t="inlineStr">
        <is>
          <t>Russia</t>
        </is>
      </c>
      <c r="H60" s="52" t="n">
        <v>6</v>
      </c>
      <c r="I60" s="53">
        <f>IF(H60="","",H60*(C60-B60+1))</f>
        <v/>
      </c>
      <c r="J60" s="9" t="inlineStr">
        <is>
          <t>No</t>
        </is>
      </c>
      <c r="K60" s="9" t="inlineStr">
        <is>
          <t>Canon</t>
        </is>
      </c>
      <c r="L60" s="9" t="inlineStr">
        <is>
          <t>§25</t>
        </is>
      </c>
      <c r="M60" s="54" t="inlineStr">
        <is>
          <t>Old model $6m a year</t>
        </is>
      </c>
    </row>
    <row r="61">
      <c r="A61" s="9" t="inlineStr">
        <is>
          <t>E56</t>
        </is>
      </c>
      <c r="B61" s="50" t="n">
        <v>1898</v>
      </c>
      <c r="C61" s="50" t="n">
        <v>1899</v>
      </c>
      <c r="D61" s="51" t="inlineStr">
        <is>
          <t>Primorye war credit for Japan</t>
        </is>
      </c>
      <c r="E61" s="9" t="inlineStr">
        <is>
          <t>Loan</t>
        </is>
      </c>
      <c r="F61" s="9" t="inlineStr">
        <is>
          <t>Asia</t>
        </is>
      </c>
      <c r="G61" s="9" t="inlineStr">
        <is>
          <t>Japan</t>
        </is>
      </c>
      <c r="H61" s="52" t="n">
        <v>15</v>
      </c>
      <c r="I61" s="53">
        <f>IF(H61="","",H61*(C61-B61+1))</f>
        <v/>
      </c>
      <c r="J61" s="9" t="inlineStr">
        <is>
          <t>No</t>
        </is>
      </c>
      <c r="K61" s="9" t="inlineStr">
        <is>
          <t>Canon</t>
        </is>
      </c>
      <c r="L61" s="9" t="inlineStr">
        <is>
          <t>§25</t>
        </is>
      </c>
      <c r="M61" s="54" t="inlineStr">
        <is>
          <t>Old model L13: $30m</t>
        </is>
      </c>
    </row>
    <row r="62">
      <c r="A62" s="9" t="inlineStr">
        <is>
          <t>E57</t>
        </is>
      </c>
      <c r="B62" s="50" t="n">
        <v>1898</v>
      </c>
      <c r="C62" s="50" t="n">
        <v>1899</v>
      </c>
      <c r="D62" s="51" t="inlineStr">
        <is>
          <t>Cuban colonial debt bought on customs security</t>
        </is>
      </c>
      <c r="E62" s="9" t="inlineStr">
        <is>
          <t>Loan</t>
        </is>
      </c>
      <c r="F62" s="9" t="inlineStr">
        <is>
          <t>Continental</t>
        </is>
      </c>
      <c r="G62" s="9" t="inlineStr">
        <is>
          <t>Cuba</t>
        </is>
      </c>
      <c r="H62" s="52" t="n">
        <v>9</v>
      </c>
      <c r="I62" s="53">
        <f>IF(H62="","",H62*(C62-B62+1))</f>
        <v/>
      </c>
      <c r="J62" s="9" t="inlineStr">
        <is>
          <t>No</t>
        </is>
      </c>
      <c r="K62" s="9" t="inlineStr">
        <is>
          <t>Proposed</t>
        </is>
      </c>
      <c r="L62" s="9" t="inlineStr">
        <is>
          <t>§25</t>
        </is>
      </c>
      <c r="M62" s="54" t="inlineStr">
        <is>
          <t>Old model $18m</t>
        </is>
      </c>
    </row>
    <row r="63">
      <c r="A63" s="9" t="inlineStr">
        <is>
          <t>E58</t>
        </is>
      </c>
      <c r="B63" s="50" t="n">
        <v>1899</v>
      </c>
      <c r="C63" s="50" t="n">
        <v>1899</v>
      </c>
      <c r="D63" s="51" t="inlineStr">
        <is>
          <t>Exclusive Nicaraguan canal rights</t>
        </is>
      </c>
      <c r="E63" s="9" t="inlineStr">
        <is>
          <t>Purchase</t>
        </is>
      </c>
      <c r="F63" s="9" t="inlineStr"/>
      <c r="G63" s="9" t="inlineStr">
        <is>
          <t>Nicaragua</t>
        </is>
      </c>
      <c r="H63" s="52" t="n">
        <v>3</v>
      </c>
      <c r="I63" s="53">
        <f>IF(H63="","",H63*(C63-B63+1))</f>
        <v/>
      </c>
      <c r="J63" s="9" t="inlineStr">
        <is>
          <t>No</t>
        </is>
      </c>
      <c r="K63" s="9" t="inlineStr">
        <is>
          <t>Proposed</t>
        </is>
      </c>
      <c r="L63" s="9" t="inlineStr">
        <is>
          <t>§25</t>
        </is>
      </c>
      <c r="M63" s="54" t="inlineStr">
        <is>
          <t>Old model value</t>
        </is>
      </c>
    </row>
    <row r="64">
      <c r="A64" s="9" t="inlineStr">
        <is>
          <t>E59</t>
        </is>
      </c>
      <c r="B64" s="50" t="n">
        <v>1899</v>
      </c>
      <c r="C64" s="50" t="n">
        <v>1900</v>
      </c>
      <c r="D64" s="51" t="inlineStr">
        <is>
          <t>Finlay's yellow-fever work</t>
        </is>
      </c>
      <c r="E64" s="9" t="inlineStr">
        <is>
          <t>Relief</t>
        </is>
      </c>
      <c r="F64" s="9" t="inlineStr"/>
      <c r="G64" s="9" t="inlineStr">
        <is>
          <t>Cuba</t>
        </is>
      </c>
      <c r="H64" s="52" t="n">
        <v>0.1</v>
      </c>
      <c r="I64" s="53">
        <f>IF(H64="","",H64*(C64-B64+1))</f>
        <v/>
      </c>
      <c r="J64" s="9" t="inlineStr">
        <is>
          <t>No</t>
        </is>
      </c>
      <c r="K64" s="9" t="inlineStr">
        <is>
          <t>Proposed</t>
        </is>
      </c>
      <c r="L64" s="9" t="inlineStr">
        <is>
          <t>§25</t>
        </is>
      </c>
      <c r="M64" s="54" t="inlineStr">
        <is>
          <t>Model estimate</t>
        </is>
      </c>
    </row>
    <row r="65">
      <c r="A65" s="9" t="inlineStr">
        <is>
          <t>E60</t>
        </is>
      </c>
      <c r="B65" s="50" t="n">
        <v>1898</v>
      </c>
      <c r="C65" s="50" t="n">
        <v>1902</v>
      </c>
      <c r="D65" s="51" t="inlineStr">
        <is>
          <t>Pearl Harbor drydock and dockyard (second phase)</t>
        </is>
      </c>
      <c r="E65" s="9" t="inlineStr">
        <is>
          <t>Programme</t>
        </is>
      </c>
      <c r="F65" s="9" t="inlineStr"/>
      <c r="G65" s="9" t="inlineStr"/>
      <c r="H65" s="52" t="n">
        <v>3</v>
      </c>
      <c r="I65" s="53">
        <f>IF(H65="","",H65*(C65-B65+1))</f>
        <v/>
      </c>
      <c r="J65" s="9" t="inlineStr">
        <is>
          <t>No</t>
        </is>
      </c>
      <c r="K65" s="9" t="inlineStr">
        <is>
          <t>Proposed</t>
        </is>
      </c>
      <c r="L65" s="9" t="inlineStr">
        <is>
          <t>§25</t>
        </is>
      </c>
      <c r="M65" s="54" t="inlineStr">
        <is>
          <t>Model estimate; the dredging is E100</t>
        </is>
      </c>
    </row>
    <row r="66">
      <c r="A66" s="9" t="inlineStr">
        <is>
          <t>E61</t>
        </is>
      </c>
      <c r="B66" s="50" t="n">
        <v>1899</v>
      </c>
      <c r="C66" s="50" t="n">
        <v>1901</v>
      </c>
      <c r="D66" s="51" t="inlineStr">
        <is>
          <t>Skagway-Whitehorse railway, assay and banking (public share)</t>
        </is>
      </c>
      <c r="E66" s="9" t="inlineStr">
        <is>
          <t>Programme</t>
        </is>
      </c>
      <c r="F66" s="9" t="inlineStr"/>
      <c r="G66" s="9" t="inlineStr">
        <is>
          <t>Canada</t>
        </is>
      </c>
      <c r="H66" s="52" t="n">
        <v>1</v>
      </c>
      <c r="I66" s="53">
        <f>IF(H66="","",H66*(C66-B66+1))</f>
        <v/>
      </c>
      <c r="J66" s="9" t="inlineStr">
        <is>
          <t>No</t>
        </is>
      </c>
      <c r="K66" s="9" t="inlineStr">
        <is>
          <t>Approved</t>
        </is>
      </c>
      <c r="L66" s="9" t="inlineStr">
        <is>
          <t>§25</t>
        </is>
      </c>
      <c r="M66" s="54" t="inlineStr">
        <is>
          <t>Klondike route income policy</t>
        </is>
      </c>
    </row>
    <row r="67">
      <c r="A67" s="9" t="inlineStr">
        <is>
          <t>E62</t>
        </is>
      </c>
      <c r="B67" s="50" t="n">
        <v>1900</v>
      </c>
      <c r="C67" s="50" t="n">
        <v>1900</v>
      </c>
      <c r="D67" s="51" t="inlineStr">
        <is>
          <t>Boxer relief contingent</t>
        </is>
      </c>
      <c r="E67" s="9" t="inlineStr">
        <is>
          <t>War &amp; operations</t>
        </is>
      </c>
      <c r="F67" s="9" t="inlineStr"/>
      <c r="G67" s="9" t="inlineStr">
        <is>
          <t>China</t>
        </is>
      </c>
      <c r="H67" s="52" t="n">
        <v>1</v>
      </c>
      <c r="I67" s="53">
        <f>IF(H67="","",H67*(C67-B67+1))</f>
        <v/>
      </c>
      <c r="J67" s="9" t="inlineStr">
        <is>
          <t>No</t>
        </is>
      </c>
      <c r="K67" s="9" t="inlineStr">
        <is>
          <t>Proposed</t>
        </is>
      </c>
      <c r="L67" s="9" t="inlineStr">
        <is>
          <t>§25</t>
        </is>
      </c>
      <c r="M67" s="54" t="inlineStr">
        <is>
          <t>Indemnity turned into scholarships</t>
        </is>
      </c>
    </row>
    <row r="68">
      <c r="A68" s="9" t="inlineStr">
        <is>
          <t>E63</t>
        </is>
      </c>
      <c r="B68" s="50" t="n">
        <v>1900</v>
      </c>
      <c r="C68" s="50" t="n">
        <v>1900</v>
      </c>
      <c r="D68" s="51" t="inlineStr">
        <is>
          <t>Reserve Bank of Pacifica: capital</t>
        </is>
      </c>
      <c r="E68" s="9" t="inlineStr">
        <is>
          <t>Bank rescue &amp; capital</t>
        </is>
      </c>
      <c r="F68" s="9" t="inlineStr"/>
      <c r="G68" s="9" t="inlineStr"/>
      <c r="H68" s="52" t="n">
        <v>10</v>
      </c>
      <c r="I68" s="53">
        <f>IF(H68="","",H68*(C68-B68+1))</f>
        <v/>
      </c>
      <c r="J68" s="9" t="inlineStr">
        <is>
          <t>No</t>
        </is>
      </c>
      <c r="K68" s="9" t="inlineStr">
        <is>
          <t>Model estimate</t>
        </is>
      </c>
      <c r="L68" s="9" t="inlineStr">
        <is>
          <t>§34</t>
        </is>
      </c>
      <c r="M68" s="54" t="inlineStr">
        <is>
          <t>Needed for the canon lender-of-last-resort role in 1931</t>
        </is>
      </c>
    </row>
    <row r="69">
      <c r="A69" s="9" t="inlineStr">
        <is>
          <t>E64</t>
        </is>
      </c>
      <c r="B69" s="50" t="n">
        <v>1904</v>
      </c>
      <c r="C69" s="50" t="n">
        <v>1905</v>
      </c>
      <c r="D69" s="51" t="inlineStr">
        <is>
          <t>Takahashi's war loans in San Francisco (public share)</t>
        </is>
      </c>
      <c r="E69" s="9" t="inlineStr">
        <is>
          <t>Loan</t>
        </is>
      </c>
      <c r="F69" s="9" t="inlineStr">
        <is>
          <t>Asia</t>
        </is>
      </c>
      <c r="G69" s="9" t="inlineStr">
        <is>
          <t>Japan</t>
        </is>
      </c>
      <c r="H69" s="52" t="n">
        <v>30</v>
      </c>
      <c r="I69" s="53">
        <f>IF(H69="","",H69*(C69-B69+1))</f>
        <v/>
      </c>
      <c r="J69" s="9" t="inlineStr">
        <is>
          <t>No</t>
        </is>
      </c>
      <c r="K69" s="9" t="inlineStr">
        <is>
          <t>Canon</t>
        </is>
      </c>
      <c r="L69" s="9" t="inlineStr">
        <is>
          <t>§26</t>
        </is>
      </c>
      <c r="M69" s="54" t="inlineStr">
        <is>
          <t>15% of a $400m syndicate</t>
        </is>
      </c>
    </row>
    <row r="70">
      <c r="A70" s="9" t="inlineStr">
        <is>
          <t>E65</t>
        </is>
      </c>
      <c r="B70" s="50" t="n">
        <v>1904</v>
      </c>
      <c r="C70" s="50" t="n">
        <v>1905</v>
      </c>
      <c r="D70" s="51" t="inlineStr">
        <is>
          <t>Neutral fleet readiness, Russo-Japanese war</t>
        </is>
      </c>
      <c r="E70" s="9" t="inlineStr">
        <is>
          <t>War &amp; operations</t>
        </is>
      </c>
      <c r="F70" s="9" t="inlineStr"/>
      <c r="G70" s="9" t="inlineStr"/>
      <c r="H70" s="52" t="n">
        <v>3</v>
      </c>
      <c r="I70" s="53">
        <f>IF(H70="","",H70*(C70-B70+1))</f>
        <v/>
      </c>
      <c r="J70" s="9" t="inlineStr">
        <is>
          <t>No</t>
        </is>
      </c>
      <c r="K70" s="9" t="inlineStr">
        <is>
          <t>Model estimate</t>
        </is>
      </c>
      <c r="L70" s="9" t="inlineStr">
        <is>
          <t>§26</t>
        </is>
      </c>
      <c r="M70" s="54" t="inlineStr"/>
    </row>
    <row r="71">
      <c r="A71" s="9" t="inlineStr">
        <is>
          <t>E66</t>
        </is>
      </c>
      <c r="B71" s="50" t="n">
        <v>1911</v>
      </c>
      <c r="C71" s="50" t="n">
        <v>1913</v>
      </c>
      <c r="D71" s="51" t="inlineStr">
        <is>
          <t>Support for Sun Yat-sen's movement</t>
        </is>
      </c>
      <c r="E71" s="9" t="inlineStr">
        <is>
          <t>Subsidy &amp; guarantee</t>
        </is>
      </c>
      <c r="F71" s="9" t="inlineStr"/>
      <c r="G71" s="9" t="inlineStr">
        <is>
          <t>China</t>
        </is>
      </c>
      <c r="H71" s="52" t="n">
        <v>2</v>
      </c>
      <c r="I71" s="53">
        <f>IF(H71="","",H71*(C71-B71+1))</f>
        <v/>
      </c>
      <c r="J71" s="9" t="inlineStr">
        <is>
          <t>No</t>
        </is>
      </c>
      <c r="K71" s="9" t="inlineStr">
        <is>
          <t>Proposed</t>
        </is>
      </c>
      <c r="L71" s="9" t="inlineStr">
        <is>
          <t>§27</t>
        </is>
      </c>
      <c r="M71" s="54" t="inlineStr">
        <is>
          <t>Model estimate</t>
        </is>
      </c>
    </row>
    <row r="72">
      <c r="A72" s="9" t="inlineStr">
        <is>
          <t>E67</t>
        </is>
      </c>
      <c r="B72" s="50" t="n">
        <v>1914</v>
      </c>
      <c r="C72" s="50" t="n">
        <v>1914</v>
      </c>
      <c r="D72" s="51" t="inlineStr">
        <is>
          <t>Germany's Pacific islands and Tsingtao</t>
        </is>
      </c>
      <c r="E72" s="9" t="inlineStr">
        <is>
          <t>War &amp; operations</t>
        </is>
      </c>
      <c r="F72" s="9" t="inlineStr"/>
      <c r="G72" s="9" t="inlineStr">
        <is>
          <t>Germany</t>
        </is>
      </c>
      <c r="H72" s="52" t="n">
        <v>25</v>
      </c>
      <c r="I72" s="53">
        <f>IF(H72="","",H72*(C72-B72+1))</f>
        <v/>
      </c>
      <c r="J72" s="9" t="inlineStr">
        <is>
          <t>No</t>
        </is>
      </c>
      <c r="K72" s="9" t="inlineStr">
        <is>
          <t>Proposed</t>
        </is>
      </c>
      <c r="L72" s="9" t="inlineStr">
        <is>
          <t>§28</t>
        </is>
      </c>
      <c r="M72" s="54" t="inlineStr">
        <is>
          <t>Model estimate</t>
        </is>
      </c>
    </row>
    <row r="73">
      <c r="A73" s="9" t="inlineStr">
        <is>
          <t>E68</t>
        </is>
      </c>
      <c r="B73" s="50" t="n">
        <v>1915</v>
      </c>
      <c r="C73" s="50" t="n">
        <v>1918</v>
      </c>
      <c r="D73" s="51" t="inlineStr">
        <is>
          <t>Wartime naval operations and convoys</t>
        </is>
      </c>
      <c r="E73" s="9" t="inlineStr">
        <is>
          <t>War &amp; operations</t>
        </is>
      </c>
      <c r="F73" s="9" t="inlineStr"/>
      <c r="G73" s="9" t="inlineStr"/>
      <c r="H73" s="52" t="n">
        <v>40</v>
      </c>
      <c r="I73" s="53">
        <f>IF(H73="","",H73*(C73-B73+1))</f>
        <v/>
      </c>
      <c r="J73" s="9" t="inlineStr">
        <is>
          <t>No</t>
        </is>
      </c>
      <c r="K73" s="9" t="inlineStr">
        <is>
          <t>Proposed</t>
        </is>
      </c>
      <c r="L73" s="9" t="inlineStr">
        <is>
          <t>§30</t>
        </is>
      </c>
      <c r="M73" s="54" t="inlineStr">
        <is>
          <t>On top of the navy plan</t>
        </is>
      </c>
    </row>
    <row r="74">
      <c r="A74" s="9" t="inlineStr">
        <is>
          <t>E69</t>
        </is>
      </c>
      <c r="B74" s="50" t="n">
        <v>1915</v>
      </c>
      <c r="C74" s="50" t="n">
        <v>1918</v>
      </c>
      <c r="D74" s="51" t="inlineStr">
        <is>
          <t>Belgian relief administration (public share)</t>
        </is>
      </c>
      <c r="E74" s="9" t="inlineStr">
        <is>
          <t>Relief</t>
        </is>
      </c>
      <c r="F74" s="9" t="inlineStr"/>
      <c r="G74" s="9" t="inlineStr">
        <is>
          <t>Belgium</t>
        </is>
      </c>
      <c r="H74" s="52" t="n">
        <v>25</v>
      </c>
      <c r="I74" s="53">
        <f>IF(H74="","",H74*(C74-B74+1))</f>
        <v/>
      </c>
      <c r="J74" s="9" t="inlineStr">
        <is>
          <t>No</t>
        </is>
      </c>
      <c r="K74" s="9" t="inlineStr">
        <is>
          <t>Proposed</t>
        </is>
      </c>
      <c r="L74" s="9" t="inlineStr">
        <is>
          <t>§30</t>
        </is>
      </c>
      <c r="M74" s="54" t="inlineStr">
        <is>
          <t>Hoover's relief, model estimate</t>
        </is>
      </c>
    </row>
    <row r="75">
      <c r="A75" s="9" t="inlineStr">
        <is>
          <t>E70</t>
        </is>
      </c>
      <c r="B75" s="50" t="n">
        <v>1914</v>
      </c>
      <c r="C75" s="50" t="n">
        <v>1914</v>
      </c>
      <c r="D75" s="51" t="inlineStr">
        <is>
          <t>Entente credit, Treasury share (1914)</t>
        </is>
      </c>
      <c r="E75" s="9" t="inlineStr">
        <is>
          <t>Loan</t>
        </is>
      </c>
      <c r="F75" s="9" t="inlineStr">
        <is>
          <t>Europe</t>
        </is>
      </c>
      <c r="G75" s="9" t="inlineStr">
        <is>
          <t>Britain &amp; France</t>
        </is>
      </c>
      <c r="H75" s="52">
        <f>entente_total*entente_public*0.05</f>
        <v/>
      </c>
      <c r="I75" s="53">
        <f>IF(H75="","",H75*(C75-B75+1))</f>
        <v/>
      </c>
      <c r="J75" s="9" t="inlineStr">
        <is>
          <t>No</t>
        </is>
      </c>
      <c r="K75" s="9" t="inlineStr">
        <is>
          <t>Proposed</t>
        </is>
      </c>
      <c r="L75" s="9" t="inlineStr">
        <is>
          <t>§30</t>
        </is>
      </c>
      <c r="M75" s="54" t="inlineStr">
        <is>
          <t>Profile of the old model's lending by year</t>
        </is>
      </c>
    </row>
    <row r="76">
      <c r="A76" s="9" t="inlineStr">
        <is>
          <t>E71</t>
        </is>
      </c>
      <c r="B76" s="50" t="n">
        <v>1915</v>
      </c>
      <c r="C76" s="50" t="n">
        <v>1915</v>
      </c>
      <c r="D76" s="51" t="inlineStr">
        <is>
          <t>Entente credit, Treasury share (1915)</t>
        </is>
      </c>
      <c r="E76" s="9" t="inlineStr">
        <is>
          <t>Loan</t>
        </is>
      </c>
      <c r="F76" s="9" t="inlineStr">
        <is>
          <t>Europe</t>
        </is>
      </c>
      <c r="G76" s="9" t="inlineStr">
        <is>
          <t>Britain &amp; France</t>
        </is>
      </c>
      <c r="H76" s="52">
        <f>entente_total*entente_public*0.1333</f>
        <v/>
      </c>
      <c r="I76" s="53">
        <f>IF(H76="","",H76*(C76-B76+1))</f>
        <v/>
      </c>
      <c r="J76" s="9" t="inlineStr">
        <is>
          <t>No</t>
        </is>
      </c>
      <c r="K76" s="9" t="inlineStr">
        <is>
          <t>Proposed</t>
        </is>
      </c>
      <c r="L76" s="9" t="inlineStr">
        <is>
          <t>§30</t>
        </is>
      </c>
      <c r="M76" s="54" t="inlineStr">
        <is>
          <t>Profile of the old model's lending by year</t>
        </is>
      </c>
    </row>
    <row r="77">
      <c r="A77" s="9" t="inlineStr">
        <is>
          <t>E72</t>
        </is>
      </c>
      <c r="B77" s="50" t="n">
        <v>1916</v>
      </c>
      <c r="C77" s="50" t="n">
        <v>1916</v>
      </c>
      <c r="D77" s="51" t="inlineStr">
        <is>
          <t>Entente credit, Treasury share (1916)</t>
        </is>
      </c>
      <c r="E77" s="9" t="inlineStr">
        <is>
          <t>Loan</t>
        </is>
      </c>
      <c r="F77" s="9" t="inlineStr">
        <is>
          <t>Europe</t>
        </is>
      </c>
      <c r="G77" s="9" t="inlineStr">
        <is>
          <t>Britain &amp; France</t>
        </is>
      </c>
      <c r="H77" s="52">
        <f>entente_total*entente_public*0.2333</f>
        <v/>
      </c>
      <c r="I77" s="53">
        <f>IF(H77="","",H77*(C77-B77+1))</f>
        <v/>
      </c>
      <c r="J77" s="9" t="inlineStr">
        <is>
          <t>No</t>
        </is>
      </c>
      <c r="K77" s="9" t="inlineStr">
        <is>
          <t>Proposed</t>
        </is>
      </c>
      <c r="L77" s="9" t="inlineStr">
        <is>
          <t>§30</t>
        </is>
      </c>
      <c r="M77" s="54" t="inlineStr">
        <is>
          <t>Profile of the old model's lending by year</t>
        </is>
      </c>
    </row>
    <row r="78">
      <c r="A78" s="9" t="inlineStr">
        <is>
          <t>E73</t>
        </is>
      </c>
      <c r="B78" s="50" t="n">
        <v>1917</v>
      </c>
      <c r="C78" s="50" t="n">
        <v>1917</v>
      </c>
      <c r="D78" s="51" t="inlineStr">
        <is>
          <t>Entente credit, Treasury share (1917)</t>
        </is>
      </c>
      <c r="E78" s="9" t="inlineStr">
        <is>
          <t>Loan</t>
        </is>
      </c>
      <c r="F78" s="9" t="inlineStr">
        <is>
          <t>Europe</t>
        </is>
      </c>
      <c r="G78" s="9" t="inlineStr">
        <is>
          <t>Britain &amp; France</t>
        </is>
      </c>
      <c r="H78" s="52">
        <f>entente_total*entente_public*0.3</f>
        <v/>
      </c>
      <c r="I78" s="53">
        <f>IF(H78="","",H78*(C78-B78+1))</f>
        <v/>
      </c>
      <c r="J78" s="9" t="inlineStr">
        <is>
          <t>No</t>
        </is>
      </c>
      <c r="K78" s="9" t="inlineStr">
        <is>
          <t>Proposed</t>
        </is>
      </c>
      <c r="L78" s="9" t="inlineStr">
        <is>
          <t>§30</t>
        </is>
      </c>
      <c r="M78" s="54" t="inlineStr">
        <is>
          <t>Profile of the old model's lending by year</t>
        </is>
      </c>
    </row>
    <row r="79">
      <c r="A79" s="9" t="inlineStr">
        <is>
          <t>E74</t>
        </is>
      </c>
      <c r="B79" s="50" t="n">
        <v>1918</v>
      </c>
      <c r="C79" s="50" t="n">
        <v>1918</v>
      </c>
      <c r="D79" s="51" t="inlineStr">
        <is>
          <t>Entente credit, Treasury share (1918)</t>
        </is>
      </c>
      <c r="E79" s="9" t="inlineStr">
        <is>
          <t>Loan</t>
        </is>
      </c>
      <c r="F79" s="9" t="inlineStr">
        <is>
          <t>Europe</t>
        </is>
      </c>
      <c r="G79" s="9" t="inlineStr">
        <is>
          <t>Britain &amp; France</t>
        </is>
      </c>
      <c r="H79" s="52">
        <f>entente_total*entente_public*0.2834</f>
        <v/>
      </c>
      <c r="I79" s="53">
        <f>IF(H79="","",H79*(C79-B79+1))</f>
        <v/>
      </c>
      <c r="J79" s="9" t="inlineStr">
        <is>
          <t>No</t>
        </is>
      </c>
      <c r="K79" s="9" t="inlineStr">
        <is>
          <t>Proposed</t>
        </is>
      </c>
      <c r="L79" s="9" t="inlineStr">
        <is>
          <t>§30</t>
        </is>
      </c>
      <c r="M79" s="54" t="inlineStr">
        <is>
          <t>Profile of the old model's lending by year</t>
        </is>
      </c>
    </row>
    <row r="80">
      <c r="A80" s="9" t="inlineStr">
        <is>
          <t>E75</t>
        </is>
      </c>
      <c r="B80" s="50" t="n">
        <v>1918</v>
      </c>
      <c r="C80" s="50" t="n">
        <v>1919</v>
      </c>
      <c r="D80" s="51" t="inlineStr">
        <is>
          <t>Food for the Central Powers (the armistice lever)</t>
        </is>
      </c>
      <c r="E80" s="9" t="inlineStr">
        <is>
          <t>Relief</t>
        </is>
      </c>
      <c r="F80" s="9" t="inlineStr"/>
      <c r="G80" s="9" t="inlineStr">
        <is>
          <t>Germany</t>
        </is>
      </c>
      <c r="H80" s="52" t="n">
        <v>60</v>
      </c>
      <c r="I80" s="53">
        <f>IF(H80="","",H80*(C80-B80+1))</f>
        <v/>
      </c>
      <c r="J80" s="9" t="inlineStr">
        <is>
          <t>No</t>
        </is>
      </c>
      <c r="K80" s="9" t="inlineStr">
        <is>
          <t>Proposed</t>
        </is>
      </c>
      <c r="L80" s="9" t="inlineStr">
        <is>
          <t>§30</t>
        </is>
      </c>
      <c r="M80" s="54" t="inlineStr">
        <is>
          <t>Model estimate</t>
        </is>
      </c>
    </row>
    <row r="81">
      <c r="A81" s="9" t="inlineStr">
        <is>
          <t>E76</t>
        </is>
      </c>
      <c r="B81" s="50" t="n">
        <v>1918</v>
      </c>
      <c r="C81" s="50" t="n">
        <v>1922</v>
      </c>
      <c r="D81" s="51" t="inlineStr">
        <is>
          <t>Siberian campaign: Pacifican spending</t>
        </is>
      </c>
      <c r="E81" s="9" t="inlineStr">
        <is>
          <t>War &amp; operations</t>
        </is>
      </c>
      <c r="F81" s="9" t="inlineStr"/>
      <c r="G81" s="9" t="inlineStr">
        <is>
          <t>Siberia</t>
        </is>
      </c>
      <c r="H81" s="52">
        <f>siberia_cost/5</f>
        <v/>
      </c>
      <c r="I81" s="53">
        <f>IF(H81="","",H81*(C81-B81+1))</f>
        <v/>
      </c>
      <c r="J81" s="9" t="inlineStr">
        <is>
          <t>No</t>
        </is>
      </c>
      <c r="K81" s="9" t="inlineStr">
        <is>
          <t>Canon</t>
        </is>
      </c>
      <c r="L81" s="9" t="inlineStr">
        <is>
          <t>§31</t>
        </is>
      </c>
      <c r="M81" s="54" t="inlineStr">
        <is>
          <t>Old model $807.9m</t>
        </is>
      </c>
    </row>
    <row r="82">
      <c r="A82" s="9" t="inlineStr">
        <is>
          <t>E77</t>
        </is>
      </c>
      <c r="B82" s="50" t="n">
        <v>1918</v>
      </c>
      <c r="C82" s="50" t="n">
        <v>1922</v>
      </c>
      <c r="D82" s="51" t="inlineStr">
        <is>
          <t>Wartime loans to Chinese and Siberian partners</t>
        </is>
      </c>
      <c r="E82" s="9" t="inlineStr">
        <is>
          <t>Loan</t>
        </is>
      </c>
      <c r="F82" s="9" t="inlineStr">
        <is>
          <t>Asia</t>
        </is>
      </c>
      <c r="G82" s="9" t="inlineStr">
        <is>
          <t>China &amp; Siberia</t>
        </is>
      </c>
      <c r="H82" s="52" t="n">
        <v>17</v>
      </c>
      <c r="I82" s="53">
        <f>IF(H82="","",H82*(C82-B82+1))</f>
        <v/>
      </c>
      <c r="J82" s="9" t="inlineStr">
        <is>
          <t>No</t>
        </is>
      </c>
      <c r="K82" s="9" t="inlineStr">
        <is>
          <t>Proposed</t>
        </is>
      </c>
      <c r="L82" s="9" t="inlineStr">
        <is>
          <t>§31</t>
        </is>
      </c>
      <c r="M82" s="54" t="inlineStr">
        <is>
          <t>Sol's proposal: $85m public</t>
        </is>
      </c>
    </row>
    <row r="83">
      <c r="A83" s="9" t="inlineStr">
        <is>
          <t>E78</t>
        </is>
      </c>
      <c r="B83" s="50" t="n">
        <v>1919</v>
      </c>
      <c r="C83" s="50" t="n">
        <v>1919</v>
      </c>
      <c r="D83" s="51" t="inlineStr">
        <is>
          <t>The Hague peace and the arbitration court</t>
        </is>
      </c>
      <c r="E83" s="9" t="inlineStr">
        <is>
          <t>Programme</t>
        </is>
      </c>
      <c r="F83" s="9" t="inlineStr"/>
      <c r="G83" s="9" t="inlineStr"/>
      <c r="H83" s="52" t="n">
        <v>1</v>
      </c>
      <c r="I83" s="53">
        <f>IF(H83="","",H83*(C83-B83+1))</f>
        <v/>
      </c>
      <c r="J83" s="9" t="inlineStr">
        <is>
          <t>No</t>
        </is>
      </c>
      <c r="K83" s="9" t="inlineStr">
        <is>
          <t>Proposed</t>
        </is>
      </c>
      <c r="L83" s="9" t="inlineStr">
        <is>
          <t>§30</t>
        </is>
      </c>
      <c r="M83" s="54" t="inlineStr">
        <is>
          <t>Model estimate</t>
        </is>
      </c>
    </row>
    <row r="84">
      <c r="A84" s="9" t="inlineStr">
        <is>
          <t>E79</t>
        </is>
      </c>
      <c r="B84" s="50" t="n">
        <v>1922</v>
      </c>
      <c r="C84" s="50" t="n">
        <v>1932</v>
      </c>
      <c r="D84" s="51" t="inlineStr">
        <is>
          <t>Lena gold concessions</t>
        </is>
      </c>
      <c r="E84" s="9" t="inlineStr">
        <is>
          <t>Receipt</t>
        </is>
      </c>
      <c r="F84" s="9" t="inlineStr"/>
      <c r="G84" s="9" t="inlineStr">
        <is>
          <t>Siberia</t>
        </is>
      </c>
      <c r="H84" s="52" t="n">
        <v>3</v>
      </c>
      <c r="I84" s="53">
        <f>IF(H84="","",H84*(C84-B84+1))</f>
        <v/>
      </c>
      <c r="J84" s="9" t="inlineStr">
        <is>
          <t>No</t>
        </is>
      </c>
      <c r="K84" s="9" t="inlineStr">
        <is>
          <t>Proposed</t>
        </is>
      </c>
      <c r="L84" s="9" t="inlineStr">
        <is>
          <t>§32</t>
        </is>
      </c>
      <c r="M84" s="54" t="inlineStr">
        <is>
          <t>Model estimate</t>
        </is>
      </c>
    </row>
    <row r="85">
      <c r="A85" s="9" t="inlineStr">
        <is>
          <t>E92</t>
        </is>
      </c>
      <c r="B85" s="50" t="n">
        <v>1849</v>
      </c>
      <c r="C85" s="50" t="n">
        <v>1932</v>
      </c>
      <c r="D85" s="51" t="inlineStr">
        <is>
          <t>Miner licences ($2 residents, $4 foreigners a month)</t>
        </is>
      </c>
      <c r="E85" s="9" t="inlineStr">
        <is>
          <t>Receipt</t>
        </is>
      </c>
      <c r="F85" s="9" t="inlineStr"/>
      <c r="G85" s="9" t="inlineStr"/>
      <c r="H85" s="52" t="n">
        <v>1</v>
      </c>
      <c r="I85" s="53">
        <f>IF(H85="","",H85*(C85-B85+1))</f>
        <v/>
      </c>
      <c r="J85" s="9" t="inlineStr">
        <is>
          <t>No</t>
        </is>
      </c>
      <c r="K85" s="9" t="inlineStr">
        <is>
          <t>Canon</t>
        </is>
      </c>
      <c r="L85" s="9" t="inlineStr">
        <is>
          <t>§5</t>
        </is>
      </c>
      <c r="M85" s="54" t="inlineStr">
        <is>
          <t>Old model: $0.4-1.4m a year</t>
        </is>
      </c>
    </row>
    <row r="86">
      <c r="A86" s="9" t="inlineStr">
        <is>
          <t>E80</t>
        </is>
      </c>
      <c r="B86" s="50" t="n">
        <v>1885</v>
      </c>
      <c r="C86" s="50" t="n">
        <v>1928</v>
      </c>
      <c r="D86" s="51" t="inlineStr">
        <is>
          <t>Chinese customs agency fee</t>
        </is>
      </c>
      <c r="E86" s="9" t="inlineStr">
        <is>
          <t>Receipt</t>
        </is>
      </c>
      <c r="F86" s="9" t="inlineStr"/>
      <c r="G86" s="9" t="inlineStr">
        <is>
          <t>China</t>
        </is>
      </c>
      <c r="H86" s="52" t="n">
        <v>0.05</v>
      </c>
      <c r="I86" s="53">
        <f>IF(H86="","",H86*(C86-B86+1))</f>
        <v/>
      </c>
      <c r="J86" s="9" t="inlineStr">
        <is>
          <t>No</t>
        </is>
      </c>
      <c r="K86" s="9" t="inlineStr">
        <is>
          <t>Canon</t>
        </is>
      </c>
      <c r="L86" s="9" t="inlineStr">
        <is>
          <t>§16</t>
        </is>
      </c>
      <c r="M86" s="54" t="inlineStr">
        <is>
          <t>Old model value</t>
        </is>
      </c>
    </row>
    <row r="87">
      <c r="A87" s="9" t="inlineStr">
        <is>
          <t>E81</t>
        </is>
      </c>
      <c r="B87" s="50" t="n">
        <v>1923</v>
      </c>
      <c r="C87" s="50" t="n">
        <v>1932</v>
      </c>
      <c r="D87" s="51" t="inlineStr">
        <is>
          <t>Permanent Siberian front (Pacifica's quota)</t>
        </is>
      </c>
      <c r="E87" s="9" t="inlineStr">
        <is>
          <t>War &amp; operations</t>
        </is>
      </c>
      <c r="F87" s="9" t="inlineStr"/>
      <c r="G87" s="9" t="inlineStr">
        <is>
          <t>Siberia</t>
        </is>
      </c>
      <c r="H87" s="52">
        <f>siberia_front*pac_quota</f>
        <v/>
      </c>
      <c r="I87" s="53">
        <f>IF(H87="","",H87*(C87-B87+1))</f>
        <v/>
      </c>
      <c r="J87" s="9" t="inlineStr">
        <is>
          <t>No</t>
        </is>
      </c>
      <c r="K87" s="9" t="inlineStr">
        <is>
          <t>Proposed</t>
        </is>
      </c>
      <c r="L87" s="9" t="inlineStr">
        <is>
          <t>§32</t>
        </is>
      </c>
      <c r="M87" s="54" t="inlineStr">
        <is>
          <t>Old model $80m a year shared</t>
        </is>
      </c>
    </row>
    <row r="88">
      <c r="A88" s="9" t="inlineStr">
        <is>
          <t>E82</t>
        </is>
      </c>
      <c r="B88" s="50" t="n">
        <v>1923</v>
      </c>
      <c r="C88" s="50" t="n">
        <v>1923</v>
      </c>
      <c r="D88" s="51" t="inlineStr">
        <is>
          <t>Earthquake reconstruction credit for Japan (public share)</t>
        </is>
      </c>
      <c r="E88" s="9" t="inlineStr">
        <is>
          <t>Loan</t>
        </is>
      </c>
      <c r="F88" s="9" t="inlineStr">
        <is>
          <t>Asia</t>
        </is>
      </c>
      <c r="G88" s="9" t="inlineStr">
        <is>
          <t>Japan</t>
        </is>
      </c>
      <c r="H88" s="52" t="n">
        <v>50</v>
      </c>
      <c r="I88" s="53">
        <f>IF(H88="","",H88*(C88-B88+1))</f>
        <v/>
      </c>
      <c r="J88" s="9" t="inlineStr">
        <is>
          <t>No</t>
        </is>
      </c>
      <c r="K88" s="9" t="inlineStr">
        <is>
          <t>Canon</t>
        </is>
      </c>
      <c r="L88" s="9" t="inlineStr">
        <is>
          <t>§33</t>
        </is>
      </c>
      <c r="M88" s="54" t="inlineStr">
        <is>
          <t>Public third of $150m</t>
        </is>
      </c>
    </row>
    <row r="89">
      <c r="A89" s="9" t="inlineStr">
        <is>
          <t>E83</t>
        </is>
      </c>
      <c r="B89" s="50" t="n">
        <v>1924</v>
      </c>
      <c r="C89" s="50" t="n">
        <v>1928</v>
      </c>
      <c r="D89" s="51" t="inlineStr">
        <is>
          <t>Whampoa and Northern Expedition support</t>
        </is>
      </c>
      <c r="E89" s="9" t="inlineStr">
        <is>
          <t>Subsidy &amp; guarantee</t>
        </is>
      </c>
      <c r="F89" s="9" t="inlineStr"/>
      <c r="G89" s="9" t="inlineStr">
        <is>
          <t>China</t>
        </is>
      </c>
      <c r="H89" s="52" t="n">
        <v>2</v>
      </c>
      <c r="I89" s="53">
        <f>IF(H89="","",H89*(C89-B89+1))</f>
        <v/>
      </c>
      <c r="J89" s="9" t="inlineStr">
        <is>
          <t>No</t>
        </is>
      </c>
      <c r="K89" s="9" t="inlineStr">
        <is>
          <t>Proposed</t>
        </is>
      </c>
      <c r="L89" s="9" t="inlineStr">
        <is>
          <t>§33</t>
        </is>
      </c>
      <c r="M89" s="54" t="inlineStr">
        <is>
          <t>Model estimate</t>
        </is>
      </c>
    </row>
    <row r="90">
      <c r="A90" s="9" t="inlineStr">
        <is>
          <t>E84</t>
        </is>
      </c>
      <c r="B90" s="50" t="n">
        <v>1927</v>
      </c>
      <c r="C90" s="50" t="n">
        <v>1927</v>
      </c>
      <c r="D90" s="51" t="inlineStr">
        <is>
          <t>Imperial rescue of Japan's banks (public share)</t>
        </is>
      </c>
      <c r="E90" s="9" t="inlineStr">
        <is>
          <t>Loan</t>
        </is>
      </c>
      <c r="F90" s="9" t="inlineStr">
        <is>
          <t>Asia</t>
        </is>
      </c>
      <c r="G90" s="9" t="inlineStr">
        <is>
          <t>Japan</t>
        </is>
      </c>
      <c r="H90" s="52" t="n">
        <v>100</v>
      </c>
      <c r="I90" s="53">
        <f>IF(H90="","",H90*(C90-B90+1))</f>
        <v/>
      </c>
      <c r="J90" s="9" t="inlineStr">
        <is>
          <t>No</t>
        </is>
      </c>
      <c r="K90" s="9" t="inlineStr">
        <is>
          <t>Canon</t>
        </is>
      </c>
      <c r="L90" s="9" t="inlineStr">
        <is>
          <t>§33</t>
        </is>
      </c>
      <c r="M90" s="54" t="inlineStr">
        <is>
          <t>Public third of $300m</t>
        </is>
      </c>
    </row>
    <row r="91">
      <c r="A91" s="9" t="inlineStr">
        <is>
          <t>E85</t>
        </is>
      </c>
      <c r="B91" s="50" t="n">
        <v>1927</v>
      </c>
      <c r="C91" s="50" t="n">
        <v>1932</v>
      </c>
      <c r="D91" s="51" t="inlineStr">
        <is>
          <t>Common ministries and overseas command (quota)</t>
        </is>
      </c>
      <c r="E91" s="9" t="inlineStr">
        <is>
          <t>Programme</t>
        </is>
      </c>
      <c r="F91" s="9" t="inlineStr"/>
      <c r="G91" s="9" t="inlineStr">
        <is>
          <t>Japan</t>
        </is>
      </c>
      <c r="H91" s="52">
        <f>10*pac_quota</f>
        <v/>
      </c>
      <c r="I91" s="53">
        <f>IF(H91="","",H91*(C91-B91+1))</f>
        <v/>
      </c>
      <c r="J91" s="9" t="inlineStr">
        <is>
          <t>No</t>
        </is>
      </c>
      <c r="K91" s="9" t="inlineStr">
        <is>
          <t>Proposed</t>
        </is>
      </c>
      <c r="L91" s="9" t="inlineStr">
        <is>
          <t>§33</t>
        </is>
      </c>
      <c r="M91" s="54" t="inlineStr">
        <is>
          <t>Old model $10m a year shared</t>
        </is>
      </c>
    </row>
    <row r="92">
      <c r="A92" s="9" t="inlineStr">
        <is>
          <t>E86</t>
        </is>
      </c>
      <c r="B92" s="50" t="n">
        <v>1929</v>
      </c>
      <c r="C92" s="50" t="n">
        <v>1929</v>
      </c>
      <c r="D92" s="51" t="inlineStr">
        <is>
          <t>Soviet probe defeated</t>
        </is>
      </c>
      <c r="E92" s="9" t="inlineStr">
        <is>
          <t>War &amp; operations</t>
        </is>
      </c>
      <c r="F92" s="9" t="inlineStr"/>
      <c r="G92" s="9" t="inlineStr">
        <is>
          <t>USSR</t>
        </is>
      </c>
      <c r="H92" s="52" t="n">
        <v>10</v>
      </c>
      <c r="I92" s="53">
        <f>IF(H92="","",H92*(C92-B92+1))</f>
        <v/>
      </c>
      <c r="J92" s="9" t="inlineStr">
        <is>
          <t>No</t>
        </is>
      </c>
      <c r="K92" s="9" t="inlineStr">
        <is>
          <t>Proposed</t>
        </is>
      </c>
      <c r="L92" s="9" t="inlineStr">
        <is>
          <t>§33</t>
        </is>
      </c>
      <c r="M92" s="54" t="inlineStr">
        <is>
          <t>Model estimate</t>
        </is>
      </c>
    </row>
    <row r="93">
      <c r="A93" s="9" t="inlineStr">
        <is>
          <t>E87</t>
        </is>
      </c>
      <c r="B93" s="50" t="n">
        <v>1931</v>
      </c>
      <c r="C93" s="50" t="n">
        <v>1931</v>
      </c>
      <c r="D93" s="51" t="inlineStr">
        <is>
          <t>Manchurian plot: transport prohibition</t>
        </is>
      </c>
      <c r="E93" s="9" t="inlineStr">
        <is>
          <t>War &amp; operations</t>
        </is>
      </c>
      <c r="F93" s="9" t="inlineStr"/>
      <c r="G93" s="9" t="inlineStr">
        <is>
          <t>Japan</t>
        </is>
      </c>
      <c r="H93" s="52" t="n">
        <v>5</v>
      </c>
      <c r="I93" s="53">
        <f>IF(H93="","",H93*(C93-B93+1))</f>
        <v/>
      </c>
      <c r="J93" s="9" t="inlineStr">
        <is>
          <t>No</t>
        </is>
      </c>
      <c r="K93" s="9" t="inlineStr">
        <is>
          <t>Canon</t>
        </is>
      </c>
      <c r="L93" s="9" t="inlineStr">
        <is>
          <t>§35</t>
        </is>
      </c>
      <c r="M93" s="54" t="inlineStr">
        <is>
          <t>Model estimate</t>
        </is>
      </c>
    </row>
    <row r="94">
      <c r="A94" s="9" t="inlineStr">
        <is>
          <t>E88</t>
        </is>
      </c>
      <c r="B94" s="50" t="n">
        <v>1931</v>
      </c>
      <c r="C94" s="50" t="n">
        <v>1931</v>
      </c>
      <c r="D94" s="51" t="inlineStr">
        <is>
          <t>Second gold rescue of the Union, first tranche</t>
        </is>
      </c>
      <c r="E94" s="9" t="inlineStr">
        <is>
          <t>Loan</t>
        </is>
      </c>
      <c r="F94" s="9" t="inlineStr">
        <is>
          <t>Rescue</t>
        </is>
      </c>
      <c r="G94" s="9" t="inlineStr">
        <is>
          <t>Union</t>
        </is>
      </c>
      <c r="H94" s="52">
        <f>union_rescue*0.6</f>
        <v/>
      </c>
      <c r="I94" s="53">
        <f>IF(H94="","",H94*(C94-B94+1))</f>
        <v/>
      </c>
      <c r="J94" s="9" t="inlineStr">
        <is>
          <t>Yes</t>
        </is>
      </c>
      <c r="K94" s="9" t="inlineStr">
        <is>
          <t>Canon</t>
        </is>
      </c>
      <c r="L94" s="9" t="inlineStr">
        <is>
          <t>§34</t>
        </is>
      </c>
      <c r="M94" s="54" t="inlineStr">
        <is>
          <t>Size proposed</t>
        </is>
      </c>
    </row>
    <row r="95">
      <c r="A95" s="9" t="inlineStr">
        <is>
          <t>E89</t>
        </is>
      </c>
      <c r="B95" s="50" t="n">
        <v>1932</v>
      </c>
      <c r="C95" s="50" t="n">
        <v>1932</v>
      </c>
      <c r="D95" s="51" t="inlineStr">
        <is>
          <t>Second gold rescue of the Union, second tranche</t>
        </is>
      </c>
      <c r="E95" s="9" t="inlineStr">
        <is>
          <t>Loan</t>
        </is>
      </c>
      <c r="F95" s="9" t="inlineStr">
        <is>
          <t>Rescue</t>
        </is>
      </c>
      <c r="G95" s="9" t="inlineStr">
        <is>
          <t>Union</t>
        </is>
      </c>
      <c r="H95" s="52">
        <f>union_rescue*0.4</f>
        <v/>
      </c>
      <c r="I95" s="53">
        <f>IF(H95="","",H95*(C95-B95+1))</f>
        <v/>
      </c>
      <c r="J95" s="9" t="inlineStr">
        <is>
          <t>Yes</t>
        </is>
      </c>
      <c r="K95" s="9" t="inlineStr">
        <is>
          <t>Canon</t>
        </is>
      </c>
      <c r="L95" s="9" t="inlineStr">
        <is>
          <t>§34</t>
        </is>
      </c>
      <c r="M95" s="54" t="inlineStr">
        <is>
          <t>Size proposed</t>
        </is>
      </c>
    </row>
    <row r="96">
      <c r="A96" s="9" t="inlineStr">
        <is>
          <t>E90</t>
        </is>
      </c>
      <c r="B96" s="50" t="n">
        <v>1931</v>
      </c>
      <c r="C96" s="50" t="n">
        <v>1932</v>
      </c>
      <c r="D96" s="51" t="inlineStr">
        <is>
          <t>Recapitalisation of Pacifican banks</t>
        </is>
      </c>
      <c r="E96" s="9" t="inlineStr">
        <is>
          <t>Bank rescue &amp; capital</t>
        </is>
      </c>
      <c r="F96" s="9" t="inlineStr"/>
      <c r="G96" s="9" t="inlineStr"/>
      <c r="H96" s="52">
        <f>bank_recap/2</f>
        <v/>
      </c>
      <c r="I96" s="53">
        <f>IF(H96="","",H96*(C96-B96+1))</f>
        <v/>
      </c>
      <c r="J96" s="9" t="inlineStr">
        <is>
          <t>No</t>
        </is>
      </c>
      <c r="K96" s="9" t="inlineStr">
        <is>
          <t>Proposed</t>
        </is>
      </c>
      <c r="L96" s="9" t="inlineStr">
        <is>
          <t>§34</t>
        </is>
      </c>
      <c r="M96" s="54" t="inlineStr">
        <is>
          <t>Model estimate</t>
        </is>
      </c>
    </row>
    <row r="97">
      <c r="A97" s="9" t="inlineStr">
        <is>
          <t>E91</t>
        </is>
      </c>
      <c r="B97" s="50" t="n">
        <v>1932</v>
      </c>
      <c r="C97" s="50" t="n">
        <v>1932</v>
      </c>
      <c r="D97" s="51" t="inlineStr">
        <is>
          <t>Thalassia Conference</t>
        </is>
      </c>
      <c r="E97" s="9" t="inlineStr">
        <is>
          <t>Programme</t>
        </is>
      </c>
      <c r="F97" s="9" t="inlineStr"/>
      <c r="G97" s="9" t="inlineStr"/>
      <c r="H97" s="52" t="n">
        <v>1</v>
      </c>
      <c r="I97" s="53">
        <f>IF(H97="","",H97*(C97-B97+1))</f>
        <v/>
      </c>
      <c r="J97" s="9" t="inlineStr">
        <is>
          <t>No</t>
        </is>
      </c>
      <c r="K97" s="9" t="inlineStr">
        <is>
          <t>Proposed</t>
        </is>
      </c>
      <c r="L97" s="9" t="inlineStr">
        <is>
          <t>§37</t>
        </is>
      </c>
      <c r="M97" s="54" t="inlineStr">
        <is>
          <t>Model estimate</t>
        </is>
      </c>
    </row>
    <row r="98">
      <c r="A98" s="9" t="inlineStr">
        <is>
          <t>E93</t>
        </is>
      </c>
      <c r="B98" s="50" t="n">
        <v>1919</v>
      </c>
      <c r="C98" s="50" t="n">
        <v>1923</v>
      </c>
      <c r="D98" s="51" t="inlineStr">
        <is>
          <t>The Living Bay: sewage tunnel beyond Mokapu, slope forests, restored fishponds, marine reserve</t>
        </is>
      </c>
      <c r="E98" s="9" t="inlineStr">
        <is>
          <t>Programme</t>
        </is>
      </c>
      <c r="F98" s="9" t="inlineStr"/>
      <c r="G98" s="9" t="inlineStr"/>
      <c r="H98" s="52" t="n">
        <v>1.8</v>
      </c>
      <c r="I98" s="53">
        <f>IF(H98="","",H98*(C98-B98+1))</f>
        <v/>
      </c>
      <c r="J98" s="9" t="inlineStr">
        <is>
          <t>No</t>
        </is>
      </c>
      <c r="K98" s="9" t="inlineStr">
        <is>
          <t>Approved</t>
        </is>
      </c>
      <c r="L98" s="9" t="inlineStr">
        <is>
          <t>CR-020 B7</t>
        </is>
      </c>
      <c r="M98" s="54" t="inlineStr">
        <is>
          <t>Keawe's first scheme (1923 marine reserve); the restored fishponds feed the capital</t>
        </is>
      </c>
    </row>
    <row r="99">
      <c r="A99" s="9" t="inlineStr">
        <is>
          <t>E113</t>
        </is>
      </c>
      <c r="B99" s="50" t="n">
        <v>1876</v>
      </c>
      <c r="C99" s="50" t="n">
        <v>1882</v>
      </c>
      <c r="D99" s="51" t="inlineStr">
        <is>
          <t>Pali railway tunnel to Honolulu and Pearl Harbor, and Kaneohe Bay channel</t>
        </is>
      </c>
      <c r="E99" s="9" t="inlineStr">
        <is>
          <t>Investment</t>
        </is>
      </c>
      <c r="F99" s="9" t="inlineStr"/>
      <c r="G99" s="9" t="inlineStr"/>
      <c r="H99" s="52" t="n">
        <v>1</v>
      </c>
      <c r="I99" s="53">
        <f>IF(H99="","",H99*(C99-B99+1))</f>
        <v/>
      </c>
      <c r="J99" s="9" t="inlineStr">
        <is>
          <t>No</t>
        </is>
      </c>
      <c r="K99" s="9" t="inlineStr">
        <is>
          <t>Proposed</t>
        </is>
      </c>
      <c r="L99" s="9" t="inlineStr">
        <is>
          <t>CR-021 B6</t>
        </is>
      </c>
      <c r="M99" s="54" t="inlineStr">
        <is>
          <t>Model estimate, about $7m; the Waiahole water tunnel (1913-16) ran 2.7 miles through the same range</t>
        </is>
      </c>
    </row>
    <row r="100">
      <c r="A100" s="9" t="inlineStr">
        <is>
          <t>E94</t>
        </is>
      </c>
      <c r="B100" s="50" t="n">
        <v>1923</v>
      </c>
      <c r="C100" s="50" t="n">
        <v>1932</v>
      </c>
      <c r="D100" s="51" t="inlineStr">
        <is>
          <t>Watershed reserves, minimum stream flows, quarantine (all islands)</t>
        </is>
      </c>
      <c r="E100" s="9" t="inlineStr">
        <is>
          <t>Programme</t>
        </is>
      </c>
      <c r="F100" s="9" t="inlineStr"/>
      <c r="G100" s="9" t="inlineStr"/>
      <c r="H100" s="52" t="n">
        <v>1</v>
      </c>
      <c r="I100" s="53">
        <f>IF(H100="","",H100*(C100-B100+1))</f>
        <v/>
      </c>
      <c r="J100" s="9" t="inlineStr">
        <is>
          <t>No</t>
        </is>
      </c>
      <c r="K100" s="9" t="inlineStr">
        <is>
          <t>Proposed</t>
        </is>
      </c>
      <c r="L100" s="9" t="inlineStr">
        <is>
          <t>CR-020 B7</t>
        </is>
      </c>
      <c r="M100" s="54" t="inlineStr">
        <is>
          <t>Model estimate</t>
        </is>
      </c>
    </row>
    <row r="101">
      <c r="A101" s="9" t="inlineStr">
        <is>
          <t>E95</t>
        </is>
      </c>
      <c r="B101" s="50" t="n">
        <v>1928</v>
      </c>
      <c r="C101" s="50" t="n">
        <v>1932</v>
      </c>
      <c r="D101" s="51" t="inlineStr">
        <is>
          <t>Thalassia Plan: electric transit, sewers, reef outfalls, boulevards</t>
        </is>
      </c>
      <c r="E101" s="9" t="inlineStr">
        <is>
          <t>Programme</t>
        </is>
      </c>
      <c r="F101" s="9" t="inlineStr"/>
      <c r="G101" s="9" t="inlineStr"/>
      <c r="H101" s="52" t="n">
        <v>20</v>
      </c>
      <c r="I101" s="53">
        <f>IF(H101="","",H101*(C101-B101+1))</f>
        <v/>
      </c>
      <c r="J101" s="9" t="inlineStr">
        <is>
          <t>No</t>
        </is>
      </c>
      <c r="K101" s="9" t="inlineStr">
        <is>
          <t>Proposed</t>
        </is>
      </c>
      <c r="L101" s="9" t="inlineStr">
        <is>
          <t>CR-020 B7</t>
        </is>
      </c>
      <c r="M101" s="54" t="inlineStr">
        <is>
          <t>About 0.1% of GDP</t>
        </is>
      </c>
    </row>
    <row r="102">
      <c r="A102" s="9" t="inlineStr">
        <is>
          <t>E96</t>
        </is>
      </c>
      <c r="B102" s="50" t="n">
        <v>1928</v>
      </c>
      <c r="C102" s="50" t="n">
        <v>1932</v>
      </c>
      <c r="D102" s="51" t="inlineStr">
        <is>
          <t>Lease premiums on government land</t>
        </is>
      </c>
      <c r="E102" s="9" t="inlineStr">
        <is>
          <t>Receipt</t>
        </is>
      </c>
      <c r="F102" s="9" t="inlineStr"/>
      <c r="G102" s="9" t="inlineStr"/>
      <c r="H102" s="52" t="n">
        <v>7</v>
      </c>
      <c r="I102" s="53">
        <f>IF(H102="","",H102*(C102-B102+1))</f>
        <v/>
      </c>
      <c r="J102" s="9" t="inlineStr">
        <is>
          <t>No</t>
        </is>
      </c>
      <c r="K102" s="9" t="inlineStr">
        <is>
          <t>Proposed</t>
        </is>
      </c>
      <c r="L102" s="9" t="inlineStr">
        <is>
          <t>CR-020 B7, CR-021 B6</t>
        </is>
      </c>
      <c r="M102" s="54" t="inlineStr">
        <is>
          <t>Leasehold, not sale. Thalassia stands on Crown land of the Hawaiian throne: its premiums, about $5m a year, go to the Hawaiian crown, off-budget</t>
        </is>
      </c>
    </row>
    <row r="103">
      <c r="A103" s="9" t="inlineStr">
        <is>
          <t>E97</t>
        </is>
      </c>
      <c r="B103" s="50" t="n">
        <v>1932</v>
      </c>
      <c r="C103" s="50" t="n">
        <v>1932</v>
      </c>
      <c r="D103" s="51" t="inlineStr">
        <is>
          <t>Lands and Waters Charter: reserves, mined-land restoration, islands index</t>
        </is>
      </c>
      <c r="E103" s="9" t="inlineStr">
        <is>
          <t>Programme</t>
        </is>
      </c>
      <c r="F103" s="9" t="inlineStr"/>
      <c r="G103" s="9" t="inlineStr"/>
      <c r="H103" s="52" t="n">
        <v>3</v>
      </c>
      <c r="I103" s="53">
        <f>IF(H103="","",H103*(C103-B103+1))</f>
        <v/>
      </c>
      <c r="J103" s="9" t="inlineStr">
        <is>
          <t>No</t>
        </is>
      </c>
      <c r="K103" s="9" t="inlineStr">
        <is>
          <t>Proposed</t>
        </is>
      </c>
      <c r="L103" s="9" t="inlineStr">
        <is>
          <t>CR-020 B7</t>
        </is>
      </c>
      <c r="M103" s="54" t="inlineStr">
        <is>
          <t>Model estimate</t>
        </is>
      </c>
    </row>
    <row r="104">
      <c r="A104" s="9" t="inlineStr">
        <is>
          <t>E98</t>
        </is>
      </c>
      <c r="B104" s="50" t="n">
        <v>1931</v>
      </c>
      <c r="C104" s="50" t="n">
        <v>1932</v>
      </c>
      <c r="D104" s="51" t="inlineStr">
        <is>
          <t>Oil compact with the Gulf: administration</t>
        </is>
      </c>
      <c r="E104" s="9" t="inlineStr">
        <is>
          <t>Programme</t>
        </is>
      </c>
      <c r="F104" s="9" t="inlineStr"/>
      <c r="G104" s="9" t="inlineStr">
        <is>
          <t>Gulf Republic</t>
        </is>
      </c>
      <c r="H104" s="52">
        <f>0.5*oil_compact</f>
        <v/>
      </c>
      <c r="I104" s="53">
        <f>IF(H104="","",H104*(C104-B104+1))</f>
        <v/>
      </c>
      <c r="J104" s="9" t="inlineStr">
        <is>
          <t>No</t>
        </is>
      </c>
      <c r="K104" s="9" t="inlineStr">
        <is>
          <t>Proposed</t>
        </is>
      </c>
      <c r="L104" s="9" t="inlineStr">
        <is>
          <t>CR-020 B6</t>
        </is>
      </c>
      <c r="M104" s="54" t="inlineStr">
        <is>
          <t>Zero if the compact lever is off</t>
        </is>
      </c>
    </row>
    <row r="105">
      <c r="A105" s="9" t="inlineStr">
        <is>
          <t>E99</t>
        </is>
      </c>
      <c r="B105" s="50" t="n">
        <v>1895</v>
      </c>
      <c r="C105" s="50" t="n">
        <v>1928</v>
      </c>
      <c r="D105" s="51" t="inlineStr">
        <is>
          <t>Fee for the Formosan revenue administration (camphor, Keelung, customs)</t>
        </is>
      </c>
      <c r="E105" s="9" t="inlineStr">
        <is>
          <t>Receipt</t>
        </is>
      </c>
      <c r="F105" s="9" t="inlineStr"/>
      <c r="G105" s="9" t="inlineStr">
        <is>
          <t>China</t>
        </is>
      </c>
      <c r="H105" s="52" t="n">
        <v>0.5</v>
      </c>
      <c r="I105" s="53">
        <f>IF(H105="","",H105*(C105-B105+1))</f>
        <v/>
      </c>
      <c r="J105" s="9" t="inlineStr">
        <is>
          <t>No</t>
        </is>
      </c>
      <c r="K105" s="9" t="inlineStr">
        <is>
          <t>Approved</t>
        </is>
      </c>
      <c r="L105" s="9" t="inlineStr">
        <is>
          <t>CR-020 B4, CR-021 G1</t>
        </is>
      </c>
      <c r="M105" s="54" t="inlineStr">
        <is>
          <t>Formosan Revenue Convention, 1895; the revenue itself goes to the indemnity and Japan</t>
        </is>
      </c>
    </row>
    <row r="106">
      <c r="A106" s="9" t="inlineStr">
        <is>
          <t>E100</t>
        </is>
      </c>
      <c r="B106" s="50" t="n">
        <v>1875</v>
      </c>
      <c r="C106" s="50" t="n">
        <v>1885</v>
      </c>
      <c r="D106" s="51" t="inlineStr">
        <is>
          <t>Pearl Harbor works: bar dredged, lochs deepened for the fleet</t>
        </is>
      </c>
      <c r="E106" s="9" t="inlineStr">
        <is>
          <t>Investment</t>
        </is>
      </c>
      <c r="F106" s="9" t="inlineStr"/>
      <c r="G106" s="9" t="inlineStr"/>
      <c r="H106" s="52" t="n">
        <v>1.2</v>
      </c>
      <c r="I106" s="53">
        <f>IF(H106="","",H106*(C106-B106+1))</f>
        <v/>
      </c>
      <c r="J106" s="9" t="inlineStr">
        <is>
          <t>No</t>
        </is>
      </c>
      <c r="K106" s="9" t="inlineStr">
        <is>
          <t>Proposed</t>
        </is>
      </c>
      <c r="L106" s="9" t="inlineStr">
        <is>
          <t>CR-021 B6</t>
        </is>
      </c>
      <c r="M106" s="54" t="inlineStr">
        <is>
          <t>Model estimate; the US dredged the bar in 1908-11</t>
        </is>
      </c>
    </row>
    <row r="107">
      <c r="A107" s="9" t="inlineStr">
        <is>
          <t>E101</t>
        </is>
      </c>
      <c r="B107" s="50" t="n">
        <v>1878</v>
      </c>
      <c r="C107" s="50" t="n">
        <v>1879</v>
      </c>
      <c r="D107" s="51" t="inlineStr">
        <is>
          <t>San Francisco-Oahu telegraph cable</t>
        </is>
      </c>
      <c r="E107" s="9" t="inlineStr">
        <is>
          <t>Investment</t>
        </is>
      </c>
      <c r="F107" s="9" t="inlineStr"/>
      <c r="G107" s="9" t="inlineStr"/>
      <c r="H107" s="52" t="n">
        <v>2.5</v>
      </c>
      <c r="I107" s="53">
        <f>IF(H107="","",H107*(C107-B107+1))</f>
        <v/>
      </c>
      <c r="J107" s="9" t="inlineStr">
        <is>
          <t>No</t>
        </is>
      </c>
      <c r="K107" s="9" t="inlineStr">
        <is>
          <t>Proposed</t>
        </is>
      </c>
      <c r="L107" s="9" t="inlineStr">
        <is>
          <t>CR-021 B6</t>
        </is>
      </c>
      <c r="M107" s="54" t="inlineStr">
        <is>
          <t>About the length of the 1866 Atlantic cable, in deeper water; model estimate $5m</t>
        </is>
      </c>
    </row>
    <row r="108">
      <c r="A108" s="9" t="inlineStr">
        <is>
          <t>E102</t>
        </is>
      </c>
      <c r="B108" s="50" t="n">
        <v>1880</v>
      </c>
      <c r="C108" s="50" t="n">
        <v>1881</v>
      </c>
      <c r="D108" s="51" t="inlineStr">
        <is>
          <t>Inter-island cables (Oahu, Maui, Hawaii, Kauai)</t>
        </is>
      </c>
      <c r="E108" s="9" t="inlineStr">
        <is>
          <t>Investment</t>
        </is>
      </c>
      <c r="F108" s="9" t="inlineStr"/>
      <c r="G108" s="9" t="inlineStr"/>
      <c r="H108" s="52" t="n">
        <v>0.3</v>
      </c>
      <c r="I108" s="53">
        <f>IF(H108="","",H108*(C108-B108+1))</f>
        <v/>
      </c>
      <c r="J108" s="9" t="inlineStr">
        <is>
          <t>No</t>
        </is>
      </c>
      <c r="K108" s="9" t="inlineStr">
        <is>
          <t>Proposed</t>
        </is>
      </c>
      <c r="L108" s="9" t="inlineStr">
        <is>
          <t>CR-021 B6</t>
        </is>
      </c>
      <c r="M108" s="54" t="inlineStr">
        <is>
          <t>Model estimate</t>
        </is>
      </c>
    </row>
    <row r="109">
      <c r="A109" s="9" t="inlineStr">
        <is>
          <t>E103</t>
        </is>
      </c>
      <c r="B109" s="50" t="n">
        <v>1876</v>
      </c>
      <c r="C109" s="50" t="n">
        <v>1886</v>
      </c>
      <c r="D109" s="51" t="inlineStr">
        <is>
          <t>Thalassia, first phase: bay city, temporary halls, ministries, housing, waterworks</t>
        </is>
      </c>
      <c r="E109" s="9" t="inlineStr">
        <is>
          <t>Programme</t>
        </is>
      </c>
      <c r="F109" s="9" t="inlineStr"/>
      <c r="G109" s="9" t="inlineStr"/>
      <c r="H109" s="52" t="n">
        <v>2</v>
      </c>
      <c r="I109" s="53">
        <f>IF(H109="","",H109*(C109-B109+1))</f>
        <v/>
      </c>
      <c r="J109" s="9" t="inlineStr">
        <is>
          <t>No</t>
        </is>
      </c>
      <c r="K109" s="9" t="inlineStr">
        <is>
          <t>Proposed</t>
        </is>
      </c>
      <c r="L109" s="9" t="inlineStr">
        <is>
          <t>CR-021 B6</t>
        </is>
      </c>
      <c r="M109" s="54" t="inlineStr">
        <is>
          <t>Model estimate, about $22m in the Thalassian style: basalt, dredge-spoil lime, timber and copper instead of imported marble</t>
        </is>
      </c>
    </row>
    <row r="110">
      <c r="A110" s="9" t="inlineStr">
        <is>
          <t>E104</t>
        </is>
      </c>
      <c r="B110" s="50" t="n">
        <v>1887</v>
      </c>
      <c r="C110" s="50" t="n">
        <v>1905</v>
      </c>
      <c r="D110" s="51" t="inlineStr">
        <is>
          <t>Thalassia, second phase: palace, glass-domed Senate, ministries, canals from the fishponds</t>
        </is>
      </c>
      <c r="E110" s="9" t="inlineStr">
        <is>
          <t>Programme</t>
        </is>
      </c>
      <c r="F110" s="9" t="inlineStr"/>
      <c r="G110" s="9" t="inlineStr"/>
      <c r="H110" s="52" t="n">
        <v>1.6</v>
      </c>
      <c r="I110" s="53">
        <f>IF(H110="","",H110*(C110-B110+1))</f>
        <v/>
      </c>
      <c r="J110" s="9" t="inlineStr">
        <is>
          <t>No</t>
        </is>
      </c>
      <c r="K110" s="9" t="inlineStr">
        <is>
          <t>Proposed</t>
        </is>
      </c>
      <c r="L110" s="9" t="inlineStr">
        <is>
          <t>CR-021 B6</t>
        </is>
      </c>
      <c r="M110" s="54" t="inlineStr">
        <is>
          <t>Model estimate, about $30m; local materials, a fifth below a marble build</t>
        </is>
      </c>
    </row>
    <row r="111">
      <c r="A111" s="9" t="inlineStr">
        <is>
          <t>E105</t>
        </is>
      </c>
      <c r="B111" s="50" t="n">
        <v>1906</v>
      </c>
      <c r="C111" s="50" t="n">
        <v>1927</v>
      </c>
      <c r="D111" s="51" t="inlineStr">
        <is>
          <t>Thalassia, growth of the capital's public buildings</t>
        </is>
      </c>
      <c r="E111" s="9" t="inlineStr">
        <is>
          <t>Programme</t>
        </is>
      </c>
      <c r="F111" s="9" t="inlineStr"/>
      <c r="G111" s="9" t="inlineStr"/>
      <c r="H111" s="52" t="n">
        <v>3.2</v>
      </c>
      <c r="I111" s="53">
        <f>IF(H111="","",H111*(C111-B111+1))</f>
        <v/>
      </c>
      <c r="J111" s="9" t="inlineStr">
        <is>
          <t>No</t>
        </is>
      </c>
      <c r="K111" s="9" t="inlineStr">
        <is>
          <t>Proposed</t>
        </is>
      </c>
      <c r="L111" s="9" t="inlineStr">
        <is>
          <t>CR-021 B6</t>
        </is>
      </c>
      <c r="M111" s="54" t="inlineStr">
        <is>
          <t>Model estimate; from 1928 the Thalassia Plan (E95) and the Concord's ministries (E85)</t>
        </is>
      </c>
    </row>
    <row r="112">
      <c r="A112" s="9" t="inlineStr">
        <is>
          <t>E106</t>
        </is>
      </c>
      <c r="B112" s="50" t="n">
        <v>1885</v>
      </c>
      <c r="C112" s="50" t="n">
        <v>1910</v>
      </c>
      <c r="D112" s="51" t="inlineStr">
        <is>
          <t>Island premium: packets, allowances and freight for a government at Thalassia</t>
        </is>
      </c>
      <c r="E112" s="9" t="inlineStr">
        <is>
          <t>Programme</t>
        </is>
      </c>
      <c r="F112" s="9" t="inlineStr"/>
      <c r="G112" s="9" t="inlineStr"/>
      <c r="H112" s="52" t="n">
        <v>0.8</v>
      </c>
      <c r="I112" s="53">
        <f>IF(H112="","",H112*(C112-B112+1))</f>
        <v/>
      </c>
      <c r="J112" s="9" t="inlineStr">
        <is>
          <t>No</t>
        </is>
      </c>
      <c r="K112" s="9" t="inlineStr">
        <is>
          <t>Proposed</t>
        </is>
      </c>
      <c r="L112" s="9" t="inlineStr">
        <is>
          <t>CR-021 B6</t>
        </is>
      </c>
      <c r="M112" s="54" t="inlineStr">
        <is>
          <t>Model estimate: a fifth to a third above continental costs for the capital's staff</t>
        </is>
      </c>
    </row>
    <row r="113">
      <c r="A113" s="9" t="inlineStr">
        <is>
          <t>E107</t>
        </is>
      </c>
      <c r="B113" s="50" t="n">
        <v>1911</v>
      </c>
      <c r="C113" s="50" t="n">
        <v>1932</v>
      </c>
      <c r="D113" s="51" t="inlineStr">
        <is>
          <t>Island premium: packets, allowances and freight for a government at Thalassia</t>
        </is>
      </c>
      <c r="E113" s="9" t="inlineStr">
        <is>
          <t>Programme</t>
        </is>
      </c>
      <c r="F113" s="9" t="inlineStr"/>
      <c r="G113" s="9" t="inlineStr"/>
      <c r="H113" s="52" t="n">
        <v>2.5</v>
      </c>
      <c r="I113" s="53">
        <f>IF(H113="","",H113*(C113-B113+1))</f>
        <v/>
      </c>
      <c r="J113" s="9" t="inlineStr">
        <is>
          <t>No</t>
        </is>
      </c>
      <c r="K113" s="9" t="inlineStr">
        <is>
          <t>Proposed</t>
        </is>
      </c>
      <c r="L113" s="9" t="inlineStr">
        <is>
          <t>CR-021 B6</t>
        </is>
      </c>
      <c r="M113" s="54" t="inlineStr">
        <is>
          <t>Model estimate; a larger capital</t>
        </is>
      </c>
    </row>
    <row r="114">
      <c r="A114" s="9" t="inlineStr">
        <is>
          <t>E108</t>
        </is>
      </c>
      <c r="B114" s="50" t="n">
        <v>1914</v>
      </c>
      <c r="C114" s="50" t="n">
        <v>1932</v>
      </c>
      <c r="D114" s="51" t="inlineStr">
        <is>
          <t>Hawaiian-medium schools restored (Act of Settlement)</t>
        </is>
      </c>
      <c r="E114" s="9" t="inlineStr">
        <is>
          <t>Programme</t>
        </is>
      </c>
      <c r="F114" s="9" t="inlineStr"/>
      <c r="G114" s="9" t="inlineStr"/>
      <c r="H114" s="52" t="n">
        <v>0.3</v>
      </c>
      <c r="I114" s="53">
        <f>IF(H114="","",H114*(C114-B114+1))</f>
        <v/>
      </c>
      <c r="J114" s="9" t="inlineStr">
        <is>
          <t>No</t>
        </is>
      </c>
      <c r="K114" s="9" t="inlineStr">
        <is>
          <t>Proposed</t>
        </is>
      </c>
      <c r="L114" s="9" t="inlineStr">
        <is>
          <t>CR-021 C2</t>
        </is>
      </c>
      <c r="M114" s="54" t="inlineStr">
        <is>
          <t>Model estimate</t>
        </is>
      </c>
    </row>
    <row r="115">
      <c r="A115" s="9" t="inlineStr">
        <is>
          <t>E109</t>
        </is>
      </c>
      <c r="B115" s="50" t="n">
        <v>1927</v>
      </c>
      <c r="C115" s="50" t="n">
        <v>1932</v>
      </c>
      <c r="D115" s="51" t="inlineStr">
        <is>
          <t>Subsidy for Japanese and Chinese community schools</t>
        </is>
      </c>
      <c r="E115" s="9" t="inlineStr">
        <is>
          <t>Subsidy &amp; guarantee</t>
        </is>
      </c>
      <c r="F115" s="9" t="inlineStr"/>
      <c r="G115" s="9" t="inlineStr"/>
      <c r="H115" s="52" t="n">
        <v>0.5</v>
      </c>
      <c r="I115" s="53">
        <f>IF(H115="","",H115*(C115-B115+1))</f>
        <v/>
      </c>
      <c r="J115" s="9" t="inlineStr">
        <is>
          <t>No</t>
        </is>
      </c>
      <c r="K115" s="9" t="inlineStr">
        <is>
          <t>Proposed</t>
        </is>
      </c>
      <c r="L115" s="9" t="inlineStr">
        <is>
          <t>CR-021 C3</t>
        </is>
      </c>
      <c r="M115" s="54" t="inlineStr">
        <is>
          <t>Model estimate</t>
        </is>
      </c>
    </row>
    <row r="116">
      <c r="A116" s="9" t="inlineStr">
        <is>
          <t>E111</t>
        </is>
      </c>
      <c r="B116" s="50" t="n">
        <v>1906</v>
      </c>
      <c r="C116" s="50" t="n">
        <v>1932</v>
      </c>
      <c r="D116" s="51" t="inlineStr">
        <is>
          <t>Polytechnic of Formosa: Chinese examination and technical university</t>
        </is>
      </c>
      <c r="E116" s="9" t="inlineStr">
        <is>
          <t>Investment</t>
        </is>
      </c>
      <c r="F116" s="9" t="inlineStr"/>
      <c r="G116" s="9" t="inlineStr">
        <is>
          <t>China</t>
        </is>
      </c>
      <c r="H116" s="52" t="n">
        <v>1.2</v>
      </c>
      <c r="I116" s="53">
        <f>IF(H116="","",H116*(C116-B116+1))</f>
        <v/>
      </c>
      <c r="J116" s="9" t="inlineStr">
        <is>
          <t>No</t>
        </is>
      </c>
      <c r="K116" s="9" t="inlineStr">
        <is>
          <t>Proposed</t>
        </is>
      </c>
      <c r="L116" s="9" t="inlineStr">
        <is>
          <t>CR-021 G2</t>
        </is>
      </c>
      <c r="M116" s="54" t="inlineStr">
        <is>
          <t>Net of Boxer indemnity funds; model estimate</t>
        </is>
      </c>
    </row>
    <row r="117">
      <c r="A117" s="9" t="inlineStr">
        <is>
          <t>E112</t>
        </is>
      </c>
      <c r="B117" s="50" t="n">
        <v>1928</v>
      </c>
      <c r="C117" s="50" t="n">
        <v>1932</v>
      </c>
      <c r="D117" s="51" t="inlineStr">
        <is>
          <t>Joint examination board with Japan's school on Formosa</t>
        </is>
      </c>
      <c r="E117" s="9" t="inlineStr">
        <is>
          <t>Programme</t>
        </is>
      </c>
      <c r="F117" s="9" t="inlineStr"/>
      <c r="G117" s="9" t="inlineStr">
        <is>
          <t>Japan</t>
        </is>
      </c>
      <c r="H117" s="52" t="n">
        <v>0.2</v>
      </c>
      <c r="I117" s="53">
        <f>IF(H117="","",H117*(C117-B117+1))</f>
        <v/>
      </c>
      <c r="J117" s="9" t="inlineStr">
        <is>
          <t>No</t>
        </is>
      </c>
      <c r="K117" s="9" t="inlineStr">
        <is>
          <t>Proposed</t>
        </is>
      </c>
      <c r="L117" s="9" t="inlineStr">
        <is>
          <t>CR-021 G2</t>
        </is>
      </c>
      <c r="M117" s="54" t="inlineStr">
        <is>
          <t>Japan pays for its own school</t>
        </is>
      </c>
    </row>
    <row r="118">
      <c r="A118" s="9" t="inlineStr">
        <is>
          <t>E110</t>
        </is>
      </c>
      <c r="B118" s="50" t="n">
        <v>1929</v>
      </c>
      <c r="C118" s="50" t="n">
        <v>1932</v>
      </c>
      <c r="D118" s="51" t="inlineStr">
        <is>
          <t>Formosan administration fee, now an affair of the Concord (Pacifica's quota)</t>
        </is>
      </c>
      <c r="E118" s="9" t="inlineStr">
        <is>
          <t>Receipt</t>
        </is>
      </c>
      <c r="F118" s="9" t="inlineStr"/>
      <c r="G118" s="9" t="inlineStr">
        <is>
          <t>China</t>
        </is>
      </c>
      <c r="H118" s="52">
        <f>0.5*pac_quota</f>
        <v/>
      </c>
      <c r="I118" s="53">
        <f>IF(H118="","",H118*(C118-B118+1))</f>
        <v/>
      </c>
      <c r="J118" s="9" t="inlineStr">
        <is>
          <t>No</t>
        </is>
      </c>
      <c r="K118" s="9" t="inlineStr">
        <is>
          <t>Approved</t>
        </is>
      </c>
      <c r="L118" s="9" t="inlineStr">
        <is>
          <t>CR-021 G1</t>
        </is>
      </c>
      <c r="M118" s="54" t="inlineStr">
        <is>
          <t>OPEN-015-30 option 2: a Japanese deputy director-general from 1928-29</t>
        </is>
      </c>
    </row>
    <row r="119">
      <c r="B119" s="50" t="n"/>
      <c r="C119" s="50" t="n"/>
      <c r="H119" s="50" t="n"/>
      <c r="I119" s="55">
        <f>IF(H119="","",H119*(C119-B119+1))</f>
        <v/>
      </c>
    </row>
    <row r="120">
      <c r="B120" s="50" t="n"/>
      <c r="C120" s="50" t="n"/>
      <c r="H120" s="50" t="n"/>
      <c r="I120" s="55">
        <f>IF(H120="","",H120*(C120-B120+1))</f>
        <v/>
      </c>
    </row>
    <row r="121">
      <c r="B121" s="50" t="n"/>
      <c r="C121" s="50" t="n"/>
      <c r="H121" s="50" t="n"/>
      <c r="I121" s="55">
        <f>IF(H121="","",H121*(C121-B121+1))</f>
        <v/>
      </c>
    </row>
    <row r="122">
      <c r="B122" s="50" t="n"/>
      <c r="C122" s="50" t="n"/>
      <c r="H122" s="50" t="n"/>
      <c r="I122" s="55">
        <f>IF(H122="","",H122*(C122-B122+1))</f>
        <v/>
      </c>
    </row>
    <row r="123">
      <c r="B123" s="50" t="n"/>
      <c r="C123" s="50" t="n"/>
      <c r="H123" s="50" t="n"/>
      <c r="I123" s="55">
        <f>IF(H123="","",H123*(C123-B123+1))</f>
        <v/>
      </c>
    </row>
    <row r="124">
      <c r="B124" s="50" t="n"/>
      <c r="C124" s="50" t="n"/>
      <c r="H124" s="50" t="n"/>
      <c r="I124" s="55">
        <f>IF(H124="","",H124*(C124-B124+1))</f>
        <v/>
      </c>
    </row>
    <row r="125">
      <c r="B125" s="50" t="n"/>
      <c r="C125" s="50" t="n"/>
      <c r="H125" s="50" t="n"/>
      <c r="I125" s="55">
        <f>IF(H125="","",H125*(C125-B125+1))</f>
        <v/>
      </c>
    </row>
    <row r="126">
      <c r="B126" s="50" t="n"/>
      <c r="C126" s="50" t="n"/>
      <c r="H126" s="50" t="n"/>
      <c r="I126" s="55">
        <f>IF(H126="","",H126*(C126-B126+1))</f>
        <v/>
      </c>
    </row>
    <row r="127">
      <c r="B127" s="50" t="n"/>
      <c r="C127" s="50" t="n"/>
      <c r="H127" s="50" t="n"/>
      <c r="I127" s="55">
        <f>IF(H127="","",H127*(C127-B127+1))</f>
        <v/>
      </c>
    </row>
    <row r="128">
      <c r="B128" s="50" t="n"/>
      <c r="C128" s="50" t="n"/>
      <c r="H128" s="50" t="n"/>
      <c r="I128" s="55">
        <f>IF(H128="","",H128*(C128-B128+1))</f>
        <v/>
      </c>
    </row>
    <row r="129">
      <c r="B129" s="50" t="n"/>
      <c r="C129" s="50" t="n"/>
      <c r="H129" s="50" t="n"/>
      <c r="I129" s="55">
        <f>IF(H129="","",H129*(C129-B129+1))</f>
        <v/>
      </c>
    </row>
    <row r="130">
      <c r="B130" s="50" t="n"/>
      <c r="C130" s="50" t="n"/>
      <c r="H130" s="50" t="n"/>
      <c r="I130" s="55">
        <f>IF(H130="","",H130*(C130-B130+1))</f>
        <v/>
      </c>
    </row>
    <row r="131">
      <c r="B131" s="50" t="n"/>
      <c r="C131" s="50" t="n"/>
      <c r="H131" s="50" t="n"/>
      <c r="I131" s="55">
        <f>IF(H131="","",H131*(C131-B131+1))</f>
        <v/>
      </c>
    </row>
    <row r="132">
      <c r="B132" s="50" t="n"/>
      <c r="C132" s="50" t="n"/>
      <c r="H132" s="50" t="n"/>
      <c r="I132" s="55">
        <f>IF(H132="","",H132*(C132-B132+1))</f>
        <v/>
      </c>
    </row>
    <row r="133">
      <c r="B133" s="50" t="n"/>
      <c r="C133" s="50" t="n"/>
      <c r="H133" s="50" t="n"/>
      <c r="I133" s="55">
        <f>IF(H133="","",H133*(C133-B133+1))</f>
        <v/>
      </c>
    </row>
    <row r="134">
      <c r="B134" s="50" t="n"/>
      <c r="C134" s="50" t="n"/>
      <c r="H134" s="50" t="n"/>
      <c r="I134" s="55">
        <f>IF(H134="","",H134*(C134-B134+1))</f>
        <v/>
      </c>
    </row>
    <row r="135">
      <c r="B135" s="50" t="n"/>
      <c r="C135" s="50" t="n"/>
      <c r="H135" s="50" t="n"/>
      <c r="I135" s="55">
        <f>IF(H135="","",H135*(C135-B135+1))</f>
        <v/>
      </c>
    </row>
    <row r="136">
      <c r="B136" s="50" t="n"/>
      <c r="C136" s="50" t="n"/>
      <c r="H136" s="50" t="n"/>
      <c r="I136" s="55">
        <f>IF(H136="","",H136*(C136-B136+1))</f>
        <v/>
      </c>
    </row>
    <row r="137">
      <c r="B137" s="50" t="n"/>
      <c r="C137" s="50" t="n"/>
      <c r="H137" s="50" t="n"/>
      <c r="I137" s="55">
        <f>IF(H137="","",H137*(C137-B137+1))</f>
        <v/>
      </c>
    </row>
    <row r="138">
      <c r="B138" s="50" t="n"/>
      <c r="C138" s="50" t="n"/>
      <c r="H138" s="50" t="n"/>
      <c r="I138" s="55">
        <f>IF(H138="","",H138*(C138-B138+1))</f>
        <v/>
      </c>
    </row>
    <row r="139">
      <c r="B139" s="50" t="n"/>
      <c r="C139" s="50" t="n"/>
      <c r="H139" s="50" t="n"/>
      <c r="I139" s="55">
        <f>IF(H139="","",H139*(C139-B139+1))</f>
        <v/>
      </c>
    </row>
    <row r="140">
      <c r="B140" s="50" t="n"/>
      <c r="C140" s="50" t="n"/>
      <c r="H140" s="50" t="n"/>
      <c r="I140" s="55">
        <f>IF(H140="","",H140*(C140-B140+1))</f>
        <v/>
      </c>
    </row>
    <row r="141">
      <c r="B141" s="50" t="n"/>
      <c r="C141" s="50" t="n"/>
      <c r="H141" s="50" t="n"/>
      <c r="I141" s="55">
        <f>IF(H141="","",H141*(C141-B141+1))</f>
        <v/>
      </c>
    </row>
    <row r="142">
      <c r="B142" s="50" t="n"/>
      <c r="C142" s="50" t="n"/>
      <c r="H142" s="50" t="n"/>
      <c r="I142" s="55">
        <f>IF(H142="","",H142*(C142-B142+1))</f>
        <v/>
      </c>
    </row>
    <row r="143">
      <c r="B143" s="50" t="n"/>
      <c r="C143" s="50" t="n"/>
      <c r="H143" s="50" t="n"/>
      <c r="I143" s="55">
        <f>IF(H143="","",H143*(C143-B143+1))</f>
        <v/>
      </c>
    </row>
    <row r="144">
      <c r="B144" s="50" t="n"/>
      <c r="C144" s="50" t="n"/>
      <c r="H144" s="50" t="n"/>
      <c r="I144" s="55">
        <f>IF(H144="","",H144*(C144-B144+1))</f>
        <v/>
      </c>
    </row>
    <row r="145">
      <c r="B145" s="50" t="n"/>
      <c r="C145" s="50" t="n"/>
      <c r="H145" s="50" t="n"/>
      <c r="I145" s="55">
        <f>IF(H145="","",H145*(C145-B145+1))</f>
        <v/>
      </c>
    </row>
    <row r="146">
      <c r="B146" s="50" t="n"/>
      <c r="C146" s="50" t="n"/>
      <c r="H146" s="50" t="n"/>
      <c r="I146" s="55">
        <f>IF(H146="","",H146*(C146-B146+1))</f>
        <v/>
      </c>
    </row>
    <row r="147">
      <c r="B147" s="50" t="n"/>
      <c r="C147" s="50" t="n"/>
      <c r="H147" s="50" t="n"/>
      <c r="I147" s="55">
        <f>IF(H147="","",H147*(C147-B147+1))</f>
        <v/>
      </c>
    </row>
    <row r="148">
      <c r="B148" s="50" t="n"/>
      <c r="C148" s="50" t="n"/>
      <c r="H148" s="50" t="n"/>
      <c r="I148" s="55">
        <f>IF(H148="","",H148*(C148-B148+1))</f>
        <v/>
      </c>
    </row>
    <row r="149">
      <c r="B149" s="50" t="n"/>
      <c r="C149" s="50" t="n"/>
      <c r="H149" s="50" t="n"/>
      <c r="I149" s="55">
        <f>IF(H149="","",H149*(C149-B149+1))</f>
        <v/>
      </c>
    </row>
    <row r="150">
      <c r="B150" s="50" t="n"/>
      <c r="C150" s="50" t="n"/>
      <c r="H150" s="50" t="n"/>
      <c r="I150" s="55">
        <f>IF(H150="","",H150*(C150-B150+1))</f>
        <v/>
      </c>
    </row>
    <row r="151">
      <c r="B151" s="50" t="n"/>
      <c r="C151" s="50" t="n"/>
      <c r="H151" s="50" t="n"/>
      <c r="I151" s="55">
        <f>IF(H151="","",H151*(C151-B151+1))</f>
        <v/>
      </c>
    </row>
    <row r="152">
      <c r="B152" s="50" t="n"/>
      <c r="C152" s="50" t="n"/>
      <c r="H152" s="50" t="n"/>
      <c r="I152" s="55">
        <f>IF(H152="","",H152*(C152-B152+1))</f>
        <v/>
      </c>
    </row>
    <row r="153">
      <c r="B153" s="50" t="n"/>
      <c r="C153" s="50" t="n"/>
      <c r="H153" s="50" t="n"/>
      <c r="I153" s="55">
        <f>IF(H153="","",H153*(C153-B153+1))</f>
        <v/>
      </c>
    </row>
    <row r="154">
      <c r="B154" s="50" t="n"/>
      <c r="C154" s="50" t="n"/>
      <c r="H154" s="50" t="n"/>
      <c r="I154" s="55">
        <f>IF(H154="","",H154*(C154-B154+1))</f>
        <v/>
      </c>
    </row>
    <row r="155">
      <c r="B155" s="50" t="n"/>
      <c r="C155" s="50" t="n"/>
      <c r="H155" s="50" t="n"/>
      <c r="I155" s="55">
        <f>IF(H155="","",H155*(C155-B155+1))</f>
        <v/>
      </c>
    </row>
    <row r="156">
      <c r="B156" s="50" t="n"/>
      <c r="C156" s="50" t="n"/>
      <c r="H156" s="50" t="n"/>
      <c r="I156" s="55">
        <f>IF(H156="","",H156*(C156-B156+1))</f>
        <v/>
      </c>
    </row>
    <row r="157">
      <c r="B157" s="50" t="n"/>
      <c r="C157" s="50" t="n"/>
      <c r="H157" s="50" t="n"/>
      <c r="I157" s="55">
        <f>IF(H157="","",H157*(C157-B157+1))</f>
        <v/>
      </c>
    </row>
    <row r="158">
      <c r="B158" s="50" t="n"/>
      <c r="C158" s="50" t="n"/>
      <c r="H158" s="50" t="n"/>
      <c r="I158" s="55">
        <f>IF(H158="","",H158*(C158-B158+1))</f>
        <v/>
      </c>
    </row>
  </sheetData>
  <autoFilter ref="A5:M158"/>
  <pageMargins left="0.75" right="0.75" top="1" bottom="1" header="0.5" footer="0.5"/>
  <pageSetup orientation="landscape" fitToHeight="0" fitToWidth="1"/>
</worksheet>
</file>

<file path=xl/worksheets/sheet5.xml><?xml version="1.0" encoding="utf-8"?>
<worksheet xmlns="http://schemas.openxmlformats.org/spreadsheetml/2006/main">
  <sheetPr>
    <tabColor rgb="00C00000"/>
    <outlinePr summaryBelow="1" summaryRight="1"/>
    <pageSetUpPr fitToPage="1"/>
  </sheetPr>
  <dimension ref="A1:AD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 width="12.5" customWidth="1" min="30" max="30"/>
  </cols>
  <sheetData>
    <row r="1">
      <c r="A1" s="18" t="inlineStr">
        <is>
          <t>Year-by-year inputs</t>
        </is>
      </c>
    </row>
    <row r="2">
      <c r="A2" s="2" t="inlineStr">
        <is>
          <t>Time paths behind the model: prices, migration, growth, tax rates, army size and loan terms.</t>
        </is>
      </c>
    </row>
    <row r="3">
      <c r="A3" s="19" t="inlineStr">
        <is>
          <t>Years run down the page. Blue = input you can change · black = formula · green = link to another sheet. Hover a column heading for its definition.</t>
        </is>
      </c>
    </row>
    <row r="4">
      <c r="B4" s="56" t="inlineStr">
        <is>
          <t>Prices &amp; people</t>
        </is>
      </c>
      <c r="E4" s="56" t="inlineStr">
        <is>
          <t>Gross arrivals (story case)</t>
        </is>
      </c>
      <c r="K4" s="56" t="inlineStr">
        <is>
          <t>Prices &amp; people</t>
        </is>
      </c>
      <c r="L4" s="56" t="inlineStr">
        <is>
          <t>Economy</t>
        </is>
      </c>
      <c r="N4" s="56" t="inlineStr">
        <is>
          <t>Taxes</t>
        </is>
      </c>
      <c r="T4" s="56" t="inlineStr">
        <is>
          <t>Spending</t>
        </is>
      </c>
      <c r="Y4" s="56" t="inlineStr">
        <is>
          <t>Financing</t>
        </is>
      </c>
    </row>
    <row r="5" ht="54" customHeight="1">
      <c r="A5" s="57" t="inlineStr">
        <is>
          <t>Year</t>
        </is>
      </c>
      <c r="B5" s="6" t="inlineStr">
        <is>
          <t>Price level (1913 = 1)</t>
        </is>
      </c>
      <c r="C5" s="6" t="inlineStr">
        <is>
          <t>Natural increase</t>
        </is>
      </c>
      <c r="D5" s="6" t="inlineStr">
        <is>
          <t>Residents joining with territory</t>
        </is>
      </c>
      <c r="E5" s="6" t="inlineStr">
        <is>
          <t>Arrivals: Americas &amp; Europe</t>
        </is>
      </c>
      <c r="F5" s="6" t="inlineStr">
        <is>
          <t>Arrivals: Chinese</t>
        </is>
      </c>
      <c r="G5" s="6" t="inlineStr">
        <is>
          <t>Arrivals: Japanese</t>
        </is>
      </c>
      <c r="H5" s="6" t="inlineStr">
        <is>
          <t>Arrivals: Filipino</t>
        </is>
      </c>
      <c r="I5" s="6" t="inlineStr">
        <is>
          <t>Return migration, Americas &amp; Europe</t>
        </is>
      </c>
      <c r="J5" s="6" t="inlineStr">
        <is>
          <t>Share of arrivals assisted</t>
        </is>
      </c>
      <c r="K5" s="6" t="inlineStr">
        <is>
          <t>Philippine crown residents (separate)</t>
        </is>
      </c>
      <c r="L5" s="6" t="inlineStr">
        <is>
          <t>Real output growth per resident (story)</t>
        </is>
      </c>
      <c r="M5" s="6" t="inlineStr">
        <is>
          <t>Output vs trend (slumps)</t>
        </is>
      </c>
      <c r="N5" s="6" t="inlineStr">
        <is>
          <t>Dutiable imports / GDP</t>
        </is>
      </c>
      <c r="O5" s="6" t="inlineStr">
        <is>
          <t>Average tariff</t>
        </is>
      </c>
      <c r="P5" s="6" t="inlineStr">
        <is>
          <t>Domestic taxes / non-mining GDP</t>
        </is>
      </c>
      <c r="Q5" s="6" t="inlineStr">
        <is>
          <t>Tax collection</t>
        </is>
      </c>
      <c r="R5" s="6" t="inlineStr">
        <is>
          <t>State enterprises &amp; concessions / GDP</t>
        </is>
      </c>
      <c r="S5" s="6" t="inlineStr">
        <is>
          <t>Panama canal tolls ($m)</t>
        </is>
      </c>
      <c r="T5" s="6" t="inlineStr">
        <is>
          <t>Civil services / GDP</t>
        </is>
      </c>
      <c r="U5" s="6" t="inlineStr">
        <is>
          <t>Public works / GDP</t>
        </is>
      </c>
      <c r="V5" s="6" t="inlineStr">
        <is>
          <t>Technical &amp; industrial programmes / GDP</t>
        </is>
      </c>
      <c r="W5" s="6" t="inlineStr">
        <is>
          <t>Active army</t>
        </is>
      </c>
      <c r="X5" s="6" t="inlineStr">
        <is>
          <t>Trained reserves</t>
        </is>
      </c>
      <c r="Y5" s="6" t="inlineStr">
        <is>
          <t>Average coupon on public debt</t>
        </is>
      </c>
      <c r="Z5" s="6" t="inlineStr">
        <is>
          <t>Coupon on Entente / European loans</t>
        </is>
      </c>
      <c r="AA5" s="6" t="inlineStr">
        <is>
          <t>Repayment rate on European loans</t>
        </is>
      </c>
      <c r="AB5" s="6" t="inlineStr">
        <is>
          <t>European debtors paying (1/0)</t>
        </is>
      </c>
      <c r="AC5" s="6" t="inlineStr">
        <is>
          <t>War year (1/0)</t>
        </is>
      </c>
      <c r="AD5" s="6" t="inlineStr">
        <is>
          <t>World monetary gold ($m)</t>
        </is>
      </c>
    </row>
    <row r="6">
      <c r="A6" s="58" t="n">
        <v>1846</v>
      </c>
      <c r="B6" s="46" t="n">
        <v>0.74</v>
      </c>
      <c r="C6" s="59" t="n">
        <v>0.015</v>
      </c>
      <c r="D6" s="45" t="n">
        <v>0</v>
      </c>
      <c r="E6" s="45" t="n">
        <v>2000</v>
      </c>
      <c r="F6" s="45" t="n">
        <v>0</v>
      </c>
      <c r="G6" s="45" t="n">
        <v>0</v>
      </c>
      <c r="H6" s="45" t="n">
        <v>0</v>
      </c>
      <c r="I6" s="59" t="n">
        <v>0.2</v>
      </c>
      <c r="J6" s="59" t="n">
        <v>0.2</v>
      </c>
      <c r="K6" s="45" t="n">
        <v>0</v>
      </c>
      <c r="L6" s="59" t="n">
        <v>0</v>
      </c>
      <c r="M6" s="46" t="n">
        <v>1</v>
      </c>
      <c r="N6" s="59" t="n">
        <v>0.3</v>
      </c>
      <c r="O6" s="59" t="n">
        <v>0.08</v>
      </c>
      <c r="P6" s="59" t="n">
        <v>0.03</v>
      </c>
      <c r="Q6" s="59" t="n">
        <v>0.85</v>
      </c>
      <c r="R6" s="60" t="n">
        <v>0</v>
      </c>
      <c r="S6" s="52" t="n">
        <v>0</v>
      </c>
      <c r="T6" s="59" t="n">
        <v>0.018</v>
      </c>
      <c r="U6" s="59" t="n">
        <v>0.01</v>
      </c>
      <c r="V6" s="59" t="n">
        <v>0</v>
      </c>
      <c r="W6" s="45" t="n">
        <v>500</v>
      </c>
      <c r="X6" s="45" t="n">
        <v>0</v>
      </c>
      <c r="Y6" s="59" t="n">
        <v>0.06</v>
      </c>
      <c r="Z6" s="59" t="n">
        <v>0.05</v>
      </c>
      <c r="AA6" s="59" t="n">
        <v>0.03</v>
      </c>
      <c r="AB6" s="45" t="n">
        <v>1</v>
      </c>
      <c r="AC6" s="45" t="n">
        <v>0</v>
      </c>
      <c r="AD6" s="45" t="n">
        <v>1500</v>
      </c>
    </row>
    <row r="7">
      <c r="A7" s="58" t="n">
        <v>1847</v>
      </c>
      <c r="B7" s="46" t="n">
        <v>0.74</v>
      </c>
      <c r="C7" s="59" t="n">
        <v>0.015</v>
      </c>
      <c r="D7" s="45" t="n">
        <v>0</v>
      </c>
      <c r="E7" s="45" t="n">
        <v>3000</v>
      </c>
      <c r="F7" s="45" t="n">
        <v>0</v>
      </c>
      <c r="G7" s="45" t="n">
        <v>0</v>
      </c>
      <c r="H7" s="45" t="n">
        <v>0</v>
      </c>
      <c r="I7" s="59" t="n">
        <v>0.2</v>
      </c>
      <c r="J7" s="59" t="n">
        <v>0.2</v>
      </c>
      <c r="K7" s="45" t="n">
        <v>0</v>
      </c>
      <c r="L7" s="59" t="n">
        <v>0.04</v>
      </c>
      <c r="M7" s="46" t="n">
        <v>1</v>
      </c>
      <c r="N7" s="59" t="n">
        <v>0.2967</v>
      </c>
      <c r="O7" s="59" t="n">
        <v>0.08</v>
      </c>
      <c r="P7" s="59" t="n">
        <v>0.03</v>
      </c>
      <c r="Q7" s="59" t="n">
        <v>0.85</v>
      </c>
      <c r="R7" s="60" t="n">
        <v>2e-05</v>
      </c>
      <c r="S7" s="52" t="n">
        <v>0</v>
      </c>
      <c r="T7" s="59" t="n">
        <v>0.0183</v>
      </c>
      <c r="U7" s="59" t="n">
        <v>0.0108</v>
      </c>
      <c r="V7" s="59" t="n">
        <v>0.0007</v>
      </c>
      <c r="W7" s="45" t="n">
        <v>1500</v>
      </c>
      <c r="X7" s="45" t="n">
        <v>1000</v>
      </c>
      <c r="Y7" s="59" t="n">
        <v>0.0603</v>
      </c>
      <c r="Z7" s="59" t="n">
        <v>0.05</v>
      </c>
      <c r="AA7" s="59" t="n">
        <v>0.03</v>
      </c>
      <c r="AB7" s="45" t="n">
        <v>1</v>
      </c>
      <c r="AC7" s="45" t="n">
        <v>0</v>
      </c>
      <c r="AD7" s="45" t="n">
        <v>1500</v>
      </c>
    </row>
    <row r="8">
      <c r="A8" s="58" t="n">
        <v>1848</v>
      </c>
      <c r="B8" s="46" t="n">
        <v>0.74</v>
      </c>
      <c r="C8" s="59" t="n">
        <v>0.008</v>
      </c>
      <c r="D8" s="45" t="n">
        <v>0</v>
      </c>
      <c r="E8" s="45" t="n">
        <v>15000</v>
      </c>
      <c r="F8" s="45" t="n">
        <v>0</v>
      </c>
      <c r="G8" s="45" t="n">
        <v>0</v>
      </c>
      <c r="H8" s="45" t="n">
        <v>0</v>
      </c>
      <c r="I8" s="59" t="n">
        <v>0.2</v>
      </c>
      <c r="J8" s="59" t="n">
        <v>0.2</v>
      </c>
      <c r="K8" s="45" t="n">
        <v>0</v>
      </c>
      <c r="L8" s="59" t="n">
        <v>0.04</v>
      </c>
      <c r="M8" s="46" t="n">
        <v>1</v>
      </c>
      <c r="N8" s="59" t="n">
        <v>0.2933</v>
      </c>
      <c r="O8" s="59" t="n">
        <v>0.08</v>
      </c>
      <c r="P8" s="59" t="n">
        <v>0.03</v>
      </c>
      <c r="Q8" s="59" t="n">
        <v>0.85</v>
      </c>
      <c r="R8" s="60" t="n">
        <v>4e-05</v>
      </c>
      <c r="S8" s="52" t="n">
        <v>0</v>
      </c>
      <c r="T8" s="59" t="n">
        <v>0.0187</v>
      </c>
      <c r="U8" s="59" t="n">
        <v>0.0117</v>
      </c>
      <c r="V8" s="59" t="n">
        <v>0.0013</v>
      </c>
      <c r="W8" s="45" t="n">
        <v>1000</v>
      </c>
      <c r="X8" s="45" t="n">
        <v>2000</v>
      </c>
      <c r="Y8" s="59" t="n">
        <v>0.0605</v>
      </c>
      <c r="Z8" s="59" t="n">
        <v>0.05</v>
      </c>
      <c r="AA8" s="59" t="n">
        <v>0.03</v>
      </c>
      <c r="AB8" s="45" t="n">
        <v>1</v>
      </c>
      <c r="AC8" s="45" t="n">
        <v>0</v>
      </c>
      <c r="AD8" s="45" t="n">
        <v>1500</v>
      </c>
    </row>
    <row r="9">
      <c r="A9" s="58" t="n">
        <v>1849</v>
      </c>
      <c r="B9" s="46" t="n">
        <v>1.18</v>
      </c>
      <c r="C9" s="59" t="n">
        <v>0.008</v>
      </c>
      <c r="D9" s="45" t="n">
        <v>0</v>
      </c>
      <c r="E9" s="45" t="n">
        <v>60000</v>
      </c>
      <c r="F9" s="45" t="n">
        <v>300</v>
      </c>
      <c r="G9" s="45" t="n">
        <v>0</v>
      </c>
      <c r="H9" s="45" t="n">
        <v>0</v>
      </c>
      <c r="I9" s="59" t="n">
        <v>0.35</v>
      </c>
      <c r="J9" s="59" t="n">
        <v>0.2</v>
      </c>
      <c r="K9" s="45" t="n">
        <v>0</v>
      </c>
      <c r="L9" s="59" t="n">
        <v>0.04</v>
      </c>
      <c r="M9" s="46" t="n">
        <v>1</v>
      </c>
      <c r="N9" s="59" t="n">
        <v>0.29</v>
      </c>
      <c r="O9" s="59" t="n">
        <v>0.08</v>
      </c>
      <c r="P9" s="59" t="n">
        <v>0.06</v>
      </c>
      <c r="Q9" s="59" t="n">
        <v>0.85</v>
      </c>
      <c r="R9" s="60" t="n">
        <v>6e-05</v>
      </c>
      <c r="S9" s="52" t="n">
        <v>0</v>
      </c>
      <c r="T9" s="59" t="n">
        <v>0.019</v>
      </c>
      <c r="U9" s="59" t="n">
        <v>0.0125</v>
      </c>
      <c r="V9" s="59" t="n">
        <v>0.002</v>
      </c>
      <c r="W9" s="45" t="n">
        <v>1200</v>
      </c>
      <c r="X9" s="45" t="n">
        <v>3000</v>
      </c>
      <c r="Y9" s="59" t="n">
        <v>0.0608</v>
      </c>
      <c r="Z9" s="59" t="n">
        <v>0.05</v>
      </c>
      <c r="AA9" s="59" t="n">
        <v>0.03</v>
      </c>
      <c r="AB9" s="45" t="n">
        <v>1</v>
      </c>
      <c r="AC9" s="45" t="n">
        <v>0</v>
      </c>
      <c r="AD9" s="45" t="n">
        <v>1500</v>
      </c>
    </row>
    <row r="10">
      <c r="A10" s="58" t="n">
        <v>1850</v>
      </c>
      <c r="B10" s="46" t="n">
        <v>1.1</v>
      </c>
      <c r="C10" s="59" t="n">
        <v>0.008</v>
      </c>
      <c r="D10" s="45" t="n">
        <v>0</v>
      </c>
      <c r="E10" s="45" t="n">
        <v>50000</v>
      </c>
      <c r="F10" s="45" t="n">
        <v>4000</v>
      </c>
      <c r="G10" s="45" t="n">
        <v>0</v>
      </c>
      <c r="H10" s="45" t="n">
        <v>0</v>
      </c>
      <c r="I10" s="59" t="n">
        <v>0.35</v>
      </c>
      <c r="J10" s="59" t="n">
        <v>0.2</v>
      </c>
      <c r="K10" s="45" t="n">
        <v>0</v>
      </c>
      <c r="L10" s="59" t="n">
        <v>0.04</v>
      </c>
      <c r="M10" s="46" t="n">
        <v>1</v>
      </c>
      <c r="N10" s="59" t="n">
        <v>0.2867</v>
      </c>
      <c r="O10" s="59" t="n">
        <v>0.08</v>
      </c>
      <c r="P10" s="59" t="n">
        <v>0.06</v>
      </c>
      <c r="Q10" s="59" t="n">
        <v>0.85</v>
      </c>
      <c r="R10" s="60" t="n">
        <v>8.000000000000001e-05</v>
      </c>
      <c r="S10" s="52" t="n">
        <v>0</v>
      </c>
      <c r="T10" s="59" t="n">
        <v>0.0193</v>
      </c>
      <c r="U10" s="59" t="n">
        <v>0.0133</v>
      </c>
      <c r="V10" s="59" t="n">
        <v>0.0027</v>
      </c>
      <c r="W10" s="45" t="n">
        <v>1500</v>
      </c>
      <c r="X10" s="45" t="n">
        <v>4000</v>
      </c>
      <c r="Y10" s="59" t="n">
        <v>0.0611</v>
      </c>
      <c r="Z10" s="59" t="n">
        <v>0.05</v>
      </c>
      <c r="AA10" s="59" t="n">
        <v>0.03</v>
      </c>
      <c r="AB10" s="45" t="n">
        <v>1</v>
      </c>
      <c r="AC10" s="45" t="n">
        <v>0</v>
      </c>
      <c r="AD10" s="45" t="n">
        <v>1500</v>
      </c>
    </row>
    <row r="11">
      <c r="A11" s="58" t="n">
        <v>1851</v>
      </c>
      <c r="B11" s="46" t="n">
        <v>1.02</v>
      </c>
      <c r="C11" s="59" t="n">
        <v>0.008</v>
      </c>
      <c r="D11" s="45" t="n">
        <v>0</v>
      </c>
      <c r="E11" s="45" t="n">
        <v>40000</v>
      </c>
      <c r="F11" s="45" t="n">
        <v>3000</v>
      </c>
      <c r="G11" s="45" t="n">
        <v>0</v>
      </c>
      <c r="H11" s="45" t="n">
        <v>0</v>
      </c>
      <c r="I11" s="59" t="n">
        <v>0.35</v>
      </c>
      <c r="J11" s="59" t="n">
        <v>0.2</v>
      </c>
      <c r="K11" s="45" t="n">
        <v>0</v>
      </c>
      <c r="L11" s="59" t="n">
        <v>0.04</v>
      </c>
      <c r="M11" s="46" t="n">
        <v>1</v>
      </c>
      <c r="N11" s="59" t="n">
        <v>0.2833</v>
      </c>
      <c r="O11" s="59" t="n">
        <v>0.08</v>
      </c>
      <c r="P11" s="59" t="n">
        <v>0.06</v>
      </c>
      <c r="Q11" s="59" t="n">
        <v>0.85</v>
      </c>
      <c r="R11" s="60" t="n">
        <v>0.0001</v>
      </c>
      <c r="S11" s="52" t="n">
        <v>0</v>
      </c>
      <c r="T11" s="59" t="n">
        <v>0.0197</v>
      </c>
      <c r="U11" s="59" t="n">
        <v>0.0142</v>
      </c>
      <c r="V11" s="59" t="n">
        <v>0.0033</v>
      </c>
      <c r="W11" s="45" t="n">
        <v>2200</v>
      </c>
      <c r="X11" s="45" t="n">
        <v>6000</v>
      </c>
      <c r="Y11" s="59" t="n">
        <v>0.0613</v>
      </c>
      <c r="Z11" s="59" t="n">
        <v>0.05</v>
      </c>
      <c r="AA11" s="59" t="n">
        <v>0.03</v>
      </c>
      <c r="AB11" s="45" t="n">
        <v>1</v>
      </c>
      <c r="AC11" s="45" t="n">
        <v>0</v>
      </c>
      <c r="AD11" s="45" t="n">
        <v>1535</v>
      </c>
    </row>
    <row r="12">
      <c r="A12" s="58" t="n">
        <v>1852</v>
      </c>
      <c r="B12" s="46" t="n">
        <v>1</v>
      </c>
      <c r="C12" s="59" t="n">
        <v>0.008</v>
      </c>
      <c r="D12" s="45" t="n">
        <v>0</v>
      </c>
      <c r="E12" s="45" t="n">
        <v>55000</v>
      </c>
      <c r="F12" s="45" t="n">
        <v>20000</v>
      </c>
      <c r="G12" s="45" t="n">
        <v>0</v>
      </c>
      <c r="H12" s="45" t="n">
        <v>0</v>
      </c>
      <c r="I12" s="59" t="n">
        <v>0.35</v>
      </c>
      <c r="J12" s="59" t="n">
        <v>0.4</v>
      </c>
      <c r="K12" s="45" t="n">
        <v>0</v>
      </c>
      <c r="L12" s="59" t="n">
        <v>0.04</v>
      </c>
      <c r="M12" s="46" t="n">
        <v>1</v>
      </c>
      <c r="N12" s="59" t="n">
        <v>0.28</v>
      </c>
      <c r="O12" s="59" t="n">
        <v>0.12</v>
      </c>
      <c r="P12" s="59" t="n">
        <v>0.075</v>
      </c>
      <c r="Q12" s="59" t="n">
        <v>0.85</v>
      </c>
      <c r="R12" s="60" t="n">
        <v>0.00013</v>
      </c>
      <c r="S12" s="52" t="n">
        <v>0</v>
      </c>
      <c r="T12" s="59" t="n">
        <v>0.02</v>
      </c>
      <c r="U12" s="59" t="n">
        <v>0.015</v>
      </c>
      <c r="V12" s="59" t="n">
        <v>0.004</v>
      </c>
      <c r="W12" s="45" t="n">
        <v>3000</v>
      </c>
      <c r="X12" s="45" t="n">
        <v>7000</v>
      </c>
      <c r="Y12" s="59" t="n">
        <v>0.0616</v>
      </c>
      <c r="Z12" s="59" t="n">
        <v>0.05</v>
      </c>
      <c r="AA12" s="59" t="n">
        <v>0.03</v>
      </c>
      <c r="AB12" s="45" t="n">
        <v>1</v>
      </c>
      <c r="AC12" s="45" t="n">
        <v>0</v>
      </c>
      <c r="AD12" s="45" t="n">
        <v>1570</v>
      </c>
    </row>
    <row r="13">
      <c r="A13" s="58" t="n">
        <v>1853</v>
      </c>
      <c r="B13" s="46" t="n">
        <v>0.99</v>
      </c>
      <c r="C13" s="59" t="n">
        <v>0.008</v>
      </c>
      <c r="D13" s="45" t="n">
        <v>0</v>
      </c>
      <c r="E13" s="45" t="n">
        <v>40000</v>
      </c>
      <c r="F13" s="45" t="n">
        <v>6000</v>
      </c>
      <c r="G13" s="45" t="n">
        <v>0</v>
      </c>
      <c r="H13" s="45" t="n">
        <v>0</v>
      </c>
      <c r="I13" s="59" t="n">
        <v>0.35</v>
      </c>
      <c r="J13" s="59" t="n">
        <v>0.4</v>
      </c>
      <c r="K13" s="45" t="n">
        <v>0</v>
      </c>
      <c r="L13" s="59" t="n">
        <v>0.04</v>
      </c>
      <c r="M13" s="46" t="n">
        <v>1</v>
      </c>
      <c r="N13" s="59" t="n">
        <v>0.2783</v>
      </c>
      <c r="O13" s="59" t="n">
        <v>0.12</v>
      </c>
      <c r="P13" s="59" t="n">
        <v>0.075</v>
      </c>
      <c r="Q13" s="59" t="n">
        <v>0.85</v>
      </c>
      <c r="R13" s="60" t="n">
        <v>0.00015</v>
      </c>
      <c r="S13" s="52" t="n">
        <v>0</v>
      </c>
      <c r="T13" s="59" t="n">
        <v>0.0202</v>
      </c>
      <c r="U13" s="59" t="n">
        <v>0.0158</v>
      </c>
      <c r="V13" s="59" t="n">
        <v>0.0045</v>
      </c>
      <c r="W13" s="45" t="n">
        <v>3700</v>
      </c>
      <c r="X13" s="45" t="n">
        <v>8000</v>
      </c>
      <c r="Y13" s="59" t="n">
        <v>0.0618</v>
      </c>
      <c r="Z13" s="59" t="n">
        <v>0.05</v>
      </c>
      <c r="AA13" s="59" t="n">
        <v>0.03</v>
      </c>
      <c r="AB13" s="45" t="n">
        <v>1</v>
      </c>
      <c r="AC13" s="45" t="n">
        <v>0</v>
      </c>
      <c r="AD13" s="45" t="n">
        <v>1605</v>
      </c>
    </row>
    <row r="14">
      <c r="A14" s="58" t="n">
        <v>1854</v>
      </c>
      <c r="B14" s="46" t="n">
        <v>0.97</v>
      </c>
      <c r="C14" s="59" t="n">
        <v>0.008</v>
      </c>
      <c r="D14" s="45" t="n">
        <v>0</v>
      </c>
      <c r="E14" s="45" t="n">
        <v>35000</v>
      </c>
      <c r="F14" s="45" t="n">
        <v>6000</v>
      </c>
      <c r="G14" s="45" t="n">
        <v>0</v>
      </c>
      <c r="H14" s="45" t="n">
        <v>0</v>
      </c>
      <c r="I14" s="59" t="n">
        <v>0.35</v>
      </c>
      <c r="J14" s="59" t="n">
        <v>0.4</v>
      </c>
      <c r="K14" s="45" t="n">
        <v>0</v>
      </c>
      <c r="L14" s="59" t="n">
        <v>0.04</v>
      </c>
      <c r="M14" s="46" t="n">
        <v>1</v>
      </c>
      <c r="N14" s="59" t="n">
        <v>0.2767</v>
      </c>
      <c r="O14" s="59" t="n">
        <v>0.12</v>
      </c>
      <c r="P14" s="59" t="n">
        <v>0.075</v>
      </c>
      <c r="Q14" s="59" t="n">
        <v>0.85</v>
      </c>
      <c r="R14" s="60" t="n">
        <v>0.00017</v>
      </c>
      <c r="S14" s="52" t="n">
        <v>0</v>
      </c>
      <c r="T14" s="59" t="n">
        <v>0.0203</v>
      </c>
      <c r="U14" s="59" t="n">
        <v>0.0165</v>
      </c>
      <c r="V14" s="59" t="n">
        <v>0.005</v>
      </c>
      <c r="W14" s="45" t="n">
        <v>4300</v>
      </c>
      <c r="X14" s="45" t="n">
        <v>9000</v>
      </c>
      <c r="Y14" s="59" t="n">
        <v>0.0621</v>
      </c>
      <c r="Z14" s="59" t="n">
        <v>0.05</v>
      </c>
      <c r="AA14" s="59" t="n">
        <v>0.03</v>
      </c>
      <c r="AB14" s="45" t="n">
        <v>1</v>
      </c>
      <c r="AC14" s="45" t="n">
        <v>0</v>
      </c>
      <c r="AD14" s="45" t="n">
        <v>1640</v>
      </c>
    </row>
    <row r="15">
      <c r="A15" s="58" t="n">
        <v>1855</v>
      </c>
      <c r="B15" s="46" t="n">
        <v>0.95</v>
      </c>
      <c r="C15" s="59" t="n">
        <v>0.008</v>
      </c>
      <c r="D15" s="45" t="n">
        <v>0</v>
      </c>
      <c r="E15" s="45" t="n">
        <v>30000</v>
      </c>
      <c r="F15" s="45" t="n">
        <v>6000</v>
      </c>
      <c r="G15" s="45" t="n">
        <v>0</v>
      </c>
      <c r="H15" s="45" t="n">
        <v>0</v>
      </c>
      <c r="I15" s="59" t="n">
        <v>0.35</v>
      </c>
      <c r="J15" s="59" t="n">
        <v>0.4</v>
      </c>
      <c r="K15" s="45" t="n">
        <v>0</v>
      </c>
      <c r="L15" s="59" t="n">
        <v>0.04</v>
      </c>
      <c r="M15" s="46" t="n">
        <v>1</v>
      </c>
      <c r="N15" s="59" t="n">
        <v>0.275</v>
      </c>
      <c r="O15" s="59" t="n">
        <v>0.12</v>
      </c>
      <c r="P15" s="59" t="n">
        <v>0.08500000000000001</v>
      </c>
      <c r="Q15" s="59" t="n">
        <v>0.85</v>
      </c>
      <c r="R15" s="60" t="n">
        <v>0.00019</v>
      </c>
      <c r="S15" s="52" t="n">
        <v>0</v>
      </c>
      <c r="T15" s="59" t="n">
        <v>0.0205</v>
      </c>
      <c r="U15" s="59" t="n">
        <v>0.0172</v>
      </c>
      <c r="V15" s="59" t="n">
        <v>0.0055</v>
      </c>
      <c r="W15" s="45" t="n">
        <v>5000</v>
      </c>
      <c r="X15" s="45" t="n">
        <v>10000</v>
      </c>
      <c r="Y15" s="59" t="n">
        <v>0.0624</v>
      </c>
      <c r="Z15" s="59" t="n">
        <v>0.05</v>
      </c>
      <c r="AA15" s="59" t="n">
        <v>0.03</v>
      </c>
      <c r="AB15" s="45" t="n">
        <v>1</v>
      </c>
      <c r="AC15" s="45" t="n">
        <v>0</v>
      </c>
      <c r="AD15" s="45" t="n">
        <v>1675</v>
      </c>
    </row>
    <row r="16">
      <c r="A16" s="58" t="n">
        <v>1856</v>
      </c>
      <c r="B16" s="46" t="n">
        <v>0.9350000000000001</v>
      </c>
      <c r="C16" s="59" t="n">
        <v>0.011</v>
      </c>
      <c r="D16" s="45" t="n">
        <v>72000</v>
      </c>
      <c r="E16" s="45" t="n">
        <v>30000</v>
      </c>
      <c r="F16" s="45" t="n">
        <v>6000</v>
      </c>
      <c r="G16" s="45" t="n">
        <v>0</v>
      </c>
      <c r="H16" s="45" t="n">
        <v>0</v>
      </c>
      <c r="I16" s="59" t="n">
        <v>0.2</v>
      </c>
      <c r="J16" s="59" t="n">
        <v>0.4</v>
      </c>
      <c r="K16" s="45" t="n">
        <v>0</v>
      </c>
      <c r="L16" s="59" t="n">
        <v>0.025</v>
      </c>
      <c r="M16" s="46" t="n">
        <v>1</v>
      </c>
      <c r="N16" s="59" t="n">
        <v>0.2733</v>
      </c>
      <c r="O16" s="59" t="n">
        <v>0.12</v>
      </c>
      <c r="P16" s="59" t="n">
        <v>0.08500000000000001</v>
      </c>
      <c r="Q16" s="59" t="n">
        <v>0.85</v>
      </c>
      <c r="R16" s="60" t="n">
        <v>0.00021</v>
      </c>
      <c r="S16" s="52" t="n">
        <v>0</v>
      </c>
      <c r="T16" s="59" t="n">
        <v>0.0206</v>
      </c>
      <c r="U16" s="59" t="n">
        <v>0.018</v>
      </c>
      <c r="V16" s="59" t="n">
        <v>0.006</v>
      </c>
      <c r="W16" s="45" t="n">
        <v>6300</v>
      </c>
      <c r="X16" s="45" t="n">
        <v>23000</v>
      </c>
      <c r="Y16" s="59" t="n">
        <v>0.0626</v>
      </c>
      <c r="Z16" s="59" t="n">
        <v>0.05</v>
      </c>
      <c r="AA16" s="59" t="n">
        <v>0.03</v>
      </c>
      <c r="AB16" s="45" t="n">
        <v>1</v>
      </c>
      <c r="AC16" s="45" t="n">
        <v>0</v>
      </c>
      <c r="AD16" s="45" t="n">
        <v>1710</v>
      </c>
    </row>
    <row r="17">
      <c r="A17" s="58" t="n">
        <v>1857</v>
      </c>
      <c r="B17" s="46" t="n">
        <v>0.92</v>
      </c>
      <c r="C17" s="59" t="n">
        <v>0.011</v>
      </c>
      <c r="D17" s="45" t="n">
        <v>0</v>
      </c>
      <c r="E17" s="45" t="n">
        <v>30000</v>
      </c>
      <c r="F17" s="45" t="n">
        <v>6000</v>
      </c>
      <c r="G17" s="45" t="n">
        <v>0</v>
      </c>
      <c r="H17" s="45" t="n">
        <v>0</v>
      </c>
      <c r="I17" s="59" t="n">
        <v>0.2</v>
      </c>
      <c r="J17" s="59" t="n">
        <v>0.4</v>
      </c>
      <c r="K17" s="45" t="n">
        <v>0</v>
      </c>
      <c r="L17" s="59" t="n">
        <v>0.025</v>
      </c>
      <c r="M17" s="46" t="n">
        <v>0.97</v>
      </c>
      <c r="N17" s="59" t="n">
        <v>0.2717</v>
      </c>
      <c r="O17" s="59" t="n">
        <v>0.12</v>
      </c>
      <c r="P17" s="59" t="n">
        <v>0.08500000000000001</v>
      </c>
      <c r="Q17" s="59" t="n">
        <v>0.85</v>
      </c>
      <c r="R17" s="60" t="n">
        <v>0.00023</v>
      </c>
      <c r="S17" s="52" t="n">
        <v>0</v>
      </c>
      <c r="T17" s="59" t="n">
        <v>0.0208</v>
      </c>
      <c r="U17" s="59" t="n">
        <v>0.0181</v>
      </c>
      <c r="V17" s="59" t="n">
        <v>0.0061</v>
      </c>
      <c r="W17" s="45" t="n">
        <v>7700</v>
      </c>
      <c r="X17" s="45" t="n">
        <v>37000</v>
      </c>
      <c r="Y17" s="59" t="n">
        <v>0.0629</v>
      </c>
      <c r="Z17" s="59" t="n">
        <v>0.05</v>
      </c>
      <c r="AA17" s="59" t="n">
        <v>0.03</v>
      </c>
      <c r="AB17" s="45" t="n">
        <v>1</v>
      </c>
      <c r="AC17" s="45" t="n">
        <v>0</v>
      </c>
      <c r="AD17" s="45" t="n">
        <v>1745</v>
      </c>
    </row>
    <row r="18">
      <c r="A18" s="58" t="n">
        <v>1858</v>
      </c>
      <c r="B18" s="46" t="n">
        <v>0.9067</v>
      </c>
      <c r="C18" s="59" t="n">
        <v>0.011</v>
      </c>
      <c r="D18" s="45" t="n">
        <v>0</v>
      </c>
      <c r="E18" s="45" t="n">
        <v>30000</v>
      </c>
      <c r="F18" s="45" t="n">
        <v>6000</v>
      </c>
      <c r="G18" s="45" t="n">
        <v>0</v>
      </c>
      <c r="H18" s="45" t="n">
        <v>0</v>
      </c>
      <c r="I18" s="59" t="n">
        <v>0.2</v>
      </c>
      <c r="J18" s="59" t="n">
        <v>0.4</v>
      </c>
      <c r="K18" s="45" t="n">
        <v>0</v>
      </c>
      <c r="L18" s="59" t="n">
        <v>0.025</v>
      </c>
      <c r="M18" s="46" t="n">
        <v>0.98</v>
      </c>
      <c r="N18" s="59" t="n">
        <v>0.27</v>
      </c>
      <c r="O18" s="59" t="n">
        <v>0.12</v>
      </c>
      <c r="P18" s="59" t="n">
        <v>0.08500000000000001</v>
      </c>
      <c r="Q18" s="59" t="n">
        <v>0.85</v>
      </c>
      <c r="R18" s="60" t="n">
        <v>0.00025</v>
      </c>
      <c r="S18" s="52" t="n">
        <v>0</v>
      </c>
      <c r="T18" s="59" t="n">
        <v>0.0209</v>
      </c>
      <c r="U18" s="59" t="n">
        <v>0.0182</v>
      </c>
      <c r="V18" s="59" t="n">
        <v>0.0062</v>
      </c>
      <c r="W18" s="45" t="n">
        <v>9000</v>
      </c>
      <c r="X18" s="45" t="n">
        <v>50000</v>
      </c>
      <c r="Y18" s="59" t="n">
        <v>0.06320000000000001</v>
      </c>
      <c r="Z18" s="59" t="n">
        <v>0.05</v>
      </c>
      <c r="AA18" s="59" t="n">
        <v>0.03</v>
      </c>
      <c r="AB18" s="45" t="n">
        <v>1</v>
      </c>
      <c r="AC18" s="45" t="n">
        <v>0</v>
      </c>
      <c r="AD18" s="45" t="n">
        <v>1780</v>
      </c>
    </row>
    <row r="19">
      <c r="A19" s="58" t="n">
        <v>1859</v>
      </c>
      <c r="B19" s="46" t="n">
        <v>0.8933</v>
      </c>
      <c r="C19" s="59" t="n">
        <v>0.011</v>
      </c>
      <c r="D19" s="45" t="n">
        <v>0</v>
      </c>
      <c r="E19" s="45" t="n">
        <v>30000</v>
      </c>
      <c r="F19" s="45" t="n">
        <v>6000</v>
      </c>
      <c r="G19" s="45" t="n">
        <v>0</v>
      </c>
      <c r="H19" s="45" t="n">
        <v>0</v>
      </c>
      <c r="I19" s="59" t="n">
        <v>0.2</v>
      </c>
      <c r="J19" s="59" t="n">
        <v>0.4</v>
      </c>
      <c r="K19" s="45" t="n">
        <v>0</v>
      </c>
      <c r="L19" s="59" t="n">
        <v>0.025</v>
      </c>
      <c r="M19" s="46" t="n">
        <v>1</v>
      </c>
      <c r="N19" s="59" t="n">
        <v>0.2683</v>
      </c>
      <c r="O19" s="59" t="n">
        <v>0.12</v>
      </c>
      <c r="P19" s="59" t="n">
        <v>0.08500000000000001</v>
      </c>
      <c r="Q19" s="59" t="n">
        <v>0.85</v>
      </c>
      <c r="R19" s="60" t="n">
        <v>0.00027</v>
      </c>
      <c r="S19" s="52" t="n">
        <v>0</v>
      </c>
      <c r="T19" s="59" t="n">
        <v>0.0211</v>
      </c>
      <c r="U19" s="59" t="n">
        <v>0.0182</v>
      </c>
      <c r="V19" s="59" t="n">
        <v>0.0063</v>
      </c>
      <c r="W19" s="45" t="n">
        <v>12000</v>
      </c>
      <c r="X19" s="45" t="n">
        <v>63000</v>
      </c>
      <c r="Y19" s="59" t="n">
        <v>0.0634</v>
      </c>
      <c r="Z19" s="59" t="n">
        <v>0.05</v>
      </c>
      <c r="AA19" s="59" t="n">
        <v>0.03</v>
      </c>
      <c r="AB19" s="45" t="n">
        <v>1</v>
      </c>
      <c r="AC19" s="45" t="n">
        <v>0</v>
      </c>
      <c r="AD19" s="45" t="n">
        <v>1815</v>
      </c>
    </row>
    <row r="20">
      <c r="A20" s="58" t="n">
        <v>1860</v>
      </c>
      <c r="B20" s="46" t="n">
        <v>0.88</v>
      </c>
      <c r="C20" s="59" t="n">
        <v>0.011</v>
      </c>
      <c r="D20" s="45" t="n">
        <v>0</v>
      </c>
      <c r="E20" s="45" t="n">
        <v>30000</v>
      </c>
      <c r="F20" s="45" t="n">
        <v>8000</v>
      </c>
      <c r="G20" s="45" t="n">
        <v>0</v>
      </c>
      <c r="H20" s="45" t="n">
        <v>0</v>
      </c>
      <c r="I20" s="59" t="n">
        <v>0.2</v>
      </c>
      <c r="J20" s="59" t="n">
        <v>0.4</v>
      </c>
      <c r="K20" s="45" t="n">
        <v>0</v>
      </c>
      <c r="L20" s="59" t="n">
        <v>0.025</v>
      </c>
      <c r="M20" s="46" t="n">
        <v>1</v>
      </c>
      <c r="N20" s="59" t="n">
        <v>0.2667</v>
      </c>
      <c r="O20" s="59" t="n">
        <v>0.12</v>
      </c>
      <c r="P20" s="59" t="n">
        <v>0.08500000000000001</v>
      </c>
      <c r="Q20" s="59" t="n">
        <v>0.85</v>
      </c>
      <c r="R20" s="60" t="n">
        <v>0.00029</v>
      </c>
      <c r="S20" s="52" t="n">
        <v>0</v>
      </c>
      <c r="T20" s="59" t="n">
        <v>0.0212</v>
      </c>
      <c r="U20" s="59" t="n">
        <v>0.0183</v>
      </c>
      <c r="V20" s="59" t="n">
        <v>0.0064</v>
      </c>
      <c r="W20" s="45" t="n">
        <v>15000</v>
      </c>
      <c r="X20" s="45" t="n">
        <v>77000</v>
      </c>
      <c r="Y20" s="59" t="n">
        <v>0.06370000000000001</v>
      </c>
      <c r="Z20" s="59" t="n">
        <v>0.05</v>
      </c>
      <c r="AA20" s="59" t="n">
        <v>0.03</v>
      </c>
      <c r="AB20" s="45" t="n">
        <v>1</v>
      </c>
      <c r="AC20" s="45" t="n">
        <v>0</v>
      </c>
      <c r="AD20" s="45" t="n">
        <v>1850</v>
      </c>
    </row>
    <row r="21">
      <c r="A21" s="61" t="n">
        <v>1861</v>
      </c>
      <c r="B21" s="46" t="n">
        <v>0.88</v>
      </c>
      <c r="C21" s="59" t="n">
        <v>0.011</v>
      </c>
      <c r="D21" s="45" t="n">
        <v>0</v>
      </c>
      <c r="E21" s="45" t="n">
        <v>35000</v>
      </c>
      <c r="F21" s="45" t="n">
        <v>8000</v>
      </c>
      <c r="G21" s="45" t="n">
        <v>0</v>
      </c>
      <c r="H21" s="45" t="n">
        <v>0</v>
      </c>
      <c r="I21" s="59" t="n">
        <v>0.2</v>
      </c>
      <c r="J21" s="59" t="n">
        <v>0.4</v>
      </c>
      <c r="K21" s="45" t="n">
        <v>0</v>
      </c>
      <c r="L21" s="59" t="n">
        <v>0.02</v>
      </c>
      <c r="M21" s="46" t="n">
        <v>0.98</v>
      </c>
      <c r="N21" s="59" t="n">
        <v>0.265</v>
      </c>
      <c r="O21" s="59" t="n">
        <v>0.12</v>
      </c>
      <c r="P21" s="59" t="n">
        <v>0.12</v>
      </c>
      <c r="Q21" s="59" t="n">
        <v>0.85</v>
      </c>
      <c r="R21" s="60" t="n">
        <v>0.00031</v>
      </c>
      <c r="S21" s="52" t="n">
        <v>0</v>
      </c>
      <c r="T21" s="59" t="n">
        <v>0.0214</v>
      </c>
      <c r="U21" s="59" t="n">
        <v>0.0184</v>
      </c>
      <c r="V21" s="59" t="n">
        <v>0.0065</v>
      </c>
      <c r="W21" s="45" t="n">
        <v>20000</v>
      </c>
      <c r="X21" s="45" t="n">
        <v>90000</v>
      </c>
      <c r="Y21" s="59" t="n">
        <v>0.0639</v>
      </c>
      <c r="Z21" s="59" t="n">
        <v>0.05</v>
      </c>
      <c r="AA21" s="59" t="n">
        <v>0.03</v>
      </c>
      <c r="AB21" s="45" t="n">
        <v>1</v>
      </c>
      <c r="AC21" s="45" t="n">
        <v>1</v>
      </c>
      <c r="AD21" s="45" t="n">
        <v>1885</v>
      </c>
    </row>
    <row r="22">
      <c r="A22" s="61" t="n">
        <v>1862</v>
      </c>
      <c r="B22" s="46" t="n">
        <v>0.88</v>
      </c>
      <c r="C22" s="59" t="n">
        <v>0.014</v>
      </c>
      <c r="D22" s="45" t="n">
        <v>177000</v>
      </c>
      <c r="E22" s="45" t="n">
        <v>35000</v>
      </c>
      <c r="F22" s="45" t="n">
        <v>8000</v>
      </c>
      <c r="G22" s="45" t="n">
        <v>0</v>
      </c>
      <c r="H22" s="45" t="n">
        <v>0</v>
      </c>
      <c r="I22" s="59" t="n">
        <v>0.2</v>
      </c>
      <c r="J22" s="59" t="n">
        <v>0.4</v>
      </c>
      <c r="K22" s="45" t="n">
        <v>0</v>
      </c>
      <c r="L22" s="59" t="n">
        <v>0.02</v>
      </c>
      <c r="M22" s="46" t="n">
        <v>0.97</v>
      </c>
      <c r="N22" s="59" t="n">
        <v>0.2633</v>
      </c>
      <c r="O22" s="59" t="n">
        <v>0.12</v>
      </c>
      <c r="P22" s="59" t="n">
        <v>0.12</v>
      </c>
      <c r="Q22" s="59" t="n">
        <v>0.85</v>
      </c>
      <c r="R22" s="60" t="n">
        <v>0.00033</v>
      </c>
      <c r="S22" s="52" t="n">
        <v>0</v>
      </c>
      <c r="T22" s="59" t="n">
        <v>0.0215</v>
      </c>
      <c r="U22" s="59" t="n">
        <v>0.0185</v>
      </c>
      <c r="V22" s="59" t="n">
        <v>0.0066</v>
      </c>
      <c r="W22" s="45" t="n">
        <v>38000</v>
      </c>
      <c r="X22" s="45" t="n">
        <v>98000</v>
      </c>
      <c r="Y22" s="59" t="n">
        <v>0.06419999999999999</v>
      </c>
      <c r="Z22" s="59" t="n">
        <v>0.05</v>
      </c>
      <c r="AA22" s="59" t="n">
        <v>0.03</v>
      </c>
      <c r="AB22" s="45" t="n">
        <v>1</v>
      </c>
      <c r="AC22" s="45" t="n">
        <v>1</v>
      </c>
      <c r="AD22" s="45" t="n">
        <v>1920</v>
      </c>
    </row>
    <row r="23">
      <c r="A23" s="61" t="n">
        <v>1863</v>
      </c>
      <c r="B23" s="46" t="n">
        <v>0.9033</v>
      </c>
      <c r="C23" s="59" t="n">
        <v>0.014</v>
      </c>
      <c r="D23" s="45" t="n">
        <v>85000</v>
      </c>
      <c r="E23" s="45" t="n">
        <v>35000</v>
      </c>
      <c r="F23" s="45" t="n">
        <v>8000</v>
      </c>
      <c r="G23" s="45" t="n">
        <v>0</v>
      </c>
      <c r="H23" s="45" t="n">
        <v>0</v>
      </c>
      <c r="I23" s="59" t="n">
        <v>0.2</v>
      </c>
      <c r="J23" s="59" t="n">
        <v>0.4</v>
      </c>
      <c r="K23" s="45" t="n">
        <v>0</v>
      </c>
      <c r="L23" s="59" t="n">
        <v>0.02</v>
      </c>
      <c r="M23" s="46" t="n">
        <v>0.98</v>
      </c>
      <c r="N23" s="59" t="n">
        <v>0.2617</v>
      </c>
      <c r="O23" s="59" t="n">
        <v>0.12</v>
      </c>
      <c r="P23" s="59" t="n">
        <v>0.12</v>
      </c>
      <c r="Q23" s="59" t="n">
        <v>0.85</v>
      </c>
      <c r="R23" s="60" t="n">
        <v>0.00035</v>
      </c>
      <c r="S23" s="52" t="n">
        <v>0</v>
      </c>
      <c r="T23" s="59" t="n">
        <v>0.0217</v>
      </c>
      <c r="U23" s="59" t="n">
        <v>0.0186</v>
      </c>
      <c r="V23" s="59" t="n">
        <v>0.0067</v>
      </c>
      <c r="W23" s="45" t="n">
        <v>42000</v>
      </c>
      <c r="X23" s="45" t="n">
        <v>105000</v>
      </c>
      <c r="Y23" s="59" t="n">
        <v>0.0645</v>
      </c>
      <c r="Z23" s="59" t="n">
        <v>0.05</v>
      </c>
      <c r="AA23" s="59" t="n">
        <v>0.03</v>
      </c>
      <c r="AB23" s="45" t="n">
        <v>1</v>
      </c>
      <c r="AC23" s="45" t="n">
        <v>1</v>
      </c>
      <c r="AD23" s="45" t="n">
        <v>1955</v>
      </c>
    </row>
    <row r="24">
      <c r="A24" s="61" t="n">
        <v>1864</v>
      </c>
      <c r="B24" s="46" t="n">
        <v>0.9267</v>
      </c>
      <c r="C24" s="59" t="n">
        <v>0.014</v>
      </c>
      <c r="D24" s="45" t="n">
        <v>25000</v>
      </c>
      <c r="E24" s="45" t="n">
        <v>35000</v>
      </c>
      <c r="F24" s="45" t="n">
        <v>8000</v>
      </c>
      <c r="G24" s="45" t="n">
        <v>0</v>
      </c>
      <c r="H24" s="45" t="n">
        <v>0</v>
      </c>
      <c r="I24" s="59" t="n">
        <v>0.2</v>
      </c>
      <c r="J24" s="59" t="n">
        <v>0.4</v>
      </c>
      <c r="K24" s="45" t="n">
        <v>0</v>
      </c>
      <c r="L24" s="59" t="n">
        <v>0.02</v>
      </c>
      <c r="M24" s="46" t="n">
        <v>1</v>
      </c>
      <c r="N24" s="59" t="n">
        <v>0.26</v>
      </c>
      <c r="O24" s="59" t="n">
        <v>0.12</v>
      </c>
      <c r="P24" s="59" t="n">
        <v>0.12</v>
      </c>
      <c r="Q24" s="59" t="n">
        <v>0.85</v>
      </c>
      <c r="R24" s="60" t="n">
        <v>0.00038</v>
      </c>
      <c r="S24" s="52" t="n">
        <v>0</v>
      </c>
      <c r="T24" s="59" t="n">
        <v>0.0218</v>
      </c>
      <c r="U24" s="59" t="n">
        <v>0.0187</v>
      </c>
      <c r="V24" s="59" t="n">
        <v>0.0068</v>
      </c>
      <c r="W24" s="45" t="n">
        <v>42000</v>
      </c>
      <c r="X24" s="45" t="n">
        <v>112000</v>
      </c>
      <c r="Y24" s="59" t="n">
        <v>0.06469999999999999</v>
      </c>
      <c r="Z24" s="59" t="n">
        <v>0.05</v>
      </c>
      <c r="AA24" s="59" t="n">
        <v>0.03</v>
      </c>
      <c r="AB24" s="45" t="n">
        <v>1</v>
      </c>
      <c r="AC24" s="45" t="n">
        <v>1</v>
      </c>
      <c r="AD24" s="45" t="n">
        <v>1990</v>
      </c>
    </row>
    <row r="25">
      <c r="A25" s="61" t="n">
        <v>1865</v>
      </c>
      <c r="B25" s="46" t="n">
        <v>0.95</v>
      </c>
      <c r="C25" s="59" t="n">
        <v>0.014</v>
      </c>
      <c r="D25" s="45" t="n">
        <v>10000</v>
      </c>
      <c r="E25" s="45" t="n">
        <v>35000</v>
      </c>
      <c r="F25" s="45" t="n">
        <v>8000</v>
      </c>
      <c r="G25" s="45" t="n">
        <v>0</v>
      </c>
      <c r="H25" s="45" t="n">
        <v>0</v>
      </c>
      <c r="I25" s="59" t="n">
        <v>0.2</v>
      </c>
      <c r="J25" s="59" t="n">
        <v>0.4</v>
      </c>
      <c r="K25" s="45" t="n">
        <v>0</v>
      </c>
      <c r="L25" s="59" t="n">
        <v>0.02</v>
      </c>
      <c r="M25" s="46" t="n">
        <v>1</v>
      </c>
      <c r="N25" s="59" t="n">
        <v>0.2583</v>
      </c>
      <c r="O25" s="59" t="n">
        <v>0.12</v>
      </c>
      <c r="P25" s="59" t="n">
        <v>0.12</v>
      </c>
      <c r="Q25" s="59" t="n">
        <v>0.85</v>
      </c>
      <c r="R25" s="60" t="n">
        <v>0.0004</v>
      </c>
      <c r="S25" s="52" t="n">
        <v>0</v>
      </c>
      <c r="T25" s="59" t="n">
        <v>0.022</v>
      </c>
      <c r="U25" s="59" t="n">
        <v>0.0187</v>
      </c>
      <c r="V25" s="59" t="n">
        <v>0.0069</v>
      </c>
      <c r="W25" s="45" t="n">
        <v>32000</v>
      </c>
      <c r="X25" s="45" t="n">
        <v>120000</v>
      </c>
      <c r="Y25" s="59" t="n">
        <v>0.065</v>
      </c>
      <c r="Z25" s="59" t="n">
        <v>0.05</v>
      </c>
      <c r="AA25" s="59" t="n">
        <v>0.03</v>
      </c>
      <c r="AB25" s="45" t="n">
        <v>1</v>
      </c>
      <c r="AC25" s="45" t="n">
        <v>1</v>
      </c>
      <c r="AD25" s="45" t="n">
        <v>2025</v>
      </c>
    </row>
    <row r="26">
      <c r="A26" s="58" t="n">
        <v>1866</v>
      </c>
      <c r="B26" s="46" t="n">
        <v>0.95</v>
      </c>
      <c r="C26" s="59" t="n">
        <v>0.014</v>
      </c>
      <c r="D26" s="45" t="n">
        <v>0</v>
      </c>
      <c r="E26" s="45" t="n">
        <v>80000</v>
      </c>
      <c r="F26" s="45" t="n">
        <v>8000</v>
      </c>
      <c r="G26" s="45" t="n">
        <v>0</v>
      </c>
      <c r="H26" s="45" t="n">
        <v>0</v>
      </c>
      <c r="I26" s="59" t="n">
        <v>0.2</v>
      </c>
      <c r="J26" s="59" t="n">
        <v>0.4</v>
      </c>
      <c r="K26" s="45" t="n">
        <v>0</v>
      </c>
      <c r="L26" s="59" t="n">
        <v>0.02</v>
      </c>
      <c r="M26" s="46" t="n">
        <v>1</v>
      </c>
      <c r="N26" s="59" t="n">
        <v>0.2567</v>
      </c>
      <c r="O26" s="59" t="n">
        <v>0.12</v>
      </c>
      <c r="P26" s="59" t="n">
        <v>0.115</v>
      </c>
      <c r="Q26" s="59" t="n">
        <v>0.85</v>
      </c>
      <c r="R26" s="60" t="n">
        <v>0.00042</v>
      </c>
      <c r="S26" s="52" t="n">
        <v>0</v>
      </c>
      <c r="T26" s="59" t="n">
        <v>0.0223</v>
      </c>
      <c r="U26" s="59" t="n">
        <v>0.0188</v>
      </c>
      <c r="V26" s="59" t="n">
        <v>0.007</v>
      </c>
      <c r="W26" s="45" t="n">
        <v>22000</v>
      </c>
      <c r="X26" s="45" t="n">
        <v>120000</v>
      </c>
      <c r="Y26" s="59" t="n">
        <v>0.0643</v>
      </c>
      <c r="Z26" s="59" t="n">
        <v>0.05</v>
      </c>
      <c r="AA26" s="59" t="n">
        <v>0.03</v>
      </c>
      <c r="AB26" s="45" t="n">
        <v>1</v>
      </c>
      <c r="AC26" s="45" t="n">
        <v>0</v>
      </c>
      <c r="AD26" s="45" t="n">
        <v>2060</v>
      </c>
    </row>
    <row r="27">
      <c r="A27" s="58" t="n">
        <v>1867</v>
      </c>
      <c r="B27" s="46" t="n">
        <v>0.95</v>
      </c>
      <c r="C27" s="59" t="n">
        <v>0.014</v>
      </c>
      <c r="D27" s="45" t="n">
        <v>50000</v>
      </c>
      <c r="E27" s="45" t="n">
        <v>80000</v>
      </c>
      <c r="F27" s="45" t="n">
        <v>8000</v>
      </c>
      <c r="G27" s="45" t="n">
        <v>0</v>
      </c>
      <c r="H27" s="45" t="n">
        <v>0</v>
      </c>
      <c r="I27" s="59" t="n">
        <v>0.2</v>
      </c>
      <c r="J27" s="59" t="n">
        <v>0.4</v>
      </c>
      <c r="K27" s="45" t="n">
        <v>0</v>
      </c>
      <c r="L27" s="59" t="n">
        <v>0.02</v>
      </c>
      <c r="M27" s="46" t="n">
        <v>1</v>
      </c>
      <c r="N27" s="59" t="n">
        <v>0.255</v>
      </c>
      <c r="O27" s="59" t="n">
        <v>0.12</v>
      </c>
      <c r="P27" s="59" t="n">
        <v>0.115</v>
      </c>
      <c r="Q27" s="59" t="n">
        <v>0.85</v>
      </c>
      <c r="R27" s="60" t="n">
        <v>0.00044</v>
      </c>
      <c r="S27" s="52" t="n">
        <v>0</v>
      </c>
      <c r="T27" s="59" t="n">
        <v>0.0225</v>
      </c>
      <c r="U27" s="59" t="n">
        <v>0.0189</v>
      </c>
      <c r="V27" s="59" t="n">
        <v>0.0071</v>
      </c>
      <c r="W27" s="45" t="n">
        <v>18000</v>
      </c>
      <c r="X27" s="45" t="n">
        <v>120000</v>
      </c>
      <c r="Y27" s="59" t="n">
        <v>0.0636</v>
      </c>
      <c r="Z27" s="59" t="n">
        <v>0.05</v>
      </c>
      <c r="AA27" s="59" t="n">
        <v>0.03</v>
      </c>
      <c r="AB27" s="45" t="n">
        <v>1</v>
      </c>
      <c r="AC27" s="45" t="n">
        <v>0</v>
      </c>
      <c r="AD27" s="45" t="n">
        <v>2095</v>
      </c>
    </row>
    <row r="28">
      <c r="A28" s="58" t="n">
        <v>1868</v>
      </c>
      <c r="B28" s="46" t="n">
        <v>0.95</v>
      </c>
      <c r="C28" s="59" t="n">
        <v>0.019</v>
      </c>
      <c r="D28" s="45" t="n">
        <v>0</v>
      </c>
      <c r="E28" s="45" t="n">
        <v>80000</v>
      </c>
      <c r="F28" s="45" t="n">
        <v>15000</v>
      </c>
      <c r="G28" s="45" t="n">
        <v>0</v>
      </c>
      <c r="H28" s="45" t="n">
        <v>0</v>
      </c>
      <c r="I28" s="59" t="n">
        <v>0.2</v>
      </c>
      <c r="J28" s="59" t="n">
        <v>0.4</v>
      </c>
      <c r="K28" s="45" t="n">
        <v>0</v>
      </c>
      <c r="L28" s="59" t="n">
        <v>0.02</v>
      </c>
      <c r="M28" s="46" t="n">
        <v>1</v>
      </c>
      <c r="N28" s="59" t="n">
        <v>0.2533</v>
      </c>
      <c r="O28" s="59" t="n">
        <v>0.12</v>
      </c>
      <c r="P28" s="59" t="n">
        <v>0.115</v>
      </c>
      <c r="Q28" s="59" t="n">
        <v>0.85</v>
      </c>
      <c r="R28" s="60" t="n">
        <v>0.00046</v>
      </c>
      <c r="S28" s="52" t="n">
        <v>0</v>
      </c>
      <c r="T28" s="59" t="n">
        <v>0.0228</v>
      </c>
      <c r="U28" s="59" t="n">
        <v>0.019</v>
      </c>
      <c r="V28" s="59" t="n">
        <v>0.0072</v>
      </c>
      <c r="W28" s="45" t="n">
        <v>18000</v>
      </c>
      <c r="X28" s="45" t="n">
        <v>120000</v>
      </c>
      <c r="Y28" s="59" t="n">
        <v>0.0629</v>
      </c>
      <c r="Z28" s="59" t="n">
        <v>0.05</v>
      </c>
      <c r="AA28" s="59" t="n">
        <v>0.03</v>
      </c>
      <c r="AB28" s="45" t="n">
        <v>1</v>
      </c>
      <c r="AC28" s="45" t="n">
        <v>0</v>
      </c>
      <c r="AD28" s="45" t="n">
        <v>2130</v>
      </c>
    </row>
    <row r="29">
      <c r="A29" s="58" t="n">
        <v>1869</v>
      </c>
      <c r="B29" s="46" t="n">
        <v>0.95</v>
      </c>
      <c r="C29" s="59" t="n">
        <v>0.019</v>
      </c>
      <c r="D29" s="45" t="n">
        <v>0</v>
      </c>
      <c r="E29" s="45" t="n">
        <v>80000</v>
      </c>
      <c r="F29" s="45" t="n">
        <v>25000</v>
      </c>
      <c r="G29" s="45" t="n">
        <v>200</v>
      </c>
      <c r="H29" s="45" t="n">
        <v>0</v>
      </c>
      <c r="I29" s="59" t="n">
        <v>0.2</v>
      </c>
      <c r="J29" s="59" t="n">
        <v>0.4</v>
      </c>
      <c r="K29" s="45" t="n">
        <v>0</v>
      </c>
      <c r="L29" s="59" t="n">
        <v>0.02</v>
      </c>
      <c r="M29" s="46" t="n">
        <v>1</v>
      </c>
      <c r="N29" s="59" t="n">
        <v>0.2517</v>
      </c>
      <c r="O29" s="59" t="n">
        <v>0.12</v>
      </c>
      <c r="P29" s="59" t="n">
        <v>0.115</v>
      </c>
      <c r="Q29" s="59" t="n">
        <v>0.85</v>
      </c>
      <c r="R29" s="60" t="n">
        <v>0.00048</v>
      </c>
      <c r="S29" s="52" t="n">
        <v>0</v>
      </c>
      <c r="T29" s="59" t="n">
        <v>0.0231</v>
      </c>
      <c r="U29" s="59" t="n">
        <v>0.0191</v>
      </c>
      <c r="V29" s="59" t="n">
        <v>0.0073</v>
      </c>
      <c r="W29" s="45" t="n">
        <v>18000</v>
      </c>
      <c r="X29" s="45" t="n">
        <v>120000</v>
      </c>
      <c r="Y29" s="59" t="n">
        <v>0.0621</v>
      </c>
      <c r="Z29" s="59" t="n">
        <v>0.05</v>
      </c>
      <c r="AA29" s="59" t="n">
        <v>0.03</v>
      </c>
      <c r="AB29" s="45" t="n">
        <v>1</v>
      </c>
      <c r="AC29" s="45" t="n">
        <v>0</v>
      </c>
      <c r="AD29" s="45" t="n">
        <v>2165</v>
      </c>
    </row>
    <row r="30">
      <c r="A30" s="61" t="n">
        <v>1870</v>
      </c>
      <c r="B30" s="46" t="n">
        <v>0.95</v>
      </c>
      <c r="C30" s="59" t="n">
        <v>0.019</v>
      </c>
      <c r="D30" s="45" t="n">
        <v>0</v>
      </c>
      <c r="E30" s="45" t="n">
        <v>80000</v>
      </c>
      <c r="F30" s="45" t="n">
        <v>25000</v>
      </c>
      <c r="G30" s="45" t="n">
        <v>500</v>
      </c>
      <c r="H30" s="45" t="n">
        <v>0</v>
      </c>
      <c r="I30" s="59" t="n">
        <v>0.2</v>
      </c>
      <c r="J30" s="59" t="n">
        <v>0.4</v>
      </c>
      <c r="K30" s="45" t="n">
        <v>0</v>
      </c>
      <c r="L30" s="59" t="n">
        <v>0.02</v>
      </c>
      <c r="M30" s="46" t="n">
        <v>1</v>
      </c>
      <c r="N30" s="59" t="n">
        <v>0.25</v>
      </c>
      <c r="O30" s="59" t="n">
        <v>0.12</v>
      </c>
      <c r="P30" s="59" t="n">
        <v>0.115</v>
      </c>
      <c r="Q30" s="59" t="n">
        <v>0.85</v>
      </c>
      <c r="R30" s="60" t="n">
        <v>0.0005</v>
      </c>
      <c r="S30" s="52" t="n">
        <v>0</v>
      </c>
      <c r="T30" s="59" t="n">
        <v>0.0233</v>
      </c>
      <c r="U30" s="59" t="n">
        <v>0.0192</v>
      </c>
      <c r="V30" s="59" t="n">
        <v>0.0074</v>
      </c>
      <c r="W30" s="45" t="n">
        <v>18000</v>
      </c>
      <c r="X30" s="45" t="n">
        <v>120000</v>
      </c>
      <c r="Y30" s="59" t="n">
        <v>0.0614</v>
      </c>
      <c r="Z30" s="59" t="n">
        <v>0.05</v>
      </c>
      <c r="AA30" s="59" t="n">
        <v>0.03</v>
      </c>
      <c r="AB30" s="45" t="n">
        <v>1</v>
      </c>
      <c r="AC30" s="45" t="n">
        <v>1</v>
      </c>
      <c r="AD30" s="45" t="n">
        <v>2200</v>
      </c>
    </row>
    <row r="31">
      <c r="A31" s="61" t="n">
        <v>1871</v>
      </c>
      <c r="B31" s="46" t="n">
        <v>0.9360000000000001</v>
      </c>
      <c r="C31" s="59" t="n">
        <v>0.019</v>
      </c>
      <c r="D31" s="45" t="n">
        <v>0</v>
      </c>
      <c r="E31" s="45" t="n">
        <v>80000</v>
      </c>
      <c r="F31" s="45" t="n">
        <v>25000</v>
      </c>
      <c r="G31" s="45" t="n">
        <v>500</v>
      </c>
      <c r="H31" s="45" t="n">
        <v>0</v>
      </c>
      <c r="I31" s="59" t="n">
        <v>0.2</v>
      </c>
      <c r="J31" s="59" t="n">
        <v>0.4</v>
      </c>
      <c r="K31" s="45" t="n">
        <v>0</v>
      </c>
      <c r="L31" s="59" t="n">
        <v>0.022</v>
      </c>
      <c r="M31" s="46" t="n">
        <v>1</v>
      </c>
      <c r="N31" s="59" t="n">
        <v>0.2483</v>
      </c>
      <c r="O31" s="59" t="n">
        <v>0.12</v>
      </c>
      <c r="P31" s="59" t="n">
        <v>0.115</v>
      </c>
      <c r="Q31" s="59" t="n">
        <v>0.85</v>
      </c>
      <c r="R31" s="60" t="n">
        <v>0.00065</v>
      </c>
      <c r="S31" s="52" t="n">
        <v>0</v>
      </c>
      <c r="T31" s="59" t="n">
        <v>0.0236</v>
      </c>
      <c r="U31" s="59" t="n">
        <v>0.0192</v>
      </c>
      <c r="V31" s="59" t="n">
        <v>0.0075</v>
      </c>
      <c r="W31" s="45" t="n">
        <v>18200</v>
      </c>
      <c r="X31" s="45" t="n">
        <v>120000</v>
      </c>
      <c r="Y31" s="59" t="n">
        <v>0.0607</v>
      </c>
      <c r="Z31" s="59" t="n">
        <v>0.05</v>
      </c>
      <c r="AA31" s="59" t="n">
        <v>0.03</v>
      </c>
      <c r="AB31" s="45" t="n">
        <v>1</v>
      </c>
      <c r="AC31" s="45" t="n">
        <v>1</v>
      </c>
      <c r="AD31" s="45" t="n">
        <v>2265</v>
      </c>
    </row>
    <row r="32">
      <c r="A32" s="58" t="n">
        <v>1872</v>
      </c>
      <c r="B32" s="46" t="n">
        <v>0.922</v>
      </c>
      <c r="C32" s="59" t="n">
        <v>0.019</v>
      </c>
      <c r="D32" s="45" t="n">
        <v>0</v>
      </c>
      <c r="E32" s="45" t="n">
        <v>80000</v>
      </c>
      <c r="F32" s="45" t="n">
        <v>25000</v>
      </c>
      <c r="G32" s="45" t="n">
        <v>500</v>
      </c>
      <c r="H32" s="45" t="n">
        <v>0</v>
      </c>
      <c r="I32" s="59" t="n">
        <v>0.2</v>
      </c>
      <c r="J32" s="59" t="n">
        <v>0.4</v>
      </c>
      <c r="K32" s="45" t="n">
        <v>0</v>
      </c>
      <c r="L32" s="59" t="n">
        <v>0.022</v>
      </c>
      <c r="M32" s="46" t="n">
        <v>1</v>
      </c>
      <c r="N32" s="59" t="n">
        <v>0.2467</v>
      </c>
      <c r="O32" s="59" t="n">
        <v>0.12</v>
      </c>
      <c r="P32" s="59" t="n">
        <v>0.115</v>
      </c>
      <c r="Q32" s="59" t="n">
        <v>0.85</v>
      </c>
      <c r="R32" s="60" t="n">
        <v>0.0008</v>
      </c>
      <c r="S32" s="52" t="n">
        <v>0</v>
      </c>
      <c r="T32" s="59" t="n">
        <v>0.0239</v>
      </c>
      <c r="U32" s="59" t="n">
        <v>0.0193</v>
      </c>
      <c r="V32" s="59" t="n">
        <v>0.0076</v>
      </c>
      <c r="W32" s="45" t="n">
        <v>18400</v>
      </c>
      <c r="X32" s="45" t="n">
        <v>120000</v>
      </c>
      <c r="Y32" s="59" t="n">
        <v>0.06</v>
      </c>
      <c r="Z32" s="59" t="n">
        <v>0.05</v>
      </c>
      <c r="AA32" s="59" t="n">
        <v>0.03</v>
      </c>
      <c r="AB32" s="45" t="n">
        <v>1</v>
      </c>
      <c r="AC32" s="45" t="n">
        <v>0</v>
      </c>
      <c r="AD32" s="45" t="n">
        <v>2330</v>
      </c>
    </row>
    <row r="33">
      <c r="A33" s="58" t="n">
        <v>1873</v>
      </c>
      <c r="B33" s="46" t="n">
        <v>0.908</v>
      </c>
      <c r="C33" s="59" t="n">
        <v>0.019</v>
      </c>
      <c r="D33" s="45" t="n">
        <v>0</v>
      </c>
      <c r="E33" s="45" t="n">
        <v>110000</v>
      </c>
      <c r="F33" s="45" t="n">
        <v>25000</v>
      </c>
      <c r="G33" s="45" t="n">
        <v>500</v>
      </c>
      <c r="H33" s="45" t="n">
        <v>0</v>
      </c>
      <c r="I33" s="59" t="n">
        <v>0.2</v>
      </c>
      <c r="J33" s="59" t="n">
        <v>0.4</v>
      </c>
      <c r="K33" s="45" t="n">
        <v>0</v>
      </c>
      <c r="L33" s="59" t="n">
        <v>0.022</v>
      </c>
      <c r="M33" s="46" t="n">
        <v>0.98</v>
      </c>
      <c r="N33" s="59" t="n">
        <v>0.245</v>
      </c>
      <c r="O33" s="59" t="n">
        <v>0.12</v>
      </c>
      <c r="P33" s="59" t="n">
        <v>0.105</v>
      </c>
      <c r="Q33" s="59" t="n">
        <v>0.85</v>
      </c>
      <c r="R33" s="60" t="n">
        <v>0.00095</v>
      </c>
      <c r="S33" s="52" t="n">
        <v>0</v>
      </c>
      <c r="T33" s="59" t="n">
        <v>0.0241</v>
      </c>
      <c r="U33" s="59" t="n">
        <v>0.0194</v>
      </c>
      <c r="V33" s="59" t="n">
        <v>0.0077</v>
      </c>
      <c r="W33" s="45" t="n">
        <v>18600</v>
      </c>
      <c r="X33" s="45" t="n">
        <v>120000</v>
      </c>
      <c r="Y33" s="59" t="n">
        <v>0.0593</v>
      </c>
      <c r="Z33" s="59" t="n">
        <v>0.05</v>
      </c>
      <c r="AA33" s="59" t="n">
        <v>0.03</v>
      </c>
      <c r="AB33" s="45" t="n">
        <v>1</v>
      </c>
      <c r="AC33" s="45" t="n">
        <v>0</v>
      </c>
      <c r="AD33" s="45" t="n">
        <v>2395</v>
      </c>
    </row>
    <row r="34">
      <c r="A34" s="58" t="n">
        <v>1874</v>
      </c>
      <c r="B34" s="46" t="n">
        <v>0.894</v>
      </c>
      <c r="C34" s="59" t="n">
        <v>0.019</v>
      </c>
      <c r="D34" s="45" t="n">
        <v>0</v>
      </c>
      <c r="E34" s="45" t="n">
        <v>110000</v>
      </c>
      <c r="F34" s="45" t="n">
        <v>25000</v>
      </c>
      <c r="G34" s="45" t="n">
        <v>500</v>
      </c>
      <c r="H34" s="45" t="n">
        <v>0</v>
      </c>
      <c r="I34" s="59" t="n">
        <v>0.2</v>
      </c>
      <c r="J34" s="59" t="n">
        <v>0.4</v>
      </c>
      <c r="K34" s="45" t="n">
        <v>0</v>
      </c>
      <c r="L34" s="59" t="n">
        <v>0.022</v>
      </c>
      <c r="M34" s="46" t="n">
        <v>0.97</v>
      </c>
      <c r="N34" s="59" t="n">
        <v>0.2433</v>
      </c>
      <c r="O34" s="59" t="n">
        <v>0.12</v>
      </c>
      <c r="P34" s="59" t="n">
        <v>0.105</v>
      </c>
      <c r="Q34" s="59" t="n">
        <v>0.85</v>
      </c>
      <c r="R34" s="60" t="n">
        <v>0.0011</v>
      </c>
      <c r="S34" s="52" t="n">
        <v>0</v>
      </c>
      <c r="T34" s="59" t="n">
        <v>0.0244</v>
      </c>
      <c r="U34" s="59" t="n">
        <v>0.0195</v>
      </c>
      <c r="V34" s="59" t="n">
        <v>0.0078</v>
      </c>
      <c r="W34" s="45" t="n">
        <v>18800</v>
      </c>
      <c r="X34" s="45" t="n">
        <v>120000</v>
      </c>
      <c r="Y34" s="59" t="n">
        <v>0.0587</v>
      </c>
      <c r="Z34" s="59" t="n">
        <v>0.05</v>
      </c>
      <c r="AA34" s="59" t="n">
        <v>0.03</v>
      </c>
      <c r="AB34" s="45" t="n">
        <v>1</v>
      </c>
      <c r="AC34" s="45" t="n">
        <v>0</v>
      </c>
      <c r="AD34" s="45" t="n">
        <v>2460</v>
      </c>
    </row>
    <row r="35">
      <c r="A35" s="58" t="n">
        <v>1875</v>
      </c>
      <c r="B35" s="46" t="n">
        <v>0.88</v>
      </c>
      <c r="C35" s="59" t="n">
        <v>0.019</v>
      </c>
      <c r="D35" s="45" t="n">
        <v>0</v>
      </c>
      <c r="E35" s="45" t="n">
        <v>110000</v>
      </c>
      <c r="F35" s="45" t="n">
        <v>25000</v>
      </c>
      <c r="G35" s="45" t="n">
        <v>500</v>
      </c>
      <c r="H35" s="45" t="n">
        <v>0</v>
      </c>
      <c r="I35" s="59" t="n">
        <v>0.2</v>
      </c>
      <c r="J35" s="59" t="n">
        <v>0.4</v>
      </c>
      <c r="K35" s="45" t="n">
        <v>0</v>
      </c>
      <c r="L35" s="59" t="n">
        <v>0.022</v>
      </c>
      <c r="M35" s="46" t="n">
        <v>0.98</v>
      </c>
      <c r="N35" s="59" t="n">
        <v>0.2417</v>
      </c>
      <c r="O35" s="59" t="n">
        <v>0.12</v>
      </c>
      <c r="P35" s="59" t="n">
        <v>0.105</v>
      </c>
      <c r="Q35" s="59" t="n">
        <v>0.85</v>
      </c>
      <c r="R35" s="60" t="n">
        <v>0.00125</v>
      </c>
      <c r="S35" s="52" t="n">
        <v>0</v>
      </c>
      <c r="T35" s="59" t="n">
        <v>0.0247</v>
      </c>
      <c r="U35" s="59" t="n">
        <v>0.0196</v>
      </c>
      <c r="V35" s="59" t="n">
        <v>0.007900000000000001</v>
      </c>
      <c r="W35" s="45" t="n">
        <v>19000</v>
      </c>
      <c r="X35" s="45" t="n">
        <v>120000</v>
      </c>
      <c r="Y35" s="59" t="n">
        <v>0.058</v>
      </c>
      <c r="Z35" s="59" t="n">
        <v>0.05</v>
      </c>
      <c r="AA35" s="59" t="n">
        <v>0.03</v>
      </c>
      <c r="AB35" s="45" t="n">
        <v>1</v>
      </c>
      <c r="AC35" s="45" t="n">
        <v>0</v>
      </c>
      <c r="AD35" s="45" t="n">
        <v>2525</v>
      </c>
    </row>
    <row r="36">
      <c r="A36" s="58" t="n">
        <v>1876</v>
      </c>
      <c r="B36" s="46" t="n">
        <v>0.864</v>
      </c>
      <c r="C36" s="59" t="n">
        <v>0.019</v>
      </c>
      <c r="D36" s="45" t="n">
        <v>0</v>
      </c>
      <c r="E36" s="45" t="n">
        <v>110000</v>
      </c>
      <c r="F36" s="45" t="n">
        <v>25000</v>
      </c>
      <c r="G36" s="45" t="n">
        <v>500</v>
      </c>
      <c r="H36" s="45" t="n">
        <v>0</v>
      </c>
      <c r="I36" s="59" t="n">
        <v>0.2</v>
      </c>
      <c r="J36" s="59" t="n">
        <v>0.4</v>
      </c>
      <c r="K36" s="45" t="n">
        <v>6000000</v>
      </c>
      <c r="L36" s="59" t="n">
        <v>0.022</v>
      </c>
      <c r="M36" s="46" t="n">
        <v>1</v>
      </c>
      <c r="N36" s="59" t="n">
        <v>0.24</v>
      </c>
      <c r="O36" s="59" t="n">
        <v>0.12</v>
      </c>
      <c r="P36" s="59" t="n">
        <v>0.105</v>
      </c>
      <c r="Q36" s="59" t="n">
        <v>0.85</v>
      </c>
      <c r="R36" s="60" t="n">
        <v>0.0014</v>
      </c>
      <c r="S36" s="52" t="n">
        <v>0</v>
      </c>
      <c r="T36" s="59" t="n">
        <v>0.0249</v>
      </c>
      <c r="U36" s="59" t="n">
        <v>0.0197</v>
      </c>
      <c r="V36" s="59" t="n">
        <v>0.008</v>
      </c>
      <c r="W36" s="45" t="n">
        <v>19200</v>
      </c>
      <c r="X36" s="45" t="n">
        <v>120000</v>
      </c>
      <c r="Y36" s="59" t="n">
        <v>0.0574</v>
      </c>
      <c r="Z36" s="59" t="n">
        <v>0.05</v>
      </c>
      <c r="AA36" s="59" t="n">
        <v>0.03</v>
      </c>
      <c r="AB36" s="45" t="n">
        <v>1</v>
      </c>
      <c r="AC36" s="45" t="n">
        <v>0</v>
      </c>
      <c r="AD36" s="45" t="n">
        <v>2590</v>
      </c>
    </row>
    <row r="37">
      <c r="A37" s="58" t="n">
        <v>1877</v>
      </c>
      <c r="B37" s="46" t="n">
        <v>0.848</v>
      </c>
      <c r="C37" s="59" t="n">
        <v>0.019</v>
      </c>
      <c r="D37" s="45" t="n">
        <v>0</v>
      </c>
      <c r="E37" s="45" t="n">
        <v>110000</v>
      </c>
      <c r="F37" s="45" t="n">
        <v>25000</v>
      </c>
      <c r="G37" s="45" t="n">
        <v>500</v>
      </c>
      <c r="H37" s="45" t="n">
        <v>1000</v>
      </c>
      <c r="I37" s="59" t="n">
        <v>0.2</v>
      </c>
      <c r="J37" s="59" t="n">
        <v>0.4</v>
      </c>
      <c r="K37" s="45" t="n">
        <v>6055000</v>
      </c>
      <c r="L37" s="59" t="n">
        <v>0.022</v>
      </c>
      <c r="M37" s="46" t="n">
        <v>0.98</v>
      </c>
      <c r="N37" s="59" t="n">
        <v>0.2383</v>
      </c>
      <c r="O37" s="59" t="n">
        <v>0.12</v>
      </c>
      <c r="P37" s="59" t="n">
        <v>0.105</v>
      </c>
      <c r="Q37" s="59" t="n">
        <v>0.85</v>
      </c>
      <c r="R37" s="60" t="n">
        <v>0.00155</v>
      </c>
      <c r="S37" s="52" t="n">
        <v>0</v>
      </c>
      <c r="T37" s="59" t="n">
        <v>0.0252</v>
      </c>
      <c r="U37" s="59" t="n">
        <v>0.0198</v>
      </c>
      <c r="V37" s="59" t="n">
        <v>0.008200000000000001</v>
      </c>
      <c r="W37" s="45" t="n">
        <v>19400</v>
      </c>
      <c r="X37" s="45" t="n">
        <v>120000</v>
      </c>
      <c r="Y37" s="59" t="n">
        <v>0.0567</v>
      </c>
      <c r="Z37" s="59" t="n">
        <v>0.05</v>
      </c>
      <c r="AA37" s="59" t="n">
        <v>0.03</v>
      </c>
      <c r="AB37" s="45" t="n">
        <v>1</v>
      </c>
      <c r="AC37" s="45" t="n">
        <v>0</v>
      </c>
      <c r="AD37" s="45" t="n">
        <v>2655</v>
      </c>
    </row>
    <row r="38">
      <c r="A38" s="58" t="n">
        <v>1878</v>
      </c>
      <c r="B38" s="46" t="n">
        <v>0.832</v>
      </c>
      <c r="C38" s="59" t="n">
        <v>0.019</v>
      </c>
      <c r="D38" s="45" t="n">
        <v>0</v>
      </c>
      <c r="E38" s="45" t="n">
        <v>110000</v>
      </c>
      <c r="F38" s="45" t="n">
        <v>25000</v>
      </c>
      <c r="G38" s="45" t="n">
        <v>500</v>
      </c>
      <c r="H38" s="45" t="n">
        <v>1000</v>
      </c>
      <c r="I38" s="59" t="n">
        <v>0.2</v>
      </c>
      <c r="J38" s="59" t="n">
        <v>0.4</v>
      </c>
      <c r="K38" s="45" t="n">
        <v>6109000</v>
      </c>
      <c r="L38" s="59" t="n">
        <v>0.022</v>
      </c>
      <c r="M38" s="46" t="n">
        <v>1</v>
      </c>
      <c r="N38" s="59" t="n">
        <v>0.2367</v>
      </c>
      <c r="O38" s="59" t="n">
        <v>0.12</v>
      </c>
      <c r="P38" s="59" t="n">
        <v>0.105</v>
      </c>
      <c r="Q38" s="59" t="n">
        <v>0.85</v>
      </c>
      <c r="R38" s="60" t="n">
        <v>0.0017</v>
      </c>
      <c r="S38" s="52" t="n">
        <v>0</v>
      </c>
      <c r="T38" s="59" t="n">
        <v>0.0255</v>
      </c>
      <c r="U38" s="59" t="n">
        <v>0.0198</v>
      </c>
      <c r="V38" s="59" t="n">
        <v>0.008399999999999999</v>
      </c>
      <c r="W38" s="45" t="n">
        <v>19600</v>
      </c>
      <c r="X38" s="45" t="n">
        <v>120000</v>
      </c>
      <c r="Y38" s="59" t="n">
        <v>0.0561</v>
      </c>
      <c r="Z38" s="59" t="n">
        <v>0.05</v>
      </c>
      <c r="AA38" s="59" t="n">
        <v>0.03</v>
      </c>
      <c r="AB38" s="45" t="n">
        <v>1</v>
      </c>
      <c r="AC38" s="45" t="n">
        <v>0</v>
      </c>
      <c r="AD38" s="45" t="n">
        <v>2720</v>
      </c>
    </row>
    <row r="39">
      <c r="A39" s="58" t="n">
        <v>1879</v>
      </c>
      <c r="B39" s="46" t="n">
        <v>0.8159999999999999</v>
      </c>
      <c r="C39" s="59" t="n">
        <v>0.019</v>
      </c>
      <c r="D39" s="45" t="n">
        <v>0</v>
      </c>
      <c r="E39" s="45" t="n">
        <v>110000</v>
      </c>
      <c r="F39" s="45" t="n">
        <v>25000</v>
      </c>
      <c r="G39" s="45" t="n">
        <v>500</v>
      </c>
      <c r="H39" s="45" t="n">
        <v>1000</v>
      </c>
      <c r="I39" s="59" t="n">
        <v>0.2</v>
      </c>
      <c r="J39" s="59" t="n">
        <v>0.4</v>
      </c>
      <c r="K39" s="45" t="n">
        <v>6164000</v>
      </c>
      <c r="L39" s="59" t="n">
        <v>0.022</v>
      </c>
      <c r="M39" s="46" t="n">
        <v>1</v>
      </c>
      <c r="N39" s="59" t="n">
        <v>0.235</v>
      </c>
      <c r="O39" s="59" t="n">
        <v>0.12</v>
      </c>
      <c r="P39" s="59" t="n">
        <v>0.105</v>
      </c>
      <c r="Q39" s="59" t="n">
        <v>0.85</v>
      </c>
      <c r="R39" s="60" t="n">
        <v>0.00185</v>
      </c>
      <c r="S39" s="52" t="n">
        <v>0</v>
      </c>
      <c r="T39" s="59" t="n">
        <v>0.0257</v>
      </c>
      <c r="U39" s="59" t="n">
        <v>0.0199</v>
      </c>
      <c r="V39" s="59" t="n">
        <v>0.008699999999999999</v>
      </c>
      <c r="W39" s="45" t="n">
        <v>19800</v>
      </c>
      <c r="X39" s="45" t="n">
        <v>120000</v>
      </c>
      <c r="Y39" s="59" t="n">
        <v>0.0554</v>
      </c>
      <c r="Z39" s="59" t="n">
        <v>0.05</v>
      </c>
      <c r="AA39" s="59" t="n">
        <v>0.03</v>
      </c>
      <c r="AB39" s="45" t="n">
        <v>1</v>
      </c>
      <c r="AC39" s="45" t="n">
        <v>0</v>
      </c>
      <c r="AD39" s="45" t="n">
        <v>2785</v>
      </c>
    </row>
    <row r="40">
      <c r="A40" s="58" t="n">
        <v>1880</v>
      </c>
      <c r="B40" s="46" t="n">
        <v>0.8</v>
      </c>
      <c r="C40" s="59" t="n">
        <v>0.019</v>
      </c>
      <c r="D40" s="45" t="n">
        <v>0</v>
      </c>
      <c r="E40" s="45" t="n">
        <v>110000</v>
      </c>
      <c r="F40" s="45" t="n">
        <v>25000</v>
      </c>
      <c r="G40" s="45" t="n">
        <v>500</v>
      </c>
      <c r="H40" s="45" t="n">
        <v>1000</v>
      </c>
      <c r="I40" s="59" t="n">
        <v>0.2</v>
      </c>
      <c r="J40" s="59" t="n">
        <v>0.4</v>
      </c>
      <c r="K40" s="45" t="n">
        <v>6218000</v>
      </c>
      <c r="L40" s="59" t="n">
        <v>0.022</v>
      </c>
      <c r="M40" s="46" t="n">
        <v>1</v>
      </c>
      <c r="N40" s="59" t="n">
        <v>0.2333</v>
      </c>
      <c r="O40" s="59" t="n">
        <v>0.12</v>
      </c>
      <c r="P40" s="59" t="n">
        <v>0.105</v>
      </c>
      <c r="Q40" s="59" t="n">
        <v>0.85</v>
      </c>
      <c r="R40" s="60" t="n">
        <v>0.002</v>
      </c>
      <c r="S40" s="52" t="n">
        <v>0</v>
      </c>
      <c r="T40" s="59" t="n">
        <v>0.026</v>
      </c>
      <c r="U40" s="59" t="n">
        <v>0.02</v>
      </c>
      <c r="V40" s="59" t="n">
        <v>0.0089</v>
      </c>
      <c r="W40" s="45" t="n">
        <v>20000</v>
      </c>
      <c r="X40" s="45" t="n">
        <v>120000</v>
      </c>
      <c r="Y40" s="59" t="n">
        <v>0.0548</v>
      </c>
      <c r="Z40" s="59" t="n">
        <v>0.05</v>
      </c>
      <c r="AA40" s="59" t="n">
        <v>0.03</v>
      </c>
      <c r="AB40" s="45" t="n">
        <v>1</v>
      </c>
      <c r="AC40" s="45" t="n">
        <v>0</v>
      </c>
      <c r="AD40" s="45" t="n">
        <v>2850</v>
      </c>
    </row>
    <row r="41">
      <c r="A41" s="58" t="n">
        <v>1881</v>
      </c>
      <c r="B41" s="46" t="n">
        <v>0.788</v>
      </c>
      <c r="C41" s="59" t="n">
        <v>0.019</v>
      </c>
      <c r="D41" s="45" t="n">
        <v>0</v>
      </c>
      <c r="E41" s="45" t="n">
        <v>110000</v>
      </c>
      <c r="F41" s="45" t="n">
        <v>25000</v>
      </c>
      <c r="G41" s="45" t="n">
        <v>500</v>
      </c>
      <c r="H41" s="45" t="n">
        <v>1000</v>
      </c>
      <c r="I41" s="59" t="n">
        <v>0.2</v>
      </c>
      <c r="J41" s="59" t="n">
        <v>0.4</v>
      </c>
      <c r="K41" s="45" t="n">
        <v>6273000</v>
      </c>
      <c r="L41" s="59" t="n">
        <v>0.018</v>
      </c>
      <c r="M41" s="46" t="n">
        <v>1</v>
      </c>
      <c r="N41" s="59" t="n">
        <v>0.2317</v>
      </c>
      <c r="O41" s="59" t="n">
        <v>0.12</v>
      </c>
      <c r="P41" s="59" t="n">
        <v>0.09</v>
      </c>
      <c r="Q41" s="59" t="n">
        <v>0.85</v>
      </c>
      <c r="R41" s="60" t="n">
        <v>0.002</v>
      </c>
      <c r="S41" s="52" t="n">
        <v>0</v>
      </c>
      <c r="T41" s="59" t="n">
        <v>0.0265</v>
      </c>
      <c r="U41" s="59" t="n">
        <v>0.02</v>
      </c>
      <c r="V41" s="59" t="n">
        <v>0.0091</v>
      </c>
      <c r="W41" s="45" t="n">
        <v>20800</v>
      </c>
      <c r="X41" s="45" t="n">
        <v>122000</v>
      </c>
      <c r="Y41" s="59" t="n">
        <v>0.0541</v>
      </c>
      <c r="Z41" s="59" t="n">
        <v>0.05</v>
      </c>
      <c r="AA41" s="59" t="n">
        <v>0.03</v>
      </c>
      <c r="AB41" s="45" t="n">
        <v>1</v>
      </c>
      <c r="AC41" s="45" t="n">
        <v>0</v>
      </c>
      <c r="AD41" s="45" t="n">
        <v>2915</v>
      </c>
    </row>
    <row r="42">
      <c r="A42" s="58" t="n">
        <v>1882</v>
      </c>
      <c r="B42" s="46" t="n">
        <v>0.776</v>
      </c>
      <c r="C42" s="59" t="n">
        <v>0.019</v>
      </c>
      <c r="D42" s="45" t="n">
        <v>0</v>
      </c>
      <c r="E42" s="45" t="n">
        <v>110000</v>
      </c>
      <c r="F42" s="45" t="n">
        <v>25000</v>
      </c>
      <c r="G42" s="45" t="n">
        <v>500</v>
      </c>
      <c r="H42" s="45" t="n">
        <v>1000</v>
      </c>
      <c r="I42" s="59" t="n">
        <v>0.2</v>
      </c>
      <c r="J42" s="59" t="n">
        <v>0.4</v>
      </c>
      <c r="K42" s="45" t="n">
        <v>6327000</v>
      </c>
      <c r="L42" s="59" t="n">
        <v>0.018</v>
      </c>
      <c r="M42" s="46" t="n">
        <v>1</v>
      </c>
      <c r="N42" s="59" t="n">
        <v>0.23</v>
      </c>
      <c r="O42" s="59" t="n">
        <v>0.12</v>
      </c>
      <c r="P42" s="59" t="n">
        <v>0.09</v>
      </c>
      <c r="Q42" s="59" t="n">
        <v>0.85</v>
      </c>
      <c r="R42" s="60" t="n">
        <v>0.002</v>
      </c>
      <c r="S42" s="52" t="n">
        <v>0</v>
      </c>
      <c r="T42" s="59" t="n">
        <v>0.027</v>
      </c>
      <c r="U42" s="59" t="n">
        <v>0.02</v>
      </c>
      <c r="V42" s="59" t="n">
        <v>0.009299999999999999</v>
      </c>
      <c r="W42" s="45" t="n">
        <v>21600</v>
      </c>
      <c r="X42" s="45" t="n">
        <v>123000</v>
      </c>
      <c r="Y42" s="59" t="n">
        <v>0.0535</v>
      </c>
      <c r="Z42" s="59" t="n">
        <v>0.05</v>
      </c>
      <c r="AA42" s="59" t="n">
        <v>0.03</v>
      </c>
      <c r="AB42" s="45" t="n">
        <v>1</v>
      </c>
      <c r="AC42" s="45" t="n">
        <v>0</v>
      </c>
      <c r="AD42" s="45" t="n">
        <v>2980</v>
      </c>
    </row>
    <row r="43">
      <c r="A43" s="58" t="n">
        <v>1883</v>
      </c>
      <c r="B43" s="46" t="n">
        <v>0.764</v>
      </c>
      <c r="C43" s="59" t="n">
        <v>0.019</v>
      </c>
      <c r="D43" s="45" t="n">
        <v>0</v>
      </c>
      <c r="E43" s="45" t="n">
        <v>110000</v>
      </c>
      <c r="F43" s="45" t="n">
        <v>25000</v>
      </c>
      <c r="G43" s="45" t="n">
        <v>500</v>
      </c>
      <c r="H43" s="45" t="n">
        <v>1000</v>
      </c>
      <c r="I43" s="59" t="n">
        <v>0.2</v>
      </c>
      <c r="J43" s="59" t="n">
        <v>0.4</v>
      </c>
      <c r="K43" s="45" t="n">
        <v>6382000</v>
      </c>
      <c r="L43" s="59" t="n">
        <v>0.018</v>
      </c>
      <c r="M43" s="46" t="n">
        <v>1</v>
      </c>
      <c r="N43" s="59" t="n">
        <v>0.2283</v>
      </c>
      <c r="O43" s="59" t="n">
        <v>0.12</v>
      </c>
      <c r="P43" s="59" t="n">
        <v>0.09</v>
      </c>
      <c r="Q43" s="59" t="n">
        <v>0.85</v>
      </c>
      <c r="R43" s="60" t="n">
        <v>0.002</v>
      </c>
      <c r="S43" s="52" t="n">
        <v>0</v>
      </c>
      <c r="T43" s="59" t="n">
        <v>0.0275</v>
      </c>
      <c r="U43" s="59" t="n">
        <v>0.02</v>
      </c>
      <c r="V43" s="59" t="n">
        <v>0.009599999999999999</v>
      </c>
      <c r="W43" s="45" t="n">
        <v>22400</v>
      </c>
      <c r="X43" s="45" t="n">
        <v>124000</v>
      </c>
      <c r="Y43" s="59" t="n">
        <v>0.0528</v>
      </c>
      <c r="Z43" s="59" t="n">
        <v>0.05</v>
      </c>
      <c r="AA43" s="59" t="n">
        <v>0.03</v>
      </c>
      <c r="AB43" s="45" t="n">
        <v>1</v>
      </c>
      <c r="AC43" s="45" t="n">
        <v>0</v>
      </c>
      <c r="AD43" s="45" t="n">
        <v>3045</v>
      </c>
    </row>
    <row r="44">
      <c r="A44" s="58" t="n">
        <v>1884</v>
      </c>
      <c r="B44" s="46" t="n">
        <v>0.752</v>
      </c>
      <c r="C44" s="59" t="n">
        <v>0.019</v>
      </c>
      <c r="D44" s="45" t="n">
        <v>0</v>
      </c>
      <c r="E44" s="45" t="n">
        <v>110000</v>
      </c>
      <c r="F44" s="45" t="n">
        <v>25000</v>
      </c>
      <c r="G44" s="45" t="n">
        <v>500</v>
      </c>
      <c r="H44" s="45" t="n">
        <v>1000</v>
      </c>
      <c r="I44" s="59" t="n">
        <v>0.2</v>
      </c>
      <c r="J44" s="59" t="n">
        <v>0.4</v>
      </c>
      <c r="K44" s="45" t="n">
        <v>6436000</v>
      </c>
      <c r="L44" s="59" t="n">
        <v>0.018</v>
      </c>
      <c r="M44" s="46" t="n">
        <v>0.98</v>
      </c>
      <c r="N44" s="59" t="n">
        <v>0.2267</v>
      </c>
      <c r="O44" s="59" t="n">
        <v>0.12</v>
      </c>
      <c r="P44" s="59" t="n">
        <v>0.09</v>
      </c>
      <c r="Q44" s="59" t="n">
        <v>0.85</v>
      </c>
      <c r="R44" s="60" t="n">
        <v>0.002</v>
      </c>
      <c r="S44" s="52" t="n">
        <v>0</v>
      </c>
      <c r="T44" s="59" t="n">
        <v>0.028</v>
      </c>
      <c r="U44" s="59" t="n">
        <v>0.02</v>
      </c>
      <c r="V44" s="59" t="n">
        <v>0.0098</v>
      </c>
      <c r="W44" s="45" t="n">
        <v>23200</v>
      </c>
      <c r="X44" s="45" t="n">
        <v>126000</v>
      </c>
      <c r="Y44" s="59" t="n">
        <v>0.0522</v>
      </c>
      <c r="Z44" s="59" t="n">
        <v>0.05</v>
      </c>
      <c r="AA44" s="59" t="n">
        <v>0.03</v>
      </c>
      <c r="AB44" s="45" t="n">
        <v>1</v>
      </c>
      <c r="AC44" s="45" t="n">
        <v>0</v>
      </c>
      <c r="AD44" s="45" t="n">
        <v>3110</v>
      </c>
    </row>
    <row r="45">
      <c r="A45" s="58" t="n">
        <v>1885</v>
      </c>
      <c r="B45" s="46" t="n">
        <v>0.74</v>
      </c>
      <c r="C45" s="59" t="n">
        <v>0.019</v>
      </c>
      <c r="D45" s="45" t="n">
        <v>0</v>
      </c>
      <c r="E45" s="45" t="n">
        <v>110000</v>
      </c>
      <c r="F45" s="45" t="n">
        <v>25000</v>
      </c>
      <c r="G45" s="45" t="n">
        <v>3000</v>
      </c>
      <c r="H45" s="45" t="n">
        <v>1000</v>
      </c>
      <c r="I45" s="59" t="n">
        <v>0.2</v>
      </c>
      <c r="J45" s="59" t="n">
        <v>0.4</v>
      </c>
      <c r="K45" s="45" t="n">
        <v>6491000</v>
      </c>
      <c r="L45" s="59" t="n">
        <v>0.018</v>
      </c>
      <c r="M45" s="46" t="n">
        <v>0.98</v>
      </c>
      <c r="N45" s="59" t="n">
        <v>0.225</v>
      </c>
      <c r="O45" s="59" t="n">
        <v>0.12</v>
      </c>
      <c r="P45" s="59" t="n">
        <v>0.09</v>
      </c>
      <c r="Q45" s="59" t="n">
        <v>0.85</v>
      </c>
      <c r="R45" s="60" t="n">
        <v>0.002</v>
      </c>
      <c r="S45" s="52" t="n">
        <v>0</v>
      </c>
      <c r="T45" s="59" t="n">
        <v>0.0285</v>
      </c>
      <c r="U45" s="59" t="n">
        <v>0.02</v>
      </c>
      <c r="V45" s="59" t="n">
        <v>0.01</v>
      </c>
      <c r="W45" s="45" t="n">
        <v>24000</v>
      </c>
      <c r="X45" s="45" t="n">
        <v>128000</v>
      </c>
      <c r="Y45" s="59" t="n">
        <v>0.0515</v>
      </c>
      <c r="Z45" s="59" t="n">
        <v>0.05</v>
      </c>
      <c r="AA45" s="59" t="n">
        <v>0.03</v>
      </c>
      <c r="AB45" s="45" t="n">
        <v>1</v>
      </c>
      <c r="AC45" s="45" t="n">
        <v>0</v>
      </c>
      <c r="AD45" s="45" t="n">
        <v>3175</v>
      </c>
    </row>
    <row r="46">
      <c r="A46" s="58" t="n">
        <v>1886</v>
      </c>
      <c r="B46" s="46" t="n">
        <v>0.738</v>
      </c>
      <c r="C46" s="59" t="n">
        <v>0.019</v>
      </c>
      <c r="D46" s="45" t="n">
        <v>0</v>
      </c>
      <c r="E46" s="45" t="n">
        <v>110000</v>
      </c>
      <c r="F46" s="45" t="n">
        <v>25000</v>
      </c>
      <c r="G46" s="45" t="n">
        <v>8000</v>
      </c>
      <c r="H46" s="45" t="n">
        <v>1000</v>
      </c>
      <c r="I46" s="59" t="n">
        <v>0.2</v>
      </c>
      <c r="J46" s="59" t="n">
        <v>0.4</v>
      </c>
      <c r="K46" s="45" t="n">
        <v>6545000</v>
      </c>
      <c r="L46" s="59" t="n">
        <v>0.018</v>
      </c>
      <c r="M46" s="46" t="n">
        <v>1</v>
      </c>
      <c r="N46" s="59" t="n">
        <v>0.2233</v>
      </c>
      <c r="O46" s="59" t="n">
        <v>0.12</v>
      </c>
      <c r="P46" s="59" t="n">
        <v>0.09</v>
      </c>
      <c r="Q46" s="59" t="n">
        <v>0.85</v>
      </c>
      <c r="R46" s="60" t="n">
        <v>0.002</v>
      </c>
      <c r="S46" s="52" t="n">
        <v>0</v>
      </c>
      <c r="T46" s="59" t="n">
        <v>0.029</v>
      </c>
      <c r="U46" s="59" t="n">
        <v>0.02</v>
      </c>
      <c r="V46" s="59" t="n">
        <v>0.009900000000000001</v>
      </c>
      <c r="W46" s="45" t="n">
        <v>26000</v>
      </c>
      <c r="X46" s="45" t="n">
        <v>129000</v>
      </c>
      <c r="Y46" s="59" t="n">
        <v>0.0509</v>
      </c>
      <c r="Z46" s="59" t="n">
        <v>0.05</v>
      </c>
      <c r="AA46" s="59" t="n">
        <v>0.03</v>
      </c>
      <c r="AB46" s="45" t="n">
        <v>1</v>
      </c>
      <c r="AC46" s="45" t="n">
        <v>0</v>
      </c>
      <c r="AD46" s="45" t="n">
        <v>3240</v>
      </c>
    </row>
    <row r="47">
      <c r="A47" s="58" t="n">
        <v>1887</v>
      </c>
      <c r="B47" s="46" t="n">
        <v>0.736</v>
      </c>
      <c r="C47" s="59" t="n">
        <v>0.019</v>
      </c>
      <c r="D47" s="45" t="n">
        <v>0</v>
      </c>
      <c r="E47" s="45" t="n">
        <v>110000</v>
      </c>
      <c r="F47" s="45" t="n">
        <v>25000</v>
      </c>
      <c r="G47" s="45" t="n">
        <v>8000</v>
      </c>
      <c r="H47" s="45" t="n">
        <v>1000</v>
      </c>
      <c r="I47" s="59" t="n">
        <v>0.2</v>
      </c>
      <c r="J47" s="59" t="n">
        <v>0.4</v>
      </c>
      <c r="K47" s="45" t="n">
        <v>6600000</v>
      </c>
      <c r="L47" s="59" t="n">
        <v>0.018</v>
      </c>
      <c r="M47" s="46" t="n">
        <v>1</v>
      </c>
      <c r="N47" s="59" t="n">
        <v>0.2217</v>
      </c>
      <c r="O47" s="59" t="n">
        <v>0.12</v>
      </c>
      <c r="P47" s="59" t="n">
        <v>0.09</v>
      </c>
      <c r="Q47" s="59" t="n">
        <v>0.85</v>
      </c>
      <c r="R47" s="60" t="n">
        <v>0.002</v>
      </c>
      <c r="S47" s="52" t="n">
        <v>0</v>
      </c>
      <c r="T47" s="59" t="n">
        <v>0.0295</v>
      </c>
      <c r="U47" s="59" t="n">
        <v>0.02</v>
      </c>
      <c r="V47" s="59" t="n">
        <v>0.009900000000000001</v>
      </c>
      <c r="W47" s="45" t="n">
        <v>28000</v>
      </c>
      <c r="X47" s="45" t="n">
        <v>130000</v>
      </c>
      <c r="Y47" s="59" t="n">
        <v>0.0502</v>
      </c>
      <c r="Z47" s="59" t="n">
        <v>0.05</v>
      </c>
      <c r="AA47" s="59" t="n">
        <v>0.03</v>
      </c>
      <c r="AB47" s="45" t="n">
        <v>1</v>
      </c>
      <c r="AC47" s="45" t="n">
        <v>0</v>
      </c>
      <c r="AD47" s="45" t="n">
        <v>3305</v>
      </c>
    </row>
    <row r="48">
      <c r="A48" s="58" t="n">
        <v>1888</v>
      </c>
      <c r="B48" s="46" t="n">
        <v>0.734</v>
      </c>
      <c r="C48" s="59" t="n">
        <v>0.019</v>
      </c>
      <c r="D48" s="45" t="n">
        <v>0</v>
      </c>
      <c r="E48" s="45" t="n">
        <v>65000</v>
      </c>
      <c r="F48" s="45" t="n">
        <v>22000</v>
      </c>
      <c r="G48" s="45" t="n">
        <v>8000</v>
      </c>
      <c r="H48" s="45" t="n">
        <v>1000</v>
      </c>
      <c r="I48" s="59" t="n">
        <v>0.2</v>
      </c>
      <c r="J48" s="59" t="n">
        <v>0.3</v>
      </c>
      <c r="K48" s="45" t="n">
        <v>6662000</v>
      </c>
      <c r="L48" s="59" t="n">
        <v>0.018</v>
      </c>
      <c r="M48" s="46" t="n">
        <v>1</v>
      </c>
      <c r="N48" s="59" t="n">
        <v>0.22</v>
      </c>
      <c r="O48" s="59" t="n">
        <v>0.12</v>
      </c>
      <c r="P48" s="59" t="n">
        <v>0.08500000000000001</v>
      </c>
      <c r="Q48" s="59" t="n">
        <v>0.85</v>
      </c>
      <c r="R48" s="60" t="n">
        <v>0.002</v>
      </c>
      <c r="S48" s="52" t="n">
        <v>0</v>
      </c>
      <c r="T48" s="59" t="n">
        <v>0.03</v>
      </c>
      <c r="U48" s="59" t="n">
        <v>0.02</v>
      </c>
      <c r="V48" s="59" t="n">
        <v>0.0098</v>
      </c>
      <c r="W48" s="45" t="n">
        <v>27000</v>
      </c>
      <c r="X48" s="45" t="n">
        <v>132000</v>
      </c>
      <c r="Y48" s="59" t="n">
        <v>0.0496</v>
      </c>
      <c r="Z48" s="59" t="n">
        <v>0.05</v>
      </c>
      <c r="AA48" s="59" t="n">
        <v>0.03</v>
      </c>
      <c r="AB48" s="45" t="n">
        <v>1</v>
      </c>
      <c r="AC48" s="45" t="n">
        <v>0</v>
      </c>
      <c r="AD48" s="45" t="n">
        <v>3370</v>
      </c>
    </row>
    <row r="49">
      <c r="A49" s="58" t="n">
        <v>1889</v>
      </c>
      <c r="B49" s="46" t="n">
        <v>0.732</v>
      </c>
      <c r="C49" s="59" t="n">
        <v>0.019</v>
      </c>
      <c r="D49" s="45" t="n">
        <v>0</v>
      </c>
      <c r="E49" s="45" t="n">
        <v>65000</v>
      </c>
      <c r="F49" s="45" t="n">
        <v>22000</v>
      </c>
      <c r="G49" s="45" t="n">
        <v>8000</v>
      </c>
      <c r="H49" s="45" t="n">
        <v>1000</v>
      </c>
      <c r="I49" s="59" t="n">
        <v>0.2</v>
      </c>
      <c r="J49" s="59" t="n">
        <v>0.3</v>
      </c>
      <c r="K49" s="45" t="n">
        <v>6725000</v>
      </c>
      <c r="L49" s="59" t="n">
        <v>0.018</v>
      </c>
      <c r="M49" s="46" t="n">
        <v>1</v>
      </c>
      <c r="N49" s="59" t="n">
        <v>0.2183</v>
      </c>
      <c r="O49" s="59" t="n">
        <v>0.12</v>
      </c>
      <c r="P49" s="59" t="n">
        <v>0.08500000000000001</v>
      </c>
      <c r="Q49" s="59" t="n">
        <v>0.85</v>
      </c>
      <c r="R49" s="60" t="n">
        <v>0.002</v>
      </c>
      <c r="S49" s="52" t="n">
        <v>0</v>
      </c>
      <c r="T49" s="59" t="n">
        <v>0.0305</v>
      </c>
      <c r="U49" s="59" t="n">
        <v>0.02</v>
      </c>
      <c r="V49" s="59" t="n">
        <v>0.0097</v>
      </c>
      <c r="W49" s="45" t="n">
        <v>26000</v>
      </c>
      <c r="X49" s="45" t="n">
        <v>134000</v>
      </c>
      <c r="Y49" s="59" t="n">
        <v>0.0489</v>
      </c>
      <c r="Z49" s="59" t="n">
        <v>0.05</v>
      </c>
      <c r="AA49" s="59" t="n">
        <v>0.03</v>
      </c>
      <c r="AB49" s="45" t="n">
        <v>1</v>
      </c>
      <c r="AC49" s="45" t="n">
        <v>0</v>
      </c>
      <c r="AD49" s="45" t="n">
        <v>3435</v>
      </c>
    </row>
    <row r="50">
      <c r="A50" s="58" t="n">
        <v>1890</v>
      </c>
      <c r="B50" s="46" t="n">
        <v>0.73</v>
      </c>
      <c r="C50" s="59" t="n">
        <v>0.019</v>
      </c>
      <c r="D50" s="45" t="n">
        <v>0</v>
      </c>
      <c r="E50" s="45" t="n">
        <v>65000</v>
      </c>
      <c r="F50" s="45" t="n">
        <v>22000</v>
      </c>
      <c r="G50" s="45" t="n">
        <v>8000</v>
      </c>
      <c r="H50" s="45" t="n">
        <v>5000</v>
      </c>
      <c r="I50" s="59" t="n">
        <v>0.2</v>
      </c>
      <c r="J50" s="59" t="n">
        <v>0.3</v>
      </c>
      <c r="K50" s="45" t="n">
        <v>6788000</v>
      </c>
      <c r="L50" s="59" t="n">
        <v>0.018</v>
      </c>
      <c r="M50" s="46" t="n">
        <v>1</v>
      </c>
      <c r="N50" s="59" t="n">
        <v>0.2167</v>
      </c>
      <c r="O50" s="59" t="n">
        <v>0.12</v>
      </c>
      <c r="P50" s="59" t="n">
        <v>0.08500000000000001</v>
      </c>
      <c r="Q50" s="59" t="n">
        <v>0.85</v>
      </c>
      <c r="R50" s="60" t="n">
        <v>0.002</v>
      </c>
      <c r="S50" s="52" t="n">
        <v>0</v>
      </c>
      <c r="T50" s="59" t="n">
        <v>0.031</v>
      </c>
      <c r="U50" s="59" t="n">
        <v>0.02</v>
      </c>
      <c r="V50" s="59" t="n">
        <v>0.0097</v>
      </c>
      <c r="W50" s="45" t="n">
        <v>25000</v>
      </c>
      <c r="X50" s="45" t="n">
        <v>135000</v>
      </c>
      <c r="Y50" s="59" t="n">
        <v>0.0483</v>
      </c>
      <c r="Z50" s="59" t="n">
        <v>0.05</v>
      </c>
      <c r="AA50" s="59" t="n">
        <v>0.03</v>
      </c>
      <c r="AB50" s="45" t="n">
        <v>1</v>
      </c>
      <c r="AC50" s="45" t="n">
        <v>0</v>
      </c>
      <c r="AD50" s="45" t="n">
        <v>3500</v>
      </c>
    </row>
    <row r="51">
      <c r="A51" s="58" t="n">
        <v>1891</v>
      </c>
      <c r="B51" s="46" t="n">
        <v>0.7217</v>
      </c>
      <c r="C51" s="59" t="n">
        <v>0.019</v>
      </c>
      <c r="D51" s="45" t="n">
        <v>0</v>
      </c>
      <c r="E51" s="45" t="n">
        <v>65000</v>
      </c>
      <c r="F51" s="45" t="n">
        <v>22000</v>
      </c>
      <c r="G51" s="45" t="n">
        <v>8000</v>
      </c>
      <c r="H51" s="45" t="n">
        <v>5000</v>
      </c>
      <c r="I51" s="59" t="n">
        <v>0.2</v>
      </c>
      <c r="J51" s="59" t="n">
        <v>0.3</v>
      </c>
      <c r="K51" s="45" t="n">
        <v>6850000</v>
      </c>
      <c r="L51" s="59" t="n">
        <v>0.018</v>
      </c>
      <c r="M51" s="46" t="n">
        <v>1</v>
      </c>
      <c r="N51" s="59" t="n">
        <v>0.215</v>
      </c>
      <c r="O51" s="59" t="n">
        <v>0.12</v>
      </c>
      <c r="P51" s="59" t="n">
        <v>0.08500000000000001</v>
      </c>
      <c r="Q51" s="59" t="n">
        <v>0.85</v>
      </c>
      <c r="R51" s="60" t="n">
        <v>0.002</v>
      </c>
      <c r="S51" s="52" t="n">
        <v>0</v>
      </c>
      <c r="T51" s="59" t="n">
        <v>0.0315</v>
      </c>
      <c r="U51" s="59" t="n">
        <v>0.02</v>
      </c>
      <c r="V51" s="59" t="n">
        <v>0.009599999999999999</v>
      </c>
      <c r="W51" s="45" t="n">
        <v>25600</v>
      </c>
      <c r="X51" s="45" t="n">
        <v>136000</v>
      </c>
      <c r="Y51" s="59" t="n">
        <v>0.0476</v>
      </c>
      <c r="Z51" s="59" t="n">
        <v>0.05</v>
      </c>
      <c r="AA51" s="59" t="n">
        <v>0.03</v>
      </c>
      <c r="AB51" s="45" t="n">
        <v>1</v>
      </c>
      <c r="AC51" s="45" t="n">
        <v>0</v>
      </c>
      <c r="AD51" s="45" t="n">
        <v>3630</v>
      </c>
    </row>
    <row r="52">
      <c r="A52" s="58" t="n">
        <v>1892</v>
      </c>
      <c r="B52" s="46" t="n">
        <v>0.7133</v>
      </c>
      <c r="C52" s="59" t="n">
        <v>0.019</v>
      </c>
      <c r="D52" s="45" t="n">
        <v>0</v>
      </c>
      <c r="E52" s="45" t="n">
        <v>65000</v>
      </c>
      <c r="F52" s="45" t="n">
        <v>22000</v>
      </c>
      <c r="G52" s="45" t="n">
        <v>8000</v>
      </c>
      <c r="H52" s="45" t="n">
        <v>5000</v>
      </c>
      <c r="I52" s="59" t="n">
        <v>0.2</v>
      </c>
      <c r="J52" s="59" t="n">
        <v>0.3</v>
      </c>
      <c r="K52" s="45" t="n">
        <v>6912000</v>
      </c>
      <c r="L52" s="59" t="n">
        <v>0.018</v>
      </c>
      <c r="M52" s="46" t="n">
        <v>1</v>
      </c>
      <c r="N52" s="59" t="n">
        <v>0.2133</v>
      </c>
      <c r="O52" s="59" t="n">
        <v>0.12</v>
      </c>
      <c r="P52" s="59" t="n">
        <v>0.08500000000000001</v>
      </c>
      <c r="Q52" s="59" t="n">
        <v>0.85</v>
      </c>
      <c r="R52" s="60" t="n">
        <v>0.002</v>
      </c>
      <c r="S52" s="52" t="n">
        <v>0</v>
      </c>
      <c r="T52" s="59" t="n">
        <v>0.032</v>
      </c>
      <c r="U52" s="59" t="n">
        <v>0.02</v>
      </c>
      <c r="V52" s="59" t="n">
        <v>0.0095</v>
      </c>
      <c r="W52" s="45" t="n">
        <v>26200</v>
      </c>
      <c r="X52" s="45" t="n">
        <v>138000</v>
      </c>
      <c r="Y52" s="59" t="n">
        <v>0.047</v>
      </c>
      <c r="Z52" s="59" t="n">
        <v>0.05</v>
      </c>
      <c r="AA52" s="59" t="n">
        <v>0.03</v>
      </c>
      <c r="AB52" s="45" t="n">
        <v>1</v>
      </c>
      <c r="AC52" s="45" t="n">
        <v>0</v>
      </c>
      <c r="AD52" s="45" t="n">
        <v>3760</v>
      </c>
    </row>
    <row r="53">
      <c r="A53" s="58" t="n">
        <v>1893</v>
      </c>
      <c r="B53" s="46" t="n">
        <v>0.705</v>
      </c>
      <c r="C53" s="59" t="n">
        <v>0.019</v>
      </c>
      <c r="D53" s="45" t="n">
        <v>0</v>
      </c>
      <c r="E53" s="45" t="n">
        <v>65000</v>
      </c>
      <c r="F53" s="45" t="n">
        <v>22000</v>
      </c>
      <c r="G53" s="45" t="n">
        <v>8000</v>
      </c>
      <c r="H53" s="45" t="n">
        <v>5000</v>
      </c>
      <c r="I53" s="59" t="n">
        <v>0.2</v>
      </c>
      <c r="J53" s="59" t="n">
        <v>0.3</v>
      </c>
      <c r="K53" s="45" t="n">
        <v>6975000</v>
      </c>
      <c r="L53" s="59" t="n">
        <v>0.018</v>
      </c>
      <c r="M53" s="46" t="n">
        <v>0.95</v>
      </c>
      <c r="N53" s="59" t="n">
        <v>0.2117</v>
      </c>
      <c r="O53" s="59" t="n">
        <v>0.12</v>
      </c>
      <c r="P53" s="59" t="n">
        <v>0.08500000000000001</v>
      </c>
      <c r="Q53" s="59" t="n">
        <v>0.85</v>
      </c>
      <c r="R53" s="60" t="n">
        <v>0.002</v>
      </c>
      <c r="S53" s="52" t="n">
        <v>0</v>
      </c>
      <c r="T53" s="59" t="n">
        <v>0.0325</v>
      </c>
      <c r="U53" s="59" t="n">
        <v>0.02</v>
      </c>
      <c r="V53" s="59" t="n">
        <v>0.0095</v>
      </c>
      <c r="W53" s="45" t="n">
        <v>26800</v>
      </c>
      <c r="X53" s="45" t="n">
        <v>140000</v>
      </c>
      <c r="Y53" s="59" t="n">
        <v>0.0463</v>
      </c>
      <c r="Z53" s="59" t="n">
        <v>0.05</v>
      </c>
      <c r="AA53" s="59" t="n">
        <v>0.03</v>
      </c>
      <c r="AB53" s="45" t="n">
        <v>1</v>
      </c>
      <c r="AC53" s="45" t="n">
        <v>0</v>
      </c>
      <c r="AD53" s="45" t="n">
        <v>3890</v>
      </c>
    </row>
    <row r="54">
      <c r="A54" s="58" t="n">
        <v>1894</v>
      </c>
      <c r="B54" s="46" t="n">
        <v>0.6967</v>
      </c>
      <c r="C54" s="59" t="n">
        <v>0.019</v>
      </c>
      <c r="D54" s="45" t="n">
        <v>0</v>
      </c>
      <c r="E54" s="45" t="n">
        <v>65000</v>
      </c>
      <c r="F54" s="45" t="n">
        <v>22000</v>
      </c>
      <c r="G54" s="45" t="n">
        <v>8000</v>
      </c>
      <c r="H54" s="45" t="n">
        <v>5000</v>
      </c>
      <c r="I54" s="59" t="n">
        <v>0.2</v>
      </c>
      <c r="J54" s="59" t="n">
        <v>0.3</v>
      </c>
      <c r="K54" s="45" t="n">
        <v>7038000</v>
      </c>
      <c r="L54" s="59" t="n">
        <v>0.018</v>
      </c>
      <c r="M54" s="46" t="n">
        <v>0.9399999999999999</v>
      </c>
      <c r="N54" s="59" t="n">
        <v>0.21</v>
      </c>
      <c r="O54" s="59" t="n">
        <v>0.12</v>
      </c>
      <c r="P54" s="59" t="n">
        <v>0.08500000000000001</v>
      </c>
      <c r="Q54" s="59" t="n">
        <v>0.85</v>
      </c>
      <c r="R54" s="60" t="n">
        <v>0.002</v>
      </c>
      <c r="S54" s="52" t="n">
        <v>0</v>
      </c>
      <c r="T54" s="59" t="n">
        <v>0.033</v>
      </c>
      <c r="U54" s="59" t="n">
        <v>0.02</v>
      </c>
      <c r="V54" s="59" t="n">
        <v>0.0094</v>
      </c>
      <c r="W54" s="45" t="n">
        <v>27400</v>
      </c>
      <c r="X54" s="45" t="n">
        <v>141000</v>
      </c>
      <c r="Y54" s="59" t="n">
        <v>0.0457</v>
      </c>
      <c r="Z54" s="59" t="n">
        <v>0.05</v>
      </c>
      <c r="AA54" s="59" t="n">
        <v>0.03</v>
      </c>
      <c r="AB54" s="45" t="n">
        <v>1</v>
      </c>
      <c r="AC54" s="45" t="n">
        <v>0</v>
      </c>
      <c r="AD54" s="45" t="n">
        <v>4020</v>
      </c>
    </row>
    <row r="55">
      <c r="A55" s="58" t="n">
        <v>1895</v>
      </c>
      <c r="B55" s="46" t="n">
        <v>0.6883</v>
      </c>
      <c r="C55" s="59" t="n">
        <v>0.019</v>
      </c>
      <c r="D55" s="45" t="n">
        <v>0</v>
      </c>
      <c r="E55" s="45" t="n">
        <v>65000</v>
      </c>
      <c r="F55" s="45" t="n">
        <v>22000</v>
      </c>
      <c r="G55" s="45" t="n">
        <v>8000</v>
      </c>
      <c r="H55" s="45" t="n">
        <v>5000</v>
      </c>
      <c r="I55" s="59" t="n">
        <v>0.2</v>
      </c>
      <c r="J55" s="59" t="n">
        <v>0.3</v>
      </c>
      <c r="K55" s="45" t="n">
        <v>7100000</v>
      </c>
      <c r="L55" s="59" t="n">
        <v>0.018</v>
      </c>
      <c r="M55" s="46" t="n">
        <v>0.97</v>
      </c>
      <c r="N55" s="59" t="n">
        <v>0.2083</v>
      </c>
      <c r="O55" s="59" t="n">
        <v>0.12</v>
      </c>
      <c r="P55" s="59" t="n">
        <v>0.08500000000000001</v>
      </c>
      <c r="Q55" s="59" t="n">
        <v>0.85</v>
      </c>
      <c r="R55" s="60" t="n">
        <v>0.002</v>
      </c>
      <c r="S55" s="52" t="n">
        <v>0</v>
      </c>
      <c r="T55" s="59" t="n">
        <v>0.0335</v>
      </c>
      <c r="U55" s="59" t="n">
        <v>0.02</v>
      </c>
      <c r="V55" s="59" t="n">
        <v>0.009299999999999999</v>
      </c>
      <c r="W55" s="45" t="n">
        <v>28000</v>
      </c>
      <c r="X55" s="45" t="n">
        <v>142000</v>
      </c>
      <c r="Y55" s="59" t="n">
        <v>0.045</v>
      </c>
      <c r="Z55" s="59" t="n">
        <v>0.05</v>
      </c>
      <c r="AA55" s="59" t="n">
        <v>0.03</v>
      </c>
      <c r="AB55" s="45" t="n">
        <v>1</v>
      </c>
      <c r="AC55" s="45" t="n">
        <v>0</v>
      </c>
      <c r="AD55" s="45" t="n">
        <v>4150</v>
      </c>
    </row>
    <row r="56">
      <c r="A56" s="58" t="n">
        <v>1896</v>
      </c>
      <c r="B56" s="46" t="n">
        <v>0.68</v>
      </c>
      <c r="C56" s="59" t="n">
        <v>0.019</v>
      </c>
      <c r="D56" s="45" t="n">
        <v>0</v>
      </c>
      <c r="E56" s="45" t="n">
        <v>65000</v>
      </c>
      <c r="F56" s="45" t="n">
        <v>22000</v>
      </c>
      <c r="G56" s="45" t="n">
        <v>8000</v>
      </c>
      <c r="H56" s="45" t="n">
        <v>5000</v>
      </c>
      <c r="I56" s="59" t="n">
        <v>0.2</v>
      </c>
      <c r="J56" s="59" t="n">
        <v>0.3</v>
      </c>
      <c r="K56" s="45" t="n">
        <v>7162000</v>
      </c>
      <c r="L56" s="59" t="n">
        <v>0.015</v>
      </c>
      <c r="M56" s="46" t="n">
        <v>0.98</v>
      </c>
      <c r="N56" s="59" t="n">
        <v>0.2067</v>
      </c>
      <c r="O56" s="59" t="n">
        <v>0.12</v>
      </c>
      <c r="P56" s="59" t="n">
        <v>0.074</v>
      </c>
      <c r="Q56" s="59" t="n">
        <v>0.85</v>
      </c>
      <c r="R56" s="60" t="n">
        <v>0.002</v>
      </c>
      <c r="S56" s="52" t="n">
        <v>0</v>
      </c>
      <c r="T56" s="59" t="n">
        <v>0.034</v>
      </c>
      <c r="U56" s="59" t="n">
        <v>0.02</v>
      </c>
      <c r="V56" s="59" t="n">
        <v>0.009299999999999999</v>
      </c>
      <c r="W56" s="45" t="n">
        <v>28400</v>
      </c>
      <c r="X56" s="45" t="n">
        <v>144000</v>
      </c>
      <c r="Y56" s="59" t="n">
        <v>0.0445</v>
      </c>
      <c r="Z56" s="59" t="n">
        <v>0.05</v>
      </c>
      <c r="AA56" s="59" t="n">
        <v>0.03</v>
      </c>
      <c r="AB56" s="45" t="n">
        <v>1</v>
      </c>
      <c r="AC56" s="45" t="n">
        <v>0</v>
      </c>
      <c r="AD56" s="45" t="n">
        <v>4280</v>
      </c>
    </row>
    <row r="57">
      <c r="A57" s="58" t="n">
        <v>1897</v>
      </c>
      <c r="B57" s="46" t="n">
        <v>0.7</v>
      </c>
      <c r="C57" s="59" t="n">
        <v>0.019</v>
      </c>
      <c r="D57" s="45" t="n">
        <v>0</v>
      </c>
      <c r="E57" s="45" t="n">
        <v>65000</v>
      </c>
      <c r="F57" s="45" t="n">
        <v>22000</v>
      </c>
      <c r="G57" s="45" t="n">
        <v>8000</v>
      </c>
      <c r="H57" s="45" t="n">
        <v>5000</v>
      </c>
      <c r="I57" s="59" t="n">
        <v>0.2</v>
      </c>
      <c r="J57" s="59" t="n">
        <v>0.3</v>
      </c>
      <c r="K57" s="45" t="n">
        <v>7225000</v>
      </c>
      <c r="L57" s="59" t="n">
        <v>0.015</v>
      </c>
      <c r="M57" s="46" t="n">
        <v>1</v>
      </c>
      <c r="N57" s="59" t="n">
        <v>0.205</v>
      </c>
      <c r="O57" s="59" t="n">
        <v>0.12</v>
      </c>
      <c r="P57" s="59" t="n">
        <v>0.074</v>
      </c>
      <c r="Q57" s="59" t="n">
        <v>0.85</v>
      </c>
      <c r="R57" s="60" t="n">
        <v>0.002</v>
      </c>
      <c r="S57" s="52" t="n">
        <v>0</v>
      </c>
      <c r="T57" s="59" t="n">
        <v>0.0345</v>
      </c>
      <c r="U57" s="59" t="n">
        <v>0.02</v>
      </c>
      <c r="V57" s="59" t="n">
        <v>0.0092</v>
      </c>
      <c r="W57" s="45" t="n">
        <v>28800</v>
      </c>
      <c r="X57" s="45" t="n">
        <v>146000</v>
      </c>
      <c r="Y57" s="59" t="n">
        <v>0.044</v>
      </c>
      <c r="Z57" s="59" t="n">
        <v>0.05</v>
      </c>
      <c r="AA57" s="59" t="n">
        <v>0.03</v>
      </c>
      <c r="AB57" s="45" t="n">
        <v>1</v>
      </c>
      <c r="AC57" s="45" t="n">
        <v>0</v>
      </c>
      <c r="AD57" s="45" t="n">
        <v>4410</v>
      </c>
    </row>
    <row r="58">
      <c r="A58" s="58" t="n">
        <v>1898</v>
      </c>
      <c r="B58" s="46" t="n">
        <v>0.72</v>
      </c>
      <c r="C58" s="59" t="n">
        <v>0.019</v>
      </c>
      <c r="D58" s="45" t="n">
        <v>0</v>
      </c>
      <c r="E58" s="45" t="n">
        <v>65000</v>
      </c>
      <c r="F58" s="45" t="n">
        <v>22000</v>
      </c>
      <c r="G58" s="45" t="n">
        <v>8000</v>
      </c>
      <c r="H58" s="45" t="n">
        <v>5000</v>
      </c>
      <c r="I58" s="59" t="n">
        <v>0.2</v>
      </c>
      <c r="J58" s="59" t="n">
        <v>0.3</v>
      </c>
      <c r="K58" s="45" t="n">
        <v>7288000</v>
      </c>
      <c r="L58" s="59" t="n">
        <v>0.015</v>
      </c>
      <c r="M58" s="46" t="n">
        <v>1</v>
      </c>
      <c r="N58" s="59" t="n">
        <v>0.2033</v>
      </c>
      <c r="O58" s="59" t="n">
        <v>0.12</v>
      </c>
      <c r="P58" s="59" t="n">
        <v>0.074</v>
      </c>
      <c r="Q58" s="59" t="n">
        <v>0.85</v>
      </c>
      <c r="R58" s="60" t="n">
        <v>0.002</v>
      </c>
      <c r="S58" s="52" t="n">
        <v>0</v>
      </c>
      <c r="T58" s="59" t="n">
        <v>0.035</v>
      </c>
      <c r="U58" s="59" t="n">
        <v>0.02</v>
      </c>
      <c r="V58" s="59" t="n">
        <v>0.0091</v>
      </c>
      <c r="W58" s="45" t="n">
        <v>29200</v>
      </c>
      <c r="X58" s="45" t="n">
        <v>147000</v>
      </c>
      <c r="Y58" s="59" t="n">
        <v>0.0435</v>
      </c>
      <c r="Z58" s="59" t="n">
        <v>0.05</v>
      </c>
      <c r="AA58" s="59" t="n">
        <v>0.03</v>
      </c>
      <c r="AB58" s="45" t="n">
        <v>1</v>
      </c>
      <c r="AC58" s="45" t="n">
        <v>0</v>
      </c>
      <c r="AD58" s="45" t="n">
        <v>4540</v>
      </c>
    </row>
    <row r="59">
      <c r="A59" s="58" t="n">
        <v>1899</v>
      </c>
      <c r="B59" s="46" t="n">
        <v>0.74</v>
      </c>
      <c r="C59" s="59" t="n">
        <v>0.019</v>
      </c>
      <c r="D59" s="45" t="n">
        <v>0</v>
      </c>
      <c r="E59" s="45" t="n">
        <v>65000</v>
      </c>
      <c r="F59" s="45" t="n">
        <v>22000</v>
      </c>
      <c r="G59" s="45" t="n">
        <v>8000</v>
      </c>
      <c r="H59" s="45" t="n">
        <v>5000</v>
      </c>
      <c r="I59" s="59" t="n">
        <v>0.2</v>
      </c>
      <c r="J59" s="59" t="n">
        <v>0.3</v>
      </c>
      <c r="K59" s="45" t="n">
        <v>7350000</v>
      </c>
      <c r="L59" s="59" t="n">
        <v>0.015</v>
      </c>
      <c r="M59" s="46" t="n">
        <v>1</v>
      </c>
      <c r="N59" s="59" t="n">
        <v>0.2017</v>
      </c>
      <c r="O59" s="59" t="n">
        <v>0.12</v>
      </c>
      <c r="P59" s="59" t="n">
        <v>0.074</v>
      </c>
      <c r="Q59" s="59" t="n">
        <v>0.85</v>
      </c>
      <c r="R59" s="60" t="n">
        <v>0.002</v>
      </c>
      <c r="S59" s="52" t="n">
        <v>0</v>
      </c>
      <c r="T59" s="59" t="n">
        <v>0.0355</v>
      </c>
      <c r="U59" s="59" t="n">
        <v>0.02</v>
      </c>
      <c r="V59" s="59" t="n">
        <v>0.0091</v>
      </c>
      <c r="W59" s="45" t="n">
        <v>29600</v>
      </c>
      <c r="X59" s="45" t="n">
        <v>148000</v>
      </c>
      <c r="Y59" s="59" t="n">
        <v>0.043</v>
      </c>
      <c r="Z59" s="59" t="n">
        <v>0.05</v>
      </c>
      <c r="AA59" s="59" t="n">
        <v>0.03</v>
      </c>
      <c r="AB59" s="45" t="n">
        <v>1</v>
      </c>
      <c r="AC59" s="45" t="n">
        <v>0</v>
      </c>
      <c r="AD59" s="45" t="n">
        <v>4670</v>
      </c>
    </row>
    <row r="60">
      <c r="A60" s="58" t="n">
        <v>1900</v>
      </c>
      <c r="B60" s="46" t="n">
        <v>0.76</v>
      </c>
      <c r="C60" s="59" t="n">
        <v>0.019</v>
      </c>
      <c r="D60" s="45" t="n">
        <v>0</v>
      </c>
      <c r="E60" s="45" t="n">
        <v>90000</v>
      </c>
      <c r="F60" s="45" t="n">
        <v>28000</v>
      </c>
      <c r="G60" s="45" t="n">
        <v>14000</v>
      </c>
      <c r="H60" s="45" t="n">
        <v>9000</v>
      </c>
      <c r="I60" s="59" t="n">
        <v>0.2</v>
      </c>
      <c r="J60" s="59" t="n">
        <v>0.3</v>
      </c>
      <c r="K60" s="45" t="n">
        <v>7412000</v>
      </c>
      <c r="L60" s="59" t="n">
        <v>0.015</v>
      </c>
      <c r="M60" s="46" t="n">
        <v>1</v>
      </c>
      <c r="N60" s="59" t="n">
        <v>0.2</v>
      </c>
      <c r="O60" s="59" t="n">
        <v>0.12</v>
      </c>
      <c r="P60" s="59" t="n">
        <v>0.074</v>
      </c>
      <c r="Q60" s="59" t="n">
        <v>0.85</v>
      </c>
      <c r="R60" s="60" t="n">
        <v>0.002</v>
      </c>
      <c r="S60" s="52" t="n">
        <v>0</v>
      </c>
      <c r="T60" s="59" t="n">
        <v>0.036</v>
      </c>
      <c r="U60" s="59" t="n">
        <v>0.02</v>
      </c>
      <c r="V60" s="59" t="n">
        <v>0.008999999999999999</v>
      </c>
      <c r="W60" s="45" t="n">
        <v>30000</v>
      </c>
      <c r="X60" s="45" t="n">
        <v>150000</v>
      </c>
      <c r="Y60" s="59" t="n">
        <v>0.0425</v>
      </c>
      <c r="Z60" s="59" t="n">
        <v>0.05</v>
      </c>
      <c r="AA60" s="59" t="n">
        <v>0.03</v>
      </c>
      <c r="AB60" s="45" t="n">
        <v>1</v>
      </c>
      <c r="AC60" s="45" t="n">
        <v>0</v>
      </c>
      <c r="AD60" s="45" t="n">
        <v>4800</v>
      </c>
    </row>
    <row r="61">
      <c r="A61" s="58" t="n">
        <v>1901</v>
      </c>
      <c r="B61" s="46" t="n">
        <v>0.772</v>
      </c>
      <c r="C61" s="59" t="n">
        <v>0.019</v>
      </c>
      <c r="D61" s="45" t="n">
        <v>0</v>
      </c>
      <c r="E61" s="45" t="n">
        <v>90000</v>
      </c>
      <c r="F61" s="45" t="n">
        <v>28000</v>
      </c>
      <c r="G61" s="45" t="n">
        <v>14000</v>
      </c>
      <c r="H61" s="45" t="n">
        <v>9000</v>
      </c>
      <c r="I61" s="59" t="n">
        <v>0.2</v>
      </c>
      <c r="J61" s="59" t="n">
        <v>0.3</v>
      </c>
      <c r="K61" s="45" t="n">
        <v>7475000</v>
      </c>
      <c r="L61" s="59" t="n">
        <v>0.015</v>
      </c>
      <c r="M61" s="46" t="n">
        <v>1</v>
      </c>
      <c r="N61" s="59" t="n">
        <v>0.1986</v>
      </c>
      <c r="O61" s="59" t="n">
        <v>0.12</v>
      </c>
      <c r="P61" s="59" t="n">
        <v>0.074</v>
      </c>
      <c r="Q61" s="59" t="n">
        <v>0.85</v>
      </c>
      <c r="R61" s="60" t="n">
        <v>0.002</v>
      </c>
      <c r="S61" s="52" t="n">
        <v>4</v>
      </c>
      <c r="T61" s="59" t="n">
        <v>0.0363</v>
      </c>
      <c r="U61" s="59" t="n">
        <v>0.02</v>
      </c>
      <c r="V61" s="59" t="n">
        <v>0.0089</v>
      </c>
      <c r="W61" s="45" t="n">
        <v>30400</v>
      </c>
      <c r="X61" s="45" t="n">
        <v>152000</v>
      </c>
      <c r="Y61" s="59" t="n">
        <v>0.042</v>
      </c>
      <c r="Z61" s="59" t="n">
        <v>0.05</v>
      </c>
      <c r="AA61" s="59" t="n">
        <v>0.03</v>
      </c>
      <c r="AB61" s="45" t="n">
        <v>1</v>
      </c>
      <c r="AC61" s="45" t="n">
        <v>0</v>
      </c>
      <c r="AD61" s="45" t="n">
        <v>5046</v>
      </c>
    </row>
    <row r="62">
      <c r="A62" s="58" t="n">
        <v>1902</v>
      </c>
      <c r="B62" s="46" t="n">
        <v>0.784</v>
      </c>
      <c r="C62" s="59" t="n">
        <v>0.019</v>
      </c>
      <c r="D62" s="45" t="n">
        <v>0</v>
      </c>
      <c r="E62" s="45" t="n">
        <v>90000</v>
      </c>
      <c r="F62" s="45" t="n">
        <v>28000</v>
      </c>
      <c r="G62" s="45" t="n">
        <v>14000</v>
      </c>
      <c r="H62" s="45" t="n">
        <v>9000</v>
      </c>
      <c r="I62" s="59" t="n">
        <v>0.2</v>
      </c>
      <c r="J62" s="59" t="n">
        <v>0.3</v>
      </c>
      <c r="K62" s="45" t="n">
        <v>7538000</v>
      </c>
      <c r="L62" s="59" t="n">
        <v>0.015</v>
      </c>
      <c r="M62" s="46" t="n">
        <v>1</v>
      </c>
      <c r="N62" s="59" t="n">
        <v>0.1972</v>
      </c>
      <c r="O62" s="59" t="n">
        <v>0.12</v>
      </c>
      <c r="P62" s="59" t="n">
        <v>0.074</v>
      </c>
      <c r="Q62" s="59" t="n">
        <v>0.85</v>
      </c>
      <c r="R62" s="60" t="n">
        <v>0.002</v>
      </c>
      <c r="S62" s="52" t="n">
        <v>6</v>
      </c>
      <c r="T62" s="59" t="n">
        <v>0.0366</v>
      </c>
      <c r="U62" s="59" t="n">
        <v>0.02</v>
      </c>
      <c r="V62" s="59" t="n">
        <v>0.008800000000000001</v>
      </c>
      <c r="W62" s="45" t="n">
        <v>30800</v>
      </c>
      <c r="X62" s="45" t="n">
        <v>155000</v>
      </c>
      <c r="Y62" s="59" t="n">
        <v>0.0415</v>
      </c>
      <c r="Z62" s="59" t="n">
        <v>0.05</v>
      </c>
      <c r="AA62" s="59" t="n">
        <v>0.03</v>
      </c>
      <c r="AB62" s="45" t="n">
        <v>1</v>
      </c>
      <c r="AC62" s="45" t="n">
        <v>0</v>
      </c>
      <c r="AD62" s="45" t="n">
        <v>5292</v>
      </c>
    </row>
    <row r="63">
      <c r="A63" s="58" t="n">
        <v>1903</v>
      </c>
      <c r="B63" s="46" t="n">
        <v>0.796</v>
      </c>
      <c r="C63" s="59" t="n">
        <v>0.019</v>
      </c>
      <c r="D63" s="45" t="n">
        <v>0</v>
      </c>
      <c r="E63" s="45" t="n">
        <v>90000</v>
      </c>
      <c r="F63" s="45" t="n">
        <v>28000</v>
      </c>
      <c r="G63" s="45" t="n">
        <v>14000</v>
      </c>
      <c r="H63" s="45" t="n">
        <v>9000</v>
      </c>
      <c r="I63" s="59" t="n">
        <v>0.2</v>
      </c>
      <c r="J63" s="59" t="n">
        <v>0.3</v>
      </c>
      <c r="K63" s="45" t="n">
        <v>7600000</v>
      </c>
      <c r="L63" s="59" t="n">
        <v>0.015</v>
      </c>
      <c r="M63" s="46" t="n">
        <v>1</v>
      </c>
      <c r="N63" s="59" t="n">
        <v>0.1959</v>
      </c>
      <c r="O63" s="59" t="n">
        <v>0.12</v>
      </c>
      <c r="P63" s="59" t="n">
        <v>0.074</v>
      </c>
      <c r="Q63" s="59" t="n">
        <v>0.85</v>
      </c>
      <c r="R63" s="60" t="n">
        <v>0.002</v>
      </c>
      <c r="S63" s="52" t="n">
        <v>8</v>
      </c>
      <c r="T63" s="59" t="n">
        <v>0.0369</v>
      </c>
      <c r="U63" s="59" t="n">
        <v>0.02</v>
      </c>
      <c r="V63" s="59" t="n">
        <v>0.008800000000000001</v>
      </c>
      <c r="W63" s="45" t="n">
        <v>31200</v>
      </c>
      <c r="X63" s="45" t="n">
        <v>157000</v>
      </c>
      <c r="Y63" s="59" t="n">
        <v>0.041</v>
      </c>
      <c r="Z63" s="59" t="n">
        <v>0.05</v>
      </c>
      <c r="AA63" s="59" t="n">
        <v>0.03</v>
      </c>
      <c r="AB63" s="45" t="n">
        <v>1</v>
      </c>
      <c r="AC63" s="45" t="n">
        <v>0</v>
      </c>
      <c r="AD63" s="45" t="n">
        <v>5538</v>
      </c>
    </row>
    <row r="64">
      <c r="A64" s="58" t="n">
        <v>1904</v>
      </c>
      <c r="B64" s="46" t="n">
        <v>0.8080000000000001</v>
      </c>
      <c r="C64" s="59" t="n">
        <v>0.019</v>
      </c>
      <c r="D64" s="45" t="n">
        <v>0</v>
      </c>
      <c r="E64" s="45" t="n">
        <v>90000</v>
      </c>
      <c r="F64" s="45" t="n">
        <v>28000</v>
      </c>
      <c r="G64" s="45" t="n">
        <v>14000</v>
      </c>
      <c r="H64" s="45" t="n">
        <v>9000</v>
      </c>
      <c r="I64" s="59" t="n">
        <v>0.2</v>
      </c>
      <c r="J64" s="59" t="n">
        <v>0.3</v>
      </c>
      <c r="K64" s="45" t="n">
        <v>7780000</v>
      </c>
      <c r="L64" s="59" t="n">
        <v>0.015</v>
      </c>
      <c r="M64" s="46" t="n">
        <v>1</v>
      </c>
      <c r="N64" s="59" t="n">
        <v>0.1945</v>
      </c>
      <c r="O64" s="59" t="n">
        <v>0.12</v>
      </c>
      <c r="P64" s="59" t="n">
        <v>0.074</v>
      </c>
      <c r="Q64" s="59" t="n">
        <v>0.85</v>
      </c>
      <c r="R64" s="60" t="n">
        <v>0.002</v>
      </c>
      <c r="S64" s="52" t="n">
        <v>9</v>
      </c>
      <c r="T64" s="59" t="n">
        <v>0.0372</v>
      </c>
      <c r="U64" s="59" t="n">
        <v>0.02</v>
      </c>
      <c r="V64" s="59" t="n">
        <v>0.008699999999999999</v>
      </c>
      <c r="W64" s="45" t="n">
        <v>31600</v>
      </c>
      <c r="X64" s="45" t="n">
        <v>159000</v>
      </c>
      <c r="Y64" s="59" t="n">
        <v>0.0405</v>
      </c>
      <c r="Z64" s="59" t="n">
        <v>0.05</v>
      </c>
      <c r="AA64" s="59" t="n">
        <v>0.03</v>
      </c>
      <c r="AB64" s="45" t="n">
        <v>1</v>
      </c>
      <c r="AC64" s="45" t="n">
        <v>0</v>
      </c>
      <c r="AD64" s="45" t="n">
        <v>5785</v>
      </c>
    </row>
    <row r="65">
      <c r="A65" s="58" t="n">
        <v>1905</v>
      </c>
      <c r="B65" s="46" t="n">
        <v>0.82</v>
      </c>
      <c r="C65" s="59" t="n">
        <v>0.019</v>
      </c>
      <c r="D65" s="45" t="n">
        <v>0</v>
      </c>
      <c r="E65" s="45" t="n">
        <v>90000</v>
      </c>
      <c r="F65" s="45" t="n">
        <v>28000</v>
      </c>
      <c r="G65" s="45" t="n">
        <v>14000</v>
      </c>
      <c r="H65" s="45" t="n">
        <v>9000</v>
      </c>
      <c r="I65" s="59" t="n">
        <v>0.2</v>
      </c>
      <c r="J65" s="59" t="n">
        <v>0.3</v>
      </c>
      <c r="K65" s="45" t="n">
        <v>7960000</v>
      </c>
      <c r="L65" s="59" t="n">
        <v>0.015</v>
      </c>
      <c r="M65" s="46" t="n">
        <v>1</v>
      </c>
      <c r="N65" s="59" t="n">
        <v>0.1931</v>
      </c>
      <c r="O65" s="59" t="n">
        <v>0.12</v>
      </c>
      <c r="P65" s="59" t="n">
        <v>0.074</v>
      </c>
      <c r="Q65" s="59" t="n">
        <v>0.85</v>
      </c>
      <c r="R65" s="60" t="n">
        <v>0.002</v>
      </c>
      <c r="S65" s="52" t="n">
        <v>10</v>
      </c>
      <c r="T65" s="59" t="n">
        <v>0.0375</v>
      </c>
      <c r="U65" s="59" t="n">
        <v>0.02</v>
      </c>
      <c r="V65" s="59" t="n">
        <v>0.0086</v>
      </c>
      <c r="W65" s="45" t="n">
        <v>32000</v>
      </c>
      <c r="X65" s="45" t="n">
        <v>162000</v>
      </c>
      <c r="Y65" s="59" t="n">
        <v>0.04</v>
      </c>
      <c r="Z65" s="59" t="n">
        <v>0.05</v>
      </c>
      <c r="AA65" s="59" t="n">
        <v>0.03</v>
      </c>
      <c r="AB65" s="45" t="n">
        <v>1</v>
      </c>
      <c r="AC65" s="45" t="n">
        <v>0</v>
      </c>
      <c r="AD65" s="45" t="n">
        <v>6031</v>
      </c>
    </row>
    <row r="66">
      <c r="A66" s="58" t="n">
        <v>1906</v>
      </c>
      <c r="B66" s="46" t="n">
        <v>0.844</v>
      </c>
      <c r="C66" s="59" t="n">
        <v>0.019</v>
      </c>
      <c r="D66" s="45" t="n">
        <v>0</v>
      </c>
      <c r="E66" s="45" t="n">
        <v>90000</v>
      </c>
      <c r="F66" s="45" t="n">
        <v>28000</v>
      </c>
      <c r="G66" s="45" t="n">
        <v>14000</v>
      </c>
      <c r="H66" s="45" t="n">
        <v>9000</v>
      </c>
      <c r="I66" s="59" t="n">
        <v>0.2</v>
      </c>
      <c r="J66" s="59" t="n">
        <v>0.3</v>
      </c>
      <c r="K66" s="45" t="n">
        <v>8140000</v>
      </c>
      <c r="L66" s="59" t="n">
        <v>0.015</v>
      </c>
      <c r="M66" s="46" t="n">
        <v>1</v>
      </c>
      <c r="N66" s="59" t="n">
        <v>0.1917</v>
      </c>
      <c r="O66" s="59" t="n">
        <v>0.12</v>
      </c>
      <c r="P66" s="59" t="n">
        <v>0.074</v>
      </c>
      <c r="Q66" s="59" t="n">
        <v>0.85</v>
      </c>
      <c r="R66" s="60" t="n">
        <v>0.002</v>
      </c>
      <c r="S66" s="52" t="n">
        <v>10.8</v>
      </c>
      <c r="T66" s="59" t="n">
        <v>0.0378</v>
      </c>
      <c r="U66" s="59" t="n">
        <v>0.02</v>
      </c>
      <c r="V66" s="59" t="n">
        <v>0.008500000000000001</v>
      </c>
      <c r="W66" s="45" t="n">
        <v>32500</v>
      </c>
      <c r="X66" s="45" t="n">
        <v>164000</v>
      </c>
      <c r="Y66" s="59" t="n">
        <v>0.0411</v>
      </c>
      <c r="Z66" s="59" t="n">
        <v>0.05</v>
      </c>
      <c r="AA66" s="59" t="n">
        <v>0.03</v>
      </c>
      <c r="AB66" s="45" t="n">
        <v>1</v>
      </c>
      <c r="AC66" s="45" t="n">
        <v>0</v>
      </c>
      <c r="AD66" s="45" t="n">
        <v>6277</v>
      </c>
    </row>
    <row r="67">
      <c r="A67" s="58" t="n">
        <v>1907</v>
      </c>
      <c r="B67" s="46" t="n">
        <v>0.868</v>
      </c>
      <c r="C67" s="59" t="n">
        <v>0.019</v>
      </c>
      <c r="D67" s="45" t="n">
        <v>0</v>
      </c>
      <c r="E67" s="45" t="n">
        <v>90000</v>
      </c>
      <c r="F67" s="45" t="n">
        <v>28000</v>
      </c>
      <c r="G67" s="45" t="n">
        <v>25000</v>
      </c>
      <c r="H67" s="45" t="n">
        <v>9000</v>
      </c>
      <c r="I67" s="59" t="n">
        <v>0.2</v>
      </c>
      <c r="J67" s="59" t="n">
        <v>0.3</v>
      </c>
      <c r="K67" s="45" t="n">
        <v>8320000</v>
      </c>
      <c r="L67" s="59" t="n">
        <v>0.015</v>
      </c>
      <c r="M67" s="46" t="n">
        <v>0.985</v>
      </c>
      <c r="N67" s="59" t="n">
        <v>0.1903</v>
      </c>
      <c r="O67" s="59" t="n">
        <v>0.12</v>
      </c>
      <c r="P67" s="59" t="n">
        <v>0.074</v>
      </c>
      <c r="Q67" s="59" t="n">
        <v>0.85</v>
      </c>
      <c r="R67" s="60" t="n">
        <v>0.002</v>
      </c>
      <c r="S67" s="52" t="n">
        <v>11.6</v>
      </c>
      <c r="T67" s="59" t="n">
        <v>0.0382</v>
      </c>
      <c r="U67" s="59" t="n">
        <v>0.02</v>
      </c>
      <c r="V67" s="59" t="n">
        <v>0.008500000000000001</v>
      </c>
      <c r="W67" s="45" t="n">
        <v>33000</v>
      </c>
      <c r="X67" s="45" t="n">
        <v>166000</v>
      </c>
      <c r="Y67" s="59" t="n">
        <v>0.0422</v>
      </c>
      <c r="Z67" s="59" t="n">
        <v>0.05</v>
      </c>
      <c r="AA67" s="59" t="n">
        <v>0.03</v>
      </c>
      <c r="AB67" s="45" t="n">
        <v>1</v>
      </c>
      <c r="AC67" s="45" t="n">
        <v>0</v>
      </c>
      <c r="AD67" s="45" t="n">
        <v>6523</v>
      </c>
    </row>
    <row r="68">
      <c r="A68" s="58" t="n">
        <v>1908</v>
      </c>
      <c r="B68" s="46" t="n">
        <v>0.892</v>
      </c>
      <c r="C68" s="59" t="n">
        <v>0.019</v>
      </c>
      <c r="D68" s="45" t="n">
        <v>0</v>
      </c>
      <c r="E68" s="45" t="n">
        <v>90000</v>
      </c>
      <c r="F68" s="45" t="n">
        <v>28000</v>
      </c>
      <c r="G68" s="45" t="n">
        <v>25000</v>
      </c>
      <c r="H68" s="45" t="n">
        <v>9000</v>
      </c>
      <c r="I68" s="59" t="n">
        <v>0.2</v>
      </c>
      <c r="J68" s="59" t="n">
        <v>0.3</v>
      </c>
      <c r="K68" s="45" t="n">
        <v>8500000</v>
      </c>
      <c r="L68" s="59" t="n">
        <v>0.015</v>
      </c>
      <c r="M68" s="46" t="n">
        <v>0.95</v>
      </c>
      <c r="N68" s="59" t="n">
        <v>0.189</v>
      </c>
      <c r="O68" s="59" t="n">
        <v>0.12</v>
      </c>
      <c r="P68" s="59" t="n">
        <v>0.074</v>
      </c>
      <c r="Q68" s="59" t="n">
        <v>0.85</v>
      </c>
      <c r="R68" s="60" t="n">
        <v>0.002</v>
      </c>
      <c r="S68" s="52" t="n">
        <v>12.4</v>
      </c>
      <c r="T68" s="59" t="n">
        <v>0.0385</v>
      </c>
      <c r="U68" s="59" t="n">
        <v>0.02</v>
      </c>
      <c r="V68" s="59" t="n">
        <v>0.008399999999999999</v>
      </c>
      <c r="W68" s="45" t="n">
        <v>33500</v>
      </c>
      <c r="X68" s="45" t="n">
        <v>168000</v>
      </c>
      <c r="Y68" s="59" t="n">
        <v>0.0433</v>
      </c>
      <c r="Z68" s="59" t="n">
        <v>0.05</v>
      </c>
      <c r="AA68" s="59" t="n">
        <v>0.03</v>
      </c>
      <c r="AB68" s="45" t="n">
        <v>1</v>
      </c>
      <c r="AC68" s="45" t="n">
        <v>0</v>
      </c>
      <c r="AD68" s="45" t="n">
        <v>6769</v>
      </c>
    </row>
    <row r="69">
      <c r="A69" s="58" t="n">
        <v>1909</v>
      </c>
      <c r="B69" s="46" t="n">
        <v>0.916</v>
      </c>
      <c r="C69" s="59" t="n">
        <v>0.019</v>
      </c>
      <c r="D69" s="45" t="n">
        <v>0</v>
      </c>
      <c r="E69" s="45" t="n">
        <v>90000</v>
      </c>
      <c r="F69" s="45" t="n">
        <v>28000</v>
      </c>
      <c r="G69" s="45" t="n">
        <v>25000</v>
      </c>
      <c r="H69" s="45" t="n">
        <v>9000</v>
      </c>
      <c r="I69" s="59" t="n">
        <v>0.2</v>
      </c>
      <c r="J69" s="59" t="n">
        <v>0.3</v>
      </c>
      <c r="K69" s="45" t="n">
        <v>8680000</v>
      </c>
      <c r="L69" s="59" t="n">
        <v>0.015</v>
      </c>
      <c r="M69" s="46" t="n">
        <v>1</v>
      </c>
      <c r="N69" s="59" t="n">
        <v>0.1876</v>
      </c>
      <c r="O69" s="59" t="n">
        <v>0.12</v>
      </c>
      <c r="P69" s="59" t="n">
        <v>0.074</v>
      </c>
      <c r="Q69" s="59" t="n">
        <v>0.85</v>
      </c>
      <c r="R69" s="60" t="n">
        <v>0.002</v>
      </c>
      <c r="S69" s="52" t="n">
        <v>13.2</v>
      </c>
      <c r="T69" s="59" t="n">
        <v>0.0388</v>
      </c>
      <c r="U69" s="59" t="n">
        <v>0.02</v>
      </c>
      <c r="V69" s="59" t="n">
        <v>0.0083</v>
      </c>
      <c r="W69" s="45" t="n">
        <v>34000</v>
      </c>
      <c r="X69" s="45" t="n">
        <v>171000</v>
      </c>
      <c r="Y69" s="59" t="n">
        <v>0.0444</v>
      </c>
      <c r="Z69" s="59" t="n">
        <v>0.05</v>
      </c>
      <c r="AA69" s="59" t="n">
        <v>0.03</v>
      </c>
      <c r="AB69" s="45" t="n">
        <v>1</v>
      </c>
      <c r="AC69" s="45" t="n">
        <v>0</v>
      </c>
      <c r="AD69" s="45" t="n">
        <v>7015</v>
      </c>
    </row>
    <row r="70">
      <c r="A70" s="58" t="n">
        <v>1910</v>
      </c>
      <c r="B70" s="46" t="n">
        <v>0.9399999999999999</v>
      </c>
      <c r="C70" s="59" t="n">
        <v>0.019</v>
      </c>
      <c r="D70" s="45" t="n">
        <v>0</v>
      </c>
      <c r="E70" s="45" t="n">
        <v>90000</v>
      </c>
      <c r="F70" s="45" t="n">
        <v>28000</v>
      </c>
      <c r="G70" s="45" t="n">
        <v>25000</v>
      </c>
      <c r="H70" s="45" t="n">
        <v>9000</v>
      </c>
      <c r="I70" s="59" t="n">
        <v>0.2</v>
      </c>
      <c r="J70" s="59" t="n">
        <v>0.3</v>
      </c>
      <c r="K70" s="45" t="n">
        <v>8860000</v>
      </c>
      <c r="L70" s="59" t="n">
        <v>0.015</v>
      </c>
      <c r="M70" s="46" t="n">
        <v>1</v>
      </c>
      <c r="N70" s="59" t="n">
        <v>0.1862</v>
      </c>
      <c r="O70" s="59" t="n">
        <v>0.12</v>
      </c>
      <c r="P70" s="59" t="n">
        <v>0.074</v>
      </c>
      <c r="Q70" s="59" t="n">
        <v>0.85</v>
      </c>
      <c r="R70" s="60" t="n">
        <v>0.002</v>
      </c>
      <c r="S70" s="52" t="n">
        <v>14</v>
      </c>
      <c r="T70" s="59" t="n">
        <v>0.0391</v>
      </c>
      <c r="U70" s="59" t="n">
        <v>0.02</v>
      </c>
      <c r="V70" s="59" t="n">
        <v>0.008200000000000001</v>
      </c>
      <c r="W70" s="45" t="n">
        <v>34500</v>
      </c>
      <c r="X70" s="45" t="n">
        <v>173000</v>
      </c>
      <c r="Y70" s="59" t="n">
        <v>0.0456</v>
      </c>
      <c r="Z70" s="59" t="n">
        <v>0.05</v>
      </c>
      <c r="AA70" s="59" t="n">
        <v>0.03</v>
      </c>
      <c r="AB70" s="45" t="n">
        <v>1</v>
      </c>
      <c r="AC70" s="45" t="n">
        <v>0</v>
      </c>
      <c r="AD70" s="45" t="n">
        <v>7262</v>
      </c>
    </row>
    <row r="71">
      <c r="A71" s="58" t="n">
        <v>1911</v>
      </c>
      <c r="B71" s="46" t="n">
        <v>0.96</v>
      </c>
      <c r="C71" s="59" t="n">
        <v>0.019</v>
      </c>
      <c r="D71" s="45" t="n">
        <v>0</v>
      </c>
      <c r="E71" s="45" t="n">
        <v>90000</v>
      </c>
      <c r="F71" s="45" t="n">
        <v>28000</v>
      </c>
      <c r="G71" s="45" t="n">
        <v>25000</v>
      </c>
      <c r="H71" s="45" t="n">
        <v>9000</v>
      </c>
      <c r="I71" s="59" t="n">
        <v>0.2</v>
      </c>
      <c r="J71" s="59" t="n">
        <v>0.3</v>
      </c>
      <c r="K71" s="45" t="n">
        <v>9040000</v>
      </c>
      <c r="L71" s="59" t="n">
        <v>0.015</v>
      </c>
      <c r="M71" s="46" t="n">
        <v>1</v>
      </c>
      <c r="N71" s="59" t="n">
        <v>0.1848</v>
      </c>
      <c r="O71" s="59" t="n">
        <v>0.12</v>
      </c>
      <c r="P71" s="59" t="n">
        <v>0.074</v>
      </c>
      <c r="Q71" s="59" t="n">
        <v>0.85</v>
      </c>
      <c r="R71" s="60" t="n">
        <v>0.002</v>
      </c>
      <c r="S71" s="52" t="n">
        <v>14.7</v>
      </c>
      <c r="T71" s="59" t="n">
        <v>0.0394</v>
      </c>
      <c r="U71" s="59" t="n">
        <v>0.02</v>
      </c>
      <c r="V71" s="59" t="n">
        <v>0.008200000000000001</v>
      </c>
      <c r="W71" s="45" t="n">
        <v>35000</v>
      </c>
      <c r="X71" s="45" t="n">
        <v>175000</v>
      </c>
      <c r="Y71" s="59" t="n">
        <v>0.0467</v>
      </c>
      <c r="Z71" s="59" t="n">
        <v>0.05</v>
      </c>
      <c r="AA71" s="59" t="n">
        <v>0.03</v>
      </c>
      <c r="AB71" s="45" t="n">
        <v>1</v>
      </c>
      <c r="AC71" s="45" t="n">
        <v>0</v>
      </c>
      <c r="AD71" s="45" t="n">
        <v>7508</v>
      </c>
    </row>
    <row r="72">
      <c r="A72" s="58" t="n">
        <v>1912</v>
      </c>
      <c r="B72" s="46" t="n">
        <v>0.98</v>
      </c>
      <c r="C72" s="59" t="n">
        <v>0.019</v>
      </c>
      <c r="D72" s="45" t="n">
        <v>0</v>
      </c>
      <c r="E72" s="45" t="n">
        <v>90000</v>
      </c>
      <c r="F72" s="45" t="n">
        <v>28000</v>
      </c>
      <c r="G72" s="45" t="n">
        <v>25000</v>
      </c>
      <c r="H72" s="45" t="n">
        <v>9000</v>
      </c>
      <c r="I72" s="59" t="n">
        <v>0.2</v>
      </c>
      <c r="J72" s="59" t="n">
        <v>0.3</v>
      </c>
      <c r="K72" s="45" t="n">
        <v>9220000</v>
      </c>
      <c r="L72" s="59" t="n">
        <v>0.015</v>
      </c>
      <c r="M72" s="46" t="n">
        <v>1</v>
      </c>
      <c r="N72" s="59" t="n">
        <v>0.1834</v>
      </c>
      <c r="O72" s="59" t="n">
        <v>0.12</v>
      </c>
      <c r="P72" s="59" t="n">
        <v>0.074</v>
      </c>
      <c r="Q72" s="59" t="n">
        <v>0.85</v>
      </c>
      <c r="R72" s="60" t="n">
        <v>0.002</v>
      </c>
      <c r="S72" s="52" t="n">
        <v>15.3</v>
      </c>
      <c r="T72" s="59" t="n">
        <v>0.0397</v>
      </c>
      <c r="U72" s="59" t="n">
        <v>0.02</v>
      </c>
      <c r="V72" s="59" t="n">
        <v>0.0081</v>
      </c>
      <c r="W72" s="45" t="n">
        <v>35500</v>
      </c>
      <c r="X72" s="45" t="n">
        <v>178000</v>
      </c>
      <c r="Y72" s="59" t="n">
        <v>0.0478</v>
      </c>
      <c r="Z72" s="59" t="n">
        <v>0.05</v>
      </c>
      <c r="AA72" s="59" t="n">
        <v>0.03</v>
      </c>
      <c r="AB72" s="45" t="n">
        <v>1</v>
      </c>
      <c r="AC72" s="45" t="n">
        <v>0</v>
      </c>
      <c r="AD72" s="45" t="n">
        <v>7754</v>
      </c>
    </row>
    <row r="73">
      <c r="A73" s="58" t="n">
        <v>1913</v>
      </c>
      <c r="B73" s="46" t="n">
        <v>1</v>
      </c>
      <c r="C73" s="59" t="n">
        <v>0.017</v>
      </c>
      <c r="D73" s="45" t="n">
        <v>0</v>
      </c>
      <c r="E73" s="45" t="n">
        <v>90000</v>
      </c>
      <c r="F73" s="45" t="n">
        <v>28000</v>
      </c>
      <c r="G73" s="45" t="n">
        <v>25000</v>
      </c>
      <c r="H73" s="45" t="n">
        <v>9000</v>
      </c>
      <c r="I73" s="59" t="n">
        <v>0.2</v>
      </c>
      <c r="J73" s="59" t="n">
        <v>0.3</v>
      </c>
      <c r="K73" s="45" t="n">
        <v>9400000</v>
      </c>
      <c r="L73" s="59" t="n">
        <v>0.015</v>
      </c>
      <c r="M73" s="46" t="n">
        <v>1</v>
      </c>
      <c r="N73" s="59" t="n">
        <v>0.1821</v>
      </c>
      <c r="O73" s="59" t="n">
        <v>0.12</v>
      </c>
      <c r="P73" s="59" t="n">
        <v>0.074</v>
      </c>
      <c r="Q73" s="59" t="n">
        <v>0.85</v>
      </c>
      <c r="R73" s="60" t="n">
        <v>0.002</v>
      </c>
      <c r="S73" s="52" t="n">
        <v>16</v>
      </c>
      <c r="T73" s="59" t="n">
        <v>0.04</v>
      </c>
      <c r="U73" s="59" t="n">
        <v>0.02</v>
      </c>
      <c r="V73" s="59" t="n">
        <v>0.008</v>
      </c>
      <c r="W73" s="45" t="n">
        <v>36000</v>
      </c>
      <c r="X73" s="45" t="n">
        <v>180000</v>
      </c>
      <c r="Y73" s="59" t="n">
        <v>0.0489</v>
      </c>
      <c r="Z73" s="59" t="n">
        <v>0.05</v>
      </c>
      <c r="AA73" s="59" t="n">
        <v>0.03</v>
      </c>
      <c r="AB73" s="45" t="n">
        <v>1</v>
      </c>
      <c r="AC73" s="45" t="n">
        <v>0</v>
      </c>
      <c r="AD73" s="45" t="n">
        <v>8000</v>
      </c>
    </row>
    <row r="74">
      <c r="A74" s="61" t="n">
        <v>1914</v>
      </c>
      <c r="B74" s="46" t="n">
        <v>1.01</v>
      </c>
      <c r="C74" s="59" t="n">
        <v>0.017</v>
      </c>
      <c r="D74" s="45" t="n">
        <v>0</v>
      </c>
      <c r="E74" s="45" t="n">
        <v>35000</v>
      </c>
      <c r="F74" s="45" t="n">
        <v>14000</v>
      </c>
      <c r="G74" s="45" t="n">
        <v>14000</v>
      </c>
      <c r="H74" s="45" t="n">
        <v>7000</v>
      </c>
      <c r="I74" s="59" t="n">
        <v>0.2</v>
      </c>
      <c r="J74" s="59" t="n">
        <v>0.3</v>
      </c>
      <c r="K74" s="45" t="n">
        <v>9580000</v>
      </c>
      <c r="L74" s="59" t="n">
        <v>0.008</v>
      </c>
      <c r="M74" s="46" t="n">
        <v>0.97</v>
      </c>
      <c r="N74" s="59" t="n">
        <v>0.1807</v>
      </c>
      <c r="O74" s="59" t="n">
        <v>0.12</v>
      </c>
      <c r="P74" s="59" t="n">
        <v>0.074</v>
      </c>
      <c r="Q74" s="59" t="n">
        <v>0.85</v>
      </c>
      <c r="R74" s="60" t="n">
        <v>0.002</v>
      </c>
      <c r="S74" s="52" t="n">
        <v>14</v>
      </c>
      <c r="T74" s="59" t="n">
        <v>0.0403</v>
      </c>
      <c r="U74" s="59" t="n">
        <v>0.02</v>
      </c>
      <c r="V74" s="59" t="n">
        <v>0.008</v>
      </c>
      <c r="W74" s="45" t="n">
        <v>40000</v>
      </c>
      <c r="X74" s="45" t="n">
        <v>182000</v>
      </c>
      <c r="Y74" s="59" t="n">
        <v>0.05</v>
      </c>
      <c r="Z74" s="59" t="n">
        <v>0.05</v>
      </c>
      <c r="AA74" s="59" t="n">
        <v>0</v>
      </c>
      <c r="AB74" s="45" t="n">
        <v>1</v>
      </c>
      <c r="AC74" s="45" t="n">
        <v>1</v>
      </c>
      <c r="AD74" s="45" t="n">
        <v>8071</v>
      </c>
    </row>
    <row r="75">
      <c r="A75" s="61" t="n">
        <v>1915</v>
      </c>
      <c r="B75" s="46" t="n">
        <v>1.04</v>
      </c>
      <c r="C75" s="59" t="n">
        <v>0.017</v>
      </c>
      <c r="D75" s="45" t="n">
        <v>0</v>
      </c>
      <c r="E75" s="45" t="n">
        <v>35000</v>
      </c>
      <c r="F75" s="45" t="n">
        <v>14000</v>
      </c>
      <c r="G75" s="45" t="n">
        <v>14000</v>
      </c>
      <c r="H75" s="45" t="n">
        <v>7000</v>
      </c>
      <c r="I75" s="59" t="n">
        <v>0.2</v>
      </c>
      <c r="J75" s="59" t="n">
        <v>0.3</v>
      </c>
      <c r="K75" s="45" t="n">
        <v>9760000</v>
      </c>
      <c r="L75" s="59" t="n">
        <v>0.008</v>
      </c>
      <c r="M75" s="46" t="n">
        <v>1</v>
      </c>
      <c r="N75" s="59" t="n">
        <v>0.1793</v>
      </c>
      <c r="O75" s="59" t="n">
        <v>0.12</v>
      </c>
      <c r="P75" s="59" t="n">
        <v>0.095</v>
      </c>
      <c r="Q75" s="59" t="n">
        <v>0.85</v>
      </c>
      <c r="R75" s="60" t="n">
        <v>0.002</v>
      </c>
      <c r="S75" s="52" t="n">
        <v>12</v>
      </c>
      <c r="T75" s="59" t="n">
        <v>0.0406</v>
      </c>
      <c r="U75" s="59" t="n">
        <v>0.02</v>
      </c>
      <c r="V75" s="59" t="n">
        <v>0.008</v>
      </c>
      <c r="W75" s="45" t="n">
        <v>41200</v>
      </c>
      <c r="X75" s="45" t="n">
        <v>185000</v>
      </c>
      <c r="Y75" s="59" t="n">
        <v>0.0498</v>
      </c>
      <c r="Z75" s="59" t="n">
        <v>0.05</v>
      </c>
      <c r="AA75" s="59" t="n">
        <v>0</v>
      </c>
      <c r="AB75" s="45" t="n">
        <v>1</v>
      </c>
      <c r="AC75" s="45" t="n">
        <v>1</v>
      </c>
      <c r="AD75" s="45" t="n">
        <v>8143</v>
      </c>
    </row>
    <row r="76">
      <c r="A76" s="61" t="n">
        <v>1916</v>
      </c>
      <c r="B76" s="46" t="n">
        <v>1.17</v>
      </c>
      <c r="C76" s="59" t="n">
        <v>0.017</v>
      </c>
      <c r="D76" s="45" t="n">
        <v>0</v>
      </c>
      <c r="E76" s="45" t="n">
        <v>35000</v>
      </c>
      <c r="F76" s="45" t="n">
        <v>14000</v>
      </c>
      <c r="G76" s="45" t="n">
        <v>14000</v>
      </c>
      <c r="H76" s="45" t="n">
        <v>7000</v>
      </c>
      <c r="I76" s="59" t="n">
        <v>0.2</v>
      </c>
      <c r="J76" s="59" t="n">
        <v>0.3</v>
      </c>
      <c r="K76" s="45" t="n">
        <v>9940000</v>
      </c>
      <c r="L76" s="59" t="n">
        <v>0.008</v>
      </c>
      <c r="M76" s="46" t="n">
        <v>1</v>
      </c>
      <c r="N76" s="59" t="n">
        <v>0.1779</v>
      </c>
      <c r="O76" s="59" t="n">
        <v>0.12</v>
      </c>
      <c r="P76" s="59" t="n">
        <v>0.095</v>
      </c>
      <c r="Q76" s="59" t="n">
        <v>0.85</v>
      </c>
      <c r="R76" s="60" t="n">
        <v>0.002</v>
      </c>
      <c r="S76" s="52" t="n">
        <v>12.7</v>
      </c>
      <c r="T76" s="59" t="n">
        <v>0.0409</v>
      </c>
      <c r="U76" s="59" t="n">
        <v>0.02</v>
      </c>
      <c r="V76" s="59" t="n">
        <v>0.008</v>
      </c>
      <c r="W76" s="45" t="n">
        <v>42500</v>
      </c>
      <c r="X76" s="45" t="n">
        <v>188000</v>
      </c>
      <c r="Y76" s="59" t="n">
        <v>0.0496</v>
      </c>
      <c r="Z76" s="59" t="n">
        <v>0.05</v>
      </c>
      <c r="AA76" s="59" t="n">
        <v>0</v>
      </c>
      <c r="AB76" s="45" t="n">
        <v>1</v>
      </c>
      <c r="AC76" s="45" t="n">
        <v>1</v>
      </c>
      <c r="AD76" s="45" t="n">
        <v>8214</v>
      </c>
    </row>
    <row r="77">
      <c r="A77" s="61" t="n">
        <v>1917</v>
      </c>
      <c r="B77" s="46" t="n">
        <v>1.42</v>
      </c>
      <c r="C77" s="59" t="n">
        <v>0.015</v>
      </c>
      <c r="D77" s="45" t="n">
        <v>0</v>
      </c>
      <c r="E77" s="45" t="n">
        <v>35000</v>
      </c>
      <c r="F77" s="45" t="n">
        <v>14000</v>
      </c>
      <c r="G77" s="45" t="n">
        <v>14000</v>
      </c>
      <c r="H77" s="45" t="n">
        <v>7000</v>
      </c>
      <c r="I77" s="59" t="n">
        <v>0.2</v>
      </c>
      <c r="J77" s="59" t="n">
        <v>0.3</v>
      </c>
      <c r="K77" s="45" t="n">
        <v>10120000</v>
      </c>
      <c r="L77" s="59" t="n">
        <v>0.008</v>
      </c>
      <c r="M77" s="46" t="n">
        <v>1</v>
      </c>
      <c r="N77" s="59" t="n">
        <v>0.1766</v>
      </c>
      <c r="O77" s="59" t="n">
        <v>0.12</v>
      </c>
      <c r="P77" s="59" t="n">
        <v>0.095</v>
      </c>
      <c r="Q77" s="59" t="n">
        <v>0.85</v>
      </c>
      <c r="R77" s="60" t="n">
        <v>0.002</v>
      </c>
      <c r="S77" s="52" t="n">
        <v>13.3</v>
      </c>
      <c r="T77" s="59" t="n">
        <v>0.0411</v>
      </c>
      <c r="U77" s="59" t="n">
        <v>0.02</v>
      </c>
      <c r="V77" s="59" t="n">
        <v>0.008</v>
      </c>
      <c r="W77" s="45" t="n">
        <v>43800</v>
      </c>
      <c r="X77" s="45" t="n">
        <v>190000</v>
      </c>
      <c r="Y77" s="59" t="n">
        <v>0.0493</v>
      </c>
      <c r="Z77" s="59" t="n">
        <v>0.05</v>
      </c>
      <c r="AA77" s="59" t="n">
        <v>0</v>
      </c>
      <c r="AB77" s="45" t="n">
        <v>1</v>
      </c>
      <c r="AC77" s="45" t="n">
        <v>1</v>
      </c>
      <c r="AD77" s="45" t="n">
        <v>8286</v>
      </c>
    </row>
    <row r="78">
      <c r="A78" s="61" t="n">
        <v>1918</v>
      </c>
      <c r="B78" s="46" t="n">
        <v>1.66</v>
      </c>
      <c r="C78" s="59" t="n">
        <v>0.005</v>
      </c>
      <c r="D78" s="45" t="n">
        <v>0</v>
      </c>
      <c r="E78" s="45" t="n">
        <v>35000</v>
      </c>
      <c r="F78" s="45" t="n">
        <v>14000</v>
      </c>
      <c r="G78" s="45" t="n">
        <v>14000</v>
      </c>
      <c r="H78" s="45" t="n">
        <v>7000</v>
      </c>
      <c r="I78" s="59" t="n">
        <v>0.2</v>
      </c>
      <c r="J78" s="59" t="n">
        <v>0.3</v>
      </c>
      <c r="K78" s="45" t="n">
        <v>10300000</v>
      </c>
      <c r="L78" s="59" t="n">
        <v>0.008</v>
      </c>
      <c r="M78" s="46" t="n">
        <v>1</v>
      </c>
      <c r="N78" s="59" t="n">
        <v>0.1752</v>
      </c>
      <c r="O78" s="59" t="n">
        <v>0.12</v>
      </c>
      <c r="P78" s="59" t="n">
        <v>0.095</v>
      </c>
      <c r="Q78" s="59" t="n">
        <v>0.85</v>
      </c>
      <c r="R78" s="60" t="n">
        <v>0.002</v>
      </c>
      <c r="S78" s="52" t="n">
        <v>14</v>
      </c>
      <c r="T78" s="59" t="n">
        <v>0.0414</v>
      </c>
      <c r="U78" s="59" t="n">
        <v>0.02</v>
      </c>
      <c r="V78" s="59" t="n">
        <v>0.008</v>
      </c>
      <c r="W78" s="45" t="n">
        <v>45000</v>
      </c>
      <c r="X78" s="45" t="n">
        <v>192000</v>
      </c>
      <c r="Y78" s="59" t="n">
        <v>0.0491</v>
      </c>
      <c r="Z78" s="59" t="n">
        <v>0.05</v>
      </c>
      <c r="AA78" s="59" t="n">
        <v>0</v>
      </c>
      <c r="AB78" s="45" t="n">
        <v>1</v>
      </c>
      <c r="AC78" s="45" t="n">
        <v>1</v>
      </c>
      <c r="AD78" s="45" t="n">
        <v>8357</v>
      </c>
    </row>
    <row r="79">
      <c r="A79" s="61" t="n">
        <v>1919</v>
      </c>
      <c r="B79" s="46" t="n">
        <v>1.83</v>
      </c>
      <c r="C79" s="59" t="n">
        <v>0.015</v>
      </c>
      <c r="D79" s="45" t="n">
        <v>0</v>
      </c>
      <c r="E79" s="45" t="n">
        <v>110000</v>
      </c>
      <c r="F79" s="45" t="n">
        <v>30000</v>
      </c>
      <c r="G79" s="45" t="n">
        <v>30000</v>
      </c>
      <c r="H79" s="45" t="n">
        <v>20000</v>
      </c>
      <c r="I79" s="59" t="n">
        <v>0.2</v>
      </c>
      <c r="J79" s="59" t="n">
        <v>0.3</v>
      </c>
      <c r="K79" s="45" t="n">
        <v>10493000</v>
      </c>
      <c r="L79" s="59" t="n">
        <v>0.008</v>
      </c>
      <c r="M79" s="46" t="n">
        <v>1</v>
      </c>
      <c r="N79" s="59" t="n">
        <v>0.1738</v>
      </c>
      <c r="O79" s="59" t="n">
        <v>0.12</v>
      </c>
      <c r="P79" s="59" t="n">
        <v>0.095</v>
      </c>
      <c r="Q79" s="59" t="n">
        <v>0.85</v>
      </c>
      <c r="R79" s="60" t="n">
        <v>0.002</v>
      </c>
      <c r="S79" s="52" t="n">
        <v>17</v>
      </c>
      <c r="T79" s="59" t="n">
        <v>0.0417</v>
      </c>
      <c r="U79" s="59" t="n">
        <v>0.02</v>
      </c>
      <c r="V79" s="59" t="n">
        <v>0.008</v>
      </c>
      <c r="W79" s="45" t="n">
        <v>45000</v>
      </c>
      <c r="X79" s="45" t="n">
        <v>195000</v>
      </c>
      <c r="Y79" s="59" t="n">
        <v>0.0489</v>
      </c>
      <c r="Z79" s="59" t="n">
        <v>0.05</v>
      </c>
      <c r="AA79" s="59" t="n">
        <v>0</v>
      </c>
      <c r="AB79" s="45" t="n">
        <v>1</v>
      </c>
      <c r="AC79" s="45" t="n">
        <v>1</v>
      </c>
      <c r="AD79" s="45" t="n">
        <v>8429</v>
      </c>
    </row>
    <row r="80">
      <c r="A80" s="61" t="n">
        <v>1920</v>
      </c>
      <c r="B80" s="46" t="n">
        <v>2.05</v>
      </c>
      <c r="C80" s="59" t="n">
        <v>0.015</v>
      </c>
      <c r="D80" s="45" t="n">
        <v>0</v>
      </c>
      <c r="E80" s="45" t="n">
        <v>110000</v>
      </c>
      <c r="F80" s="45" t="n">
        <v>30000</v>
      </c>
      <c r="G80" s="45" t="n">
        <v>30000</v>
      </c>
      <c r="H80" s="45" t="n">
        <v>20000</v>
      </c>
      <c r="I80" s="59" t="n">
        <v>0.2</v>
      </c>
      <c r="J80" s="59" t="n">
        <v>0.3</v>
      </c>
      <c r="K80" s="45" t="n">
        <v>10686000</v>
      </c>
      <c r="L80" s="59" t="n">
        <v>0.008</v>
      </c>
      <c r="M80" s="46" t="n">
        <v>1</v>
      </c>
      <c r="N80" s="59" t="n">
        <v>0.1724</v>
      </c>
      <c r="O80" s="59" t="n">
        <v>0.12</v>
      </c>
      <c r="P80" s="59" t="n">
        <v>0.095</v>
      </c>
      <c r="Q80" s="59" t="n">
        <v>0.85</v>
      </c>
      <c r="R80" s="60" t="n">
        <v>0.002</v>
      </c>
      <c r="S80" s="52" t="n">
        <v>20</v>
      </c>
      <c r="T80" s="59" t="n">
        <v>0.042</v>
      </c>
      <c r="U80" s="59" t="n">
        <v>0.02</v>
      </c>
      <c r="V80" s="59" t="n">
        <v>0.008</v>
      </c>
      <c r="W80" s="45" t="n">
        <v>45000</v>
      </c>
      <c r="X80" s="45" t="n">
        <v>198000</v>
      </c>
      <c r="Y80" s="59" t="n">
        <v>0.0487</v>
      </c>
      <c r="Z80" s="59" t="n">
        <v>0.05</v>
      </c>
      <c r="AA80" s="59" t="n">
        <v>0</v>
      </c>
      <c r="AB80" s="45" t="n">
        <v>1</v>
      </c>
      <c r="AC80" s="45" t="n">
        <v>1</v>
      </c>
      <c r="AD80" s="45" t="n">
        <v>8500</v>
      </c>
    </row>
    <row r="81">
      <c r="A81" s="61" t="n">
        <v>1921</v>
      </c>
      <c r="B81" s="46" t="n">
        <v>1.7</v>
      </c>
      <c r="C81" s="59" t="n">
        <v>0.015</v>
      </c>
      <c r="D81" s="45" t="n">
        <v>0</v>
      </c>
      <c r="E81" s="45" t="n">
        <v>110000</v>
      </c>
      <c r="F81" s="45" t="n">
        <v>30000</v>
      </c>
      <c r="G81" s="45" t="n">
        <v>30000</v>
      </c>
      <c r="H81" s="45" t="n">
        <v>20000</v>
      </c>
      <c r="I81" s="59" t="n">
        <v>0.2</v>
      </c>
      <c r="J81" s="59" t="n">
        <v>0.3</v>
      </c>
      <c r="K81" s="45" t="n">
        <v>10879000</v>
      </c>
      <c r="L81" s="59" t="n">
        <v>0.017</v>
      </c>
      <c r="M81" s="46" t="n">
        <v>0.93</v>
      </c>
      <c r="N81" s="59" t="n">
        <v>0.171</v>
      </c>
      <c r="O81" s="59" t="n">
        <v>0.12</v>
      </c>
      <c r="P81" s="59" t="n">
        <v>0.08</v>
      </c>
      <c r="Q81" s="59" t="n">
        <v>0.85</v>
      </c>
      <c r="R81" s="60" t="n">
        <v>0.002</v>
      </c>
      <c r="S81" s="52" t="n">
        <v>21.2</v>
      </c>
      <c r="T81" s="59" t="n">
        <v>0.0423</v>
      </c>
      <c r="U81" s="59" t="n">
        <v>0.02</v>
      </c>
      <c r="V81" s="59" t="n">
        <v>0.008</v>
      </c>
      <c r="W81" s="45" t="n">
        <v>42500</v>
      </c>
      <c r="X81" s="45" t="n">
        <v>200000</v>
      </c>
      <c r="Y81" s="59" t="n">
        <v>0.0484</v>
      </c>
      <c r="Z81" s="59" t="n">
        <v>0.05</v>
      </c>
      <c r="AA81" s="59" t="n">
        <v>0</v>
      </c>
      <c r="AB81" s="45" t="n">
        <v>1</v>
      </c>
      <c r="AC81" s="45" t="n">
        <v>1</v>
      </c>
      <c r="AD81" s="45" t="n">
        <v>8700</v>
      </c>
    </row>
    <row r="82">
      <c r="A82" s="61" t="n">
        <v>1922</v>
      </c>
      <c r="B82" s="46" t="n">
        <v>1.58</v>
      </c>
      <c r="C82" s="59" t="n">
        <v>0.015</v>
      </c>
      <c r="D82" s="45" t="n">
        <v>0</v>
      </c>
      <c r="E82" s="45" t="n">
        <v>110000</v>
      </c>
      <c r="F82" s="45" t="n">
        <v>30000</v>
      </c>
      <c r="G82" s="45" t="n">
        <v>30000</v>
      </c>
      <c r="H82" s="45" t="n">
        <v>20000</v>
      </c>
      <c r="I82" s="59" t="n">
        <v>0.2</v>
      </c>
      <c r="J82" s="59" t="n">
        <v>0.3</v>
      </c>
      <c r="K82" s="45" t="n">
        <v>11071000</v>
      </c>
      <c r="L82" s="59" t="n">
        <v>0.017</v>
      </c>
      <c r="M82" s="46" t="n">
        <v>0.97</v>
      </c>
      <c r="N82" s="59" t="n">
        <v>0.1697</v>
      </c>
      <c r="O82" s="59" t="n">
        <v>0.12</v>
      </c>
      <c r="P82" s="59" t="n">
        <v>0.08</v>
      </c>
      <c r="Q82" s="59" t="n">
        <v>0.85</v>
      </c>
      <c r="R82" s="60" t="n">
        <v>0.002</v>
      </c>
      <c r="S82" s="52" t="n">
        <v>22.4</v>
      </c>
      <c r="T82" s="59" t="n">
        <v>0.0427</v>
      </c>
      <c r="U82" s="59" t="n">
        <v>0.02</v>
      </c>
      <c r="V82" s="59" t="n">
        <v>0.008</v>
      </c>
      <c r="W82" s="45" t="n">
        <v>40000</v>
      </c>
      <c r="X82" s="45" t="n">
        <v>202000</v>
      </c>
      <c r="Y82" s="59" t="n">
        <v>0.0482</v>
      </c>
      <c r="Z82" s="59" t="n">
        <v>0.05</v>
      </c>
      <c r="AA82" s="59" t="n">
        <v>0</v>
      </c>
      <c r="AB82" s="45" t="n">
        <v>1</v>
      </c>
      <c r="AC82" s="45" t="n">
        <v>1</v>
      </c>
      <c r="AD82" s="45" t="n">
        <v>8900</v>
      </c>
    </row>
    <row r="83">
      <c r="A83" s="58" t="n">
        <v>1923</v>
      </c>
      <c r="B83" s="46" t="n">
        <v>1.62</v>
      </c>
      <c r="C83" s="59" t="n">
        <v>0.015</v>
      </c>
      <c r="D83" s="45" t="n">
        <v>0</v>
      </c>
      <c r="E83" s="45" t="n">
        <v>110000</v>
      </c>
      <c r="F83" s="45" t="n">
        <v>30000</v>
      </c>
      <c r="G83" s="45" t="n">
        <v>30000</v>
      </c>
      <c r="H83" s="45" t="n">
        <v>20000</v>
      </c>
      <c r="I83" s="59" t="n">
        <v>0.2</v>
      </c>
      <c r="J83" s="59" t="n">
        <v>0.3</v>
      </c>
      <c r="K83" s="45" t="n">
        <v>11264000</v>
      </c>
      <c r="L83" s="59" t="n">
        <v>0.017</v>
      </c>
      <c r="M83" s="46" t="n">
        <v>1</v>
      </c>
      <c r="N83" s="59" t="n">
        <v>0.1683</v>
      </c>
      <c r="O83" s="59" t="n">
        <v>0.12</v>
      </c>
      <c r="P83" s="59" t="n">
        <v>0.08</v>
      </c>
      <c r="Q83" s="59" t="n">
        <v>0.85</v>
      </c>
      <c r="R83" s="60" t="n">
        <v>0.002</v>
      </c>
      <c r="S83" s="52" t="n">
        <v>23.6</v>
      </c>
      <c r="T83" s="59" t="n">
        <v>0.043</v>
      </c>
      <c r="U83" s="59" t="n">
        <v>0.02</v>
      </c>
      <c r="V83" s="59" t="n">
        <v>0.008</v>
      </c>
      <c r="W83" s="45" t="n">
        <v>39300</v>
      </c>
      <c r="X83" s="45" t="n">
        <v>205000</v>
      </c>
      <c r="Y83" s="59" t="n">
        <v>0.048</v>
      </c>
      <c r="Z83" s="59" t="n">
        <v>0.033</v>
      </c>
      <c r="AA83" s="59" t="n">
        <v>0.016</v>
      </c>
      <c r="AB83" s="45" t="n">
        <v>1</v>
      </c>
      <c r="AC83" s="45" t="n">
        <v>0</v>
      </c>
      <c r="AD83" s="45" t="n">
        <v>9100</v>
      </c>
    </row>
    <row r="84">
      <c r="A84" s="58" t="n">
        <v>1924</v>
      </c>
      <c r="B84" s="46" t="n">
        <v>1.62</v>
      </c>
      <c r="C84" s="59" t="n">
        <v>0.015</v>
      </c>
      <c r="D84" s="45" t="n">
        <v>0</v>
      </c>
      <c r="E84" s="45" t="n">
        <v>110000</v>
      </c>
      <c r="F84" s="45" t="n">
        <v>30000</v>
      </c>
      <c r="G84" s="45" t="n">
        <v>30000</v>
      </c>
      <c r="H84" s="45" t="n">
        <v>20000</v>
      </c>
      <c r="I84" s="59" t="n">
        <v>0.2</v>
      </c>
      <c r="J84" s="59" t="n">
        <v>0.3</v>
      </c>
      <c r="K84" s="45" t="n">
        <v>11457000</v>
      </c>
      <c r="L84" s="59" t="n">
        <v>0.017</v>
      </c>
      <c r="M84" s="46" t="n">
        <v>1</v>
      </c>
      <c r="N84" s="59" t="n">
        <v>0.1669</v>
      </c>
      <c r="O84" s="59" t="n">
        <v>0.12</v>
      </c>
      <c r="P84" s="59" t="n">
        <v>0.08</v>
      </c>
      <c r="Q84" s="59" t="n">
        <v>0.85</v>
      </c>
      <c r="R84" s="60" t="n">
        <v>0.002</v>
      </c>
      <c r="S84" s="52" t="n">
        <v>24.8</v>
      </c>
      <c r="T84" s="59" t="n">
        <v>0.0433</v>
      </c>
      <c r="U84" s="59" t="n">
        <v>0.02</v>
      </c>
      <c r="V84" s="59" t="n">
        <v>0.008</v>
      </c>
      <c r="W84" s="45" t="n">
        <v>38700</v>
      </c>
      <c r="X84" s="45" t="n">
        <v>208000</v>
      </c>
      <c r="Y84" s="59" t="n">
        <v>0.0482</v>
      </c>
      <c r="Z84" s="59" t="n">
        <v>0.033</v>
      </c>
      <c r="AA84" s="59" t="n">
        <v>0.016</v>
      </c>
      <c r="AB84" s="45" t="n">
        <v>1</v>
      </c>
      <c r="AC84" s="45" t="n">
        <v>0</v>
      </c>
      <c r="AD84" s="45" t="n">
        <v>9300</v>
      </c>
    </row>
    <row r="85">
      <c r="A85" s="58" t="n">
        <v>1925</v>
      </c>
      <c r="B85" s="46" t="n">
        <v>1.65</v>
      </c>
      <c r="C85" s="59" t="n">
        <v>0.015</v>
      </c>
      <c r="D85" s="45" t="n">
        <v>0</v>
      </c>
      <c r="E85" s="45" t="n">
        <v>110000</v>
      </c>
      <c r="F85" s="45" t="n">
        <v>30000</v>
      </c>
      <c r="G85" s="45" t="n">
        <v>30000</v>
      </c>
      <c r="H85" s="45" t="n">
        <v>20000</v>
      </c>
      <c r="I85" s="59" t="n">
        <v>0.2</v>
      </c>
      <c r="J85" s="59" t="n">
        <v>0.3</v>
      </c>
      <c r="K85" s="45" t="n">
        <v>11650000</v>
      </c>
      <c r="L85" s="59" t="n">
        <v>0.017</v>
      </c>
      <c r="M85" s="46" t="n">
        <v>1</v>
      </c>
      <c r="N85" s="59" t="n">
        <v>0.1655</v>
      </c>
      <c r="O85" s="59" t="n">
        <v>0.12</v>
      </c>
      <c r="P85" s="59" t="n">
        <v>0.08</v>
      </c>
      <c r="Q85" s="59" t="n">
        <v>0.85</v>
      </c>
      <c r="R85" s="60" t="n">
        <v>0.002</v>
      </c>
      <c r="S85" s="52" t="n">
        <v>26</v>
      </c>
      <c r="T85" s="59" t="n">
        <v>0.0437</v>
      </c>
      <c r="U85" s="59" t="n">
        <v>0.02</v>
      </c>
      <c r="V85" s="59" t="n">
        <v>0.008</v>
      </c>
      <c r="W85" s="45" t="n">
        <v>38000</v>
      </c>
      <c r="X85" s="45" t="n">
        <v>210000</v>
      </c>
      <c r="Y85" s="59" t="n">
        <v>0.0484</v>
      </c>
      <c r="Z85" s="59" t="n">
        <v>0.033</v>
      </c>
      <c r="AA85" s="59" t="n">
        <v>0.016</v>
      </c>
      <c r="AB85" s="45" t="n">
        <v>1</v>
      </c>
      <c r="AC85" s="45" t="n">
        <v>0</v>
      </c>
      <c r="AD85" s="45" t="n">
        <v>9500</v>
      </c>
    </row>
    <row r="86">
      <c r="A86" s="58" t="n">
        <v>1926</v>
      </c>
      <c r="B86" s="46" t="n">
        <v>1.62</v>
      </c>
      <c r="C86" s="59" t="n">
        <v>0.015</v>
      </c>
      <c r="D86" s="45" t="n">
        <v>0</v>
      </c>
      <c r="E86" s="45" t="n">
        <v>110000</v>
      </c>
      <c r="F86" s="45" t="n">
        <v>30000</v>
      </c>
      <c r="G86" s="45" t="n">
        <v>30000</v>
      </c>
      <c r="H86" s="45" t="n">
        <v>20000</v>
      </c>
      <c r="I86" s="59" t="n">
        <v>0.2</v>
      </c>
      <c r="J86" s="59" t="n">
        <v>0.3</v>
      </c>
      <c r="K86" s="45" t="n">
        <v>11843000</v>
      </c>
      <c r="L86" s="59" t="n">
        <v>0.017</v>
      </c>
      <c r="M86" s="46" t="n">
        <v>1</v>
      </c>
      <c r="N86" s="59" t="n">
        <v>0.1641</v>
      </c>
      <c r="O86" s="59" t="n">
        <v>0.12</v>
      </c>
      <c r="P86" s="59" t="n">
        <v>0.08</v>
      </c>
      <c r="Q86" s="59" t="n">
        <v>0.85</v>
      </c>
      <c r="R86" s="60" t="n">
        <v>0.002</v>
      </c>
      <c r="S86" s="52" t="n">
        <v>27</v>
      </c>
      <c r="T86" s="59" t="n">
        <v>0.044</v>
      </c>
      <c r="U86" s="59" t="n">
        <v>0.02</v>
      </c>
      <c r="V86" s="59" t="n">
        <v>0.008</v>
      </c>
      <c r="W86" s="45" t="n">
        <v>38500</v>
      </c>
      <c r="X86" s="45" t="n">
        <v>212000</v>
      </c>
      <c r="Y86" s="59" t="n">
        <v>0.0487</v>
      </c>
      <c r="Z86" s="59" t="n">
        <v>0.033</v>
      </c>
      <c r="AA86" s="59" t="n">
        <v>0.016</v>
      </c>
      <c r="AB86" s="45" t="n">
        <v>1</v>
      </c>
      <c r="AC86" s="45" t="n">
        <v>0</v>
      </c>
      <c r="AD86" s="45" t="n">
        <v>9700</v>
      </c>
    </row>
    <row r="87">
      <c r="A87" s="58" t="n">
        <v>1927</v>
      </c>
      <c r="B87" s="46" t="n">
        <v>1.58</v>
      </c>
      <c r="C87" s="59" t="n">
        <v>0.015</v>
      </c>
      <c r="D87" s="45" t="n">
        <v>0</v>
      </c>
      <c r="E87" s="45" t="n">
        <v>110000</v>
      </c>
      <c r="F87" s="45" t="n">
        <v>30000</v>
      </c>
      <c r="G87" s="45" t="n">
        <v>30000</v>
      </c>
      <c r="H87" s="45" t="n">
        <v>20000</v>
      </c>
      <c r="I87" s="59" t="n">
        <v>0.2</v>
      </c>
      <c r="J87" s="59" t="n">
        <v>0.3</v>
      </c>
      <c r="K87" s="45" t="n">
        <v>12036000</v>
      </c>
      <c r="L87" s="59" t="n">
        <v>0.017</v>
      </c>
      <c r="M87" s="46" t="n">
        <v>1</v>
      </c>
      <c r="N87" s="59" t="n">
        <v>0.1628</v>
      </c>
      <c r="O87" s="59" t="n">
        <v>0.12</v>
      </c>
      <c r="P87" s="59" t="n">
        <v>0.08500000000000001</v>
      </c>
      <c r="Q87" s="59" t="n">
        <v>0.85</v>
      </c>
      <c r="R87" s="60" t="n">
        <v>0.002</v>
      </c>
      <c r="S87" s="52" t="n">
        <v>28</v>
      </c>
      <c r="T87" s="59" t="n">
        <v>0.0443</v>
      </c>
      <c r="U87" s="59" t="n">
        <v>0.02</v>
      </c>
      <c r="V87" s="59" t="n">
        <v>0.008</v>
      </c>
      <c r="W87" s="45" t="n">
        <v>39000</v>
      </c>
      <c r="X87" s="45" t="n">
        <v>215000</v>
      </c>
      <c r="Y87" s="59" t="n">
        <v>0.0489</v>
      </c>
      <c r="Z87" s="59" t="n">
        <v>0.033</v>
      </c>
      <c r="AA87" s="59" t="n">
        <v>0.016</v>
      </c>
      <c r="AB87" s="45" t="n">
        <v>1</v>
      </c>
      <c r="AC87" s="45" t="n">
        <v>0</v>
      </c>
      <c r="AD87" s="45" t="n">
        <v>9900</v>
      </c>
    </row>
    <row r="88">
      <c r="A88" s="58" t="n">
        <v>1928</v>
      </c>
      <c r="B88" s="46" t="n">
        <v>1.6</v>
      </c>
      <c r="C88" s="59" t="n">
        <v>0.015</v>
      </c>
      <c r="D88" s="45" t="n">
        <v>0</v>
      </c>
      <c r="E88" s="45" t="n">
        <v>110000</v>
      </c>
      <c r="F88" s="45" t="n">
        <v>30000</v>
      </c>
      <c r="G88" s="45" t="n">
        <v>30000</v>
      </c>
      <c r="H88" s="45" t="n">
        <v>20000</v>
      </c>
      <c r="I88" s="59" t="n">
        <v>0.2</v>
      </c>
      <c r="J88" s="59" t="n">
        <v>0.3</v>
      </c>
      <c r="K88" s="45" t="n">
        <v>12229000</v>
      </c>
      <c r="L88" s="59" t="n">
        <v>0.017</v>
      </c>
      <c r="M88" s="46" t="n">
        <v>1</v>
      </c>
      <c r="N88" s="59" t="n">
        <v>0.1614</v>
      </c>
      <c r="O88" s="59" t="n">
        <v>0.12</v>
      </c>
      <c r="P88" s="59" t="n">
        <v>0.08500000000000001</v>
      </c>
      <c r="Q88" s="59" t="n">
        <v>0.85</v>
      </c>
      <c r="R88" s="60" t="n">
        <v>0.002</v>
      </c>
      <c r="S88" s="52" t="n">
        <v>29</v>
      </c>
      <c r="T88" s="59" t="n">
        <v>0.0447</v>
      </c>
      <c r="U88" s="59" t="n">
        <v>0.02</v>
      </c>
      <c r="V88" s="59" t="n">
        <v>0.008</v>
      </c>
      <c r="W88" s="45" t="n">
        <v>39500</v>
      </c>
      <c r="X88" s="45" t="n">
        <v>218000</v>
      </c>
      <c r="Y88" s="59" t="n">
        <v>0.0491</v>
      </c>
      <c r="Z88" s="59" t="n">
        <v>0.033</v>
      </c>
      <c r="AA88" s="59" t="n">
        <v>0.016</v>
      </c>
      <c r="AB88" s="45" t="n">
        <v>1</v>
      </c>
      <c r="AC88" s="45" t="n">
        <v>0</v>
      </c>
      <c r="AD88" s="45" t="n">
        <v>10100</v>
      </c>
    </row>
    <row r="89">
      <c r="A89" s="58" t="n">
        <v>1929</v>
      </c>
      <c r="B89" s="46" t="n">
        <v>1.6</v>
      </c>
      <c r="C89" s="59" t="n">
        <v>0.015</v>
      </c>
      <c r="D89" s="45" t="n">
        <v>0</v>
      </c>
      <c r="E89" s="45" t="n">
        <v>110000</v>
      </c>
      <c r="F89" s="45" t="n">
        <v>30000</v>
      </c>
      <c r="G89" s="45" t="n">
        <v>30000</v>
      </c>
      <c r="H89" s="45" t="n">
        <v>20000</v>
      </c>
      <c r="I89" s="59" t="n">
        <v>0.2</v>
      </c>
      <c r="J89" s="59" t="n">
        <v>0.3</v>
      </c>
      <c r="K89" s="45" t="n">
        <v>12421000</v>
      </c>
      <c r="L89" s="59" t="n">
        <v>0.017</v>
      </c>
      <c r="M89" s="46" t="n">
        <v>1</v>
      </c>
      <c r="N89" s="59" t="n">
        <v>0.16</v>
      </c>
      <c r="O89" s="59" t="n">
        <v>0.12</v>
      </c>
      <c r="P89" s="59" t="n">
        <v>0.08500000000000001</v>
      </c>
      <c r="Q89" s="59" t="n">
        <v>0.85</v>
      </c>
      <c r="R89" s="60" t="n">
        <v>0.002</v>
      </c>
      <c r="S89" s="52" t="n">
        <v>30</v>
      </c>
      <c r="T89" s="59" t="n">
        <v>0.045</v>
      </c>
      <c r="U89" s="59" t="n">
        <v>0.02</v>
      </c>
      <c r="V89" s="59" t="n">
        <v>0.008</v>
      </c>
      <c r="W89" s="45" t="n">
        <v>40000</v>
      </c>
      <c r="X89" s="45" t="n">
        <v>220000</v>
      </c>
      <c r="Y89" s="59" t="n">
        <v>0.0493</v>
      </c>
      <c r="Z89" s="59" t="n">
        <v>0.033</v>
      </c>
      <c r="AA89" s="59" t="n">
        <v>0.016</v>
      </c>
      <c r="AB89" s="45" t="n">
        <v>1</v>
      </c>
      <c r="AC89" s="45" t="n">
        <v>0</v>
      </c>
      <c r="AD89" s="45" t="n">
        <v>10300</v>
      </c>
    </row>
    <row r="90">
      <c r="A90" s="58" t="n">
        <v>1930</v>
      </c>
      <c r="B90" s="46" t="n">
        <v>1.53</v>
      </c>
      <c r="C90" s="59" t="n">
        <v>0.012</v>
      </c>
      <c r="D90" s="45" t="n">
        <v>0</v>
      </c>
      <c r="E90" s="45" t="n">
        <v>30000</v>
      </c>
      <c r="F90" s="45" t="n">
        <v>12000</v>
      </c>
      <c r="G90" s="45" t="n">
        <v>12000</v>
      </c>
      <c r="H90" s="45" t="n">
        <v>8000</v>
      </c>
      <c r="I90" s="59" t="n">
        <v>0.2</v>
      </c>
      <c r="J90" s="59" t="n">
        <v>0.3</v>
      </c>
      <c r="K90" s="45" t="n">
        <v>12614000</v>
      </c>
      <c r="L90" s="59" t="n">
        <v>0</v>
      </c>
      <c r="M90" s="46" t="n">
        <v>0.9399999999999999</v>
      </c>
      <c r="N90" s="59" t="n">
        <v>0.15</v>
      </c>
      <c r="O90" s="59" t="n">
        <v>0.12</v>
      </c>
      <c r="P90" s="59" t="n">
        <v>0.08500000000000001</v>
      </c>
      <c r="Q90" s="59" t="n">
        <v>0.85</v>
      </c>
      <c r="R90" s="60" t="n">
        <v>0.002</v>
      </c>
      <c r="S90" s="52" t="n">
        <v>27.5</v>
      </c>
      <c r="T90" s="59" t="n">
        <v>0.0457</v>
      </c>
      <c r="U90" s="59" t="n">
        <v>0.024</v>
      </c>
      <c r="V90" s="59" t="n">
        <v>0.008</v>
      </c>
      <c r="W90" s="45" t="n">
        <v>40700</v>
      </c>
      <c r="X90" s="45" t="n">
        <v>220000</v>
      </c>
      <c r="Y90" s="59" t="n">
        <v>0.0496</v>
      </c>
      <c r="Z90" s="59" t="n">
        <v>0.033</v>
      </c>
      <c r="AA90" s="59" t="n">
        <v>0.016</v>
      </c>
      <c r="AB90" s="45" t="n">
        <v>1</v>
      </c>
      <c r="AC90" s="45" t="n">
        <v>0</v>
      </c>
      <c r="AD90" s="45" t="n">
        <v>10833</v>
      </c>
    </row>
    <row r="91">
      <c r="A91" s="58" t="n">
        <v>1931</v>
      </c>
      <c r="B91" s="46" t="n">
        <v>1.37</v>
      </c>
      <c r="C91" s="59" t="n">
        <v>0.012</v>
      </c>
      <c r="D91" s="45" t="n">
        <v>0</v>
      </c>
      <c r="E91" s="45" t="n">
        <v>30000</v>
      </c>
      <c r="F91" s="45" t="n">
        <v>12000</v>
      </c>
      <c r="G91" s="45" t="n">
        <v>12000</v>
      </c>
      <c r="H91" s="45" t="n">
        <v>8000</v>
      </c>
      <c r="I91" s="59" t="n">
        <v>0.2</v>
      </c>
      <c r="J91" s="59" t="n">
        <v>0.3</v>
      </c>
      <c r="K91" s="45" t="n">
        <v>12807000</v>
      </c>
      <c r="L91" s="59" t="n">
        <v>0</v>
      </c>
      <c r="M91" s="46" t="n">
        <v>0.89</v>
      </c>
      <c r="N91" s="59" t="n">
        <v>0.14</v>
      </c>
      <c r="O91" s="59" t="n">
        <v>0.12</v>
      </c>
      <c r="P91" s="59" t="n">
        <v>0.08500000000000001</v>
      </c>
      <c r="Q91" s="59" t="n">
        <v>0.82</v>
      </c>
      <c r="R91" s="60" t="n">
        <v>0.002</v>
      </c>
      <c r="S91" s="52" t="n">
        <v>25</v>
      </c>
      <c r="T91" s="59" t="n">
        <v>0.0463</v>
      </c>
      <c r="U91" s="59" t="n">
        <v>0.026</v>
      </c>
      <c r="V91" s="59" t="n">
        <v>0.008</v>
      </c>
      <c r="W91" s="45" t="n">
        <v>41300</v>
      </c>
      <c r="X91" s="45" t="n">
        <v>220000</v>
      </c>
      <c r="Y91" s="59" t="n">
        <v>0.0498</v>
      </c>
      <c r="Z91" s="59" t="n">
        <v>0.033</v>
      </c>
      <c r="AA91" s="59" t="n">
        <v>0</v>
      </c>
      <c r="AB91" s="45" t="n">
        <v>0</v>
      </c>
      <c r="AC91" s="45" t="n">
        <v>0</v>
      </c>
      <c r="AD91" s="45" t="n">
        <v>11367</v>
      </c>
    </row>
    <row r="92">
      <c r="A92" s="58" t="n">
        <v>1932</v>
      </c>
      <c r="B92" s="46" t="n">
        <v>1.22</v>
      </c>
      <c r="C92" s="59" t="n">
        <v>0.012</v>
      </c>
      <c r="D92" s="45" t="n">
        <v>0</v>
      </c>
      <c r="E92" s="45" t="n">
        <v>30000</v>
      </c>
      <c r="F92" s="45" t="n">
        <v>12000</v>
      </c>
      <c r="G92" s="45" t="n">
        <v>12000</v>
      </c>
      <c r="H92" s="45" t="n">
        <v>8000</v>
      </c>
      <c r="I92" s="59" t="n">
        <v>0.2</v>
      </c>
      <c r="J92" s="59" t="n">
        <v>0.3</v>
      </c>
      <c r="K92" s="45" t="n">
        <v>13000000</v>
      </c>
      <c r="L92" s="59" t="n">
        <v>0</v>
      </c>
      <c r="M92" s="46" t="n">
        <v>0.86</v>
      </c>
      <c r="N92" s="59" t="n">
        <v>0.13</v>
      </c>
      <c r="O92" s="59" t="n">
        <v>0.12</v>
      </c>
      <c r="P92" s="59" t="n">
        <v>0.08500000000000001</v>
      </c>
      <c r="Q92" s="59" t="n">
        <v>0.8</v>
      </c>
      <c r="R92" s="60" t="n">
        <v>0.002</v>
      </c>
      <c r="S92" s="52" t="n">
        <v>22</v>
      </c>
      <c r="T92" s="59" t="n">
        <v>0.047</v>
      </c>
      <c r="U92" s="59" t="n">
        <v>0.026</v>
      </c>
      <c r="V92" s="59" t="n">
        <v>0.008</v>
      </c>
      <c r="W92" s="45" t="n">
        <v>42000</v>
      </c>
      <c r="X92" s="45" t="n">
        <v>220000</v>
      </c>
      <c r="Y92" s="59" t="n">
        <v>0.05</v>
      </c>
      <c r="Z92" s="59" t="n">
        <v>0.033</v>
      </c>
      <c r="AA92" s="59" t="n">
        <v>0</v>
      </c>
      <c r="AB92" s="45" t="n">
        <v>0</v>
      </c>
      <c r="AC92" s="45" t="n">
        <v>0</v>
      </c>
      <c r="AD92" s="45" t="n">
        <v>11900</v>
      </c>
    </row>
  </sheetData>
  <mergeCells count="6">
    <mergeCell ref="L4:M4"/>
    <mergeCell ref="B4:D4"/>
    <mergeCell ref="E4:J4"/>
    <mergeCell ref="Y4:AD4"/>
    <mergeCell ref="N4:S4"/>
    <mergeCell ref="T4:X4"/>
  </mergeCell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tabColor rgb="00548235"/>
    <outlinePr summaryBelow="1" summaryRight="1"/>
    <pageSetUpPr fitToPage="1"/>
  </sheetPr>
  <dimension ref="A1:X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s>
  <sheetData>
    <row r="1">
      <c r="A1" s="18" t="inlineStr">
        <is>
          <t>Population</t>
        </is>
      </c>
    </row>
    <row r="2">
      <c r="A2" s="2" t="inlineStr">
        <is>
          <t>Residents of core Pacifica: births, territory, and four migration streams.</t>
        </is>
      </c>
    </row>
    <row r="3">
      <c r="A3" s="19" t="inlineStr">
        <is>
          <t>Years run down the page. Blue = input you can change · black = formula · green = link to another sheet. Hover a column heading for its definition.</t>
        </is>
      </c>
    </row>
    <row r="4">
      <c r="B4" s="56" t="inlineStr">
        <is>
          <t>Residents</t>
        </is>
      </c>
      <c r="E4" s="56" t="inlineStr">
        <is>
          <t>Arrivals</t>
        </is>
      </c>
      <c r="L4" s="56" t="inlineStr">
        <is>
          <t>Residents</t>
        </is>
      </c>
      <c r="N4" s="56" t="inlineStr">
        <is>
          <t>Asian-origin residents</t>
        </is>
      </c>
      <c r="T4" s="56" t="inlineStr">
        <is>
          <t>Programme</t>
        </is>
      </c>
      <c r="V4" s="56" t="inlineStr">
        <is>
          <t>With the Gulf</t>
        </is>
      </c>
    </row>
    <row r="5" ht="54" customHeight="1">
      <c r="A5" s="57" t="inlineStr">
        <is>
          <t>Year</t>
        </is>
      </c>
      <c r="B5" s="6" t="inlineStr">
        <is>
          <t>Residents at start of year</t>
        </is>
      </c>
      <c r="C5" s="6" t="inlineStr">
        <is>
          <t>Join with territory</t>
        </is>
      </c>
      <c r="D5" s="6" t="inlineStr">
        <is>
          <t>Natural increase</t>
        </is>
      </c>
      <c r="E5" s="6" t="inlineStr">
        <is>
          <t>Arrivals: Americas &amp; Europe</t>
        </is>
      </c>
      <c r="F5" s="6" t="inlineStr">
        <is>
          <t>Arrivals: Chinese</t>
        </is>
      </c>
      <c r="G5" s="6" t="inlineStr">
        <is>
          <t>Arrivals: Japanese</t>
        </is>
      </c>
      <c r="H5" s="6" t="inlineStr">
        <is>
          <t>Arrivals: Filipino</t>
        </is>
      </c>
      <c r="I5" s="6" t="inlineStr">
        <is>
          <t>Leave again</t>
        </is>
      </c>
      <c r="J5" s="6" t="inlineStr">
        <is>
          <t>Extra arrivals drawn by Pacifica's lead</t>
        </is>
      </c>
      <c r="K5" s="6" t="inlineStr">
        <is>
          <t>Net migration</t>
        </is>
      </c>
      <c r="L5" s="6" t="inlineStr">
        <is>
          <t>Residents at end of year</t>
        </is>
      </c>
      <c r="M5" s="6" t="inlineStr">
        <is>
          <t>Growth</t>
        </is>
      </c>
      <c r="N5" s="6" t="inlineStr">
        <is>
          <t>Chinese-Pacificans</t>
        </is>
      </c>
      <c r="O5" s="6" t="inlineStr">
        <is>
          <t>Japanese-Pacificans</t>
        </is>
      </c>
      <c r="P5" s="6" t="inlineStr">
        <is>
          <t>Filipino-Pacificans</t>
        </is>
      </c>
      <c r="Q5" s="6" t="inlineStr">
        <is>
          <t>Settled guest workers of Asian origin, with descendants</t>
        </is>
      </c>
      <c r="R5" s="6" t="inlineStr">
        <is>
          <t>Asian talent migrants and families, with descendants</t>
        </is>
      </c>
      <c r="S5" s="6" t="inlineStr">
        <is>
          <t>Asian-origin share</t>
        </is>
      </c>
      <c r="T5" s="6" t="inlineStr">
        <is>
          <t>Assisted arrivals</t>
        </is>
      </c>
      <c r="U5" s="6" t="inlineStr">
        <is>
          <t>Philippine crown residents (separate)</t>
        </is>
      </c>
      <c r="V5" s="6" t="inlineStr">
        <is>
          <t>Gulf Republic residents (once a member)</t>
        </is>
      </c>
      <c r="W5" s="6" t="inlineStr">
        <is>
          <t>All residents incl. the Gulf</t>
        </is>
      </c>
      <c r="X5" s="6" t="inlineStr">
        <is>
          <t>Everyone present, incl. guest workers</t>
        </is>
      </c>
    </row>
    <row r="6">
      <c r="A6" s="58" t="n">
        <v>1846</v>
      </c>
      <c r="B6" s="47">
        <f>pop_1846</f>
        <v/>
      </c>
      <c r="C6" s="62">
        <f>Paths!D6</f>
        <v/>
      </c>
      <c r="D6" s="47">
        <f>B6*Paths!C6</f>
        <v/>
      </c>
      <c r="E6" s="47">
        <f>Paths!E6*IF($A6&gt;=1896,mig_scale,1)</f>
        <v/>
      </c>
      <c r="F6" s="47">
        <f>Paths!F6*IF($A6&gt;=1896,mig_scale,1)</f>
        <v/>
      </c>
      <c r="G6" s="47">
        <f>Paths!G6*IF($A6&gt;=1896,mig_scale,1)</f>
        <v/>
      </c>
      <c r="H6" s="47">
        <f>Paths!H6*IF($A6&gt;=1896,mig_scale,1)</f>
        <v/>
      </c>
      <c r="I6" s="47">
        <f>E6*Paths!I6+(F6+G6+H6)*dep_asia</f>
        <v/>
      </c>
      <c r="J6" s="62">
        <f>Labour!AL6</f>
        <v/>
      </c>
      <c r="K6" s="47">
        <f>SUM(E6:H6)-I6+J6</f>
        <v/>
      </c>
      <c r="L6" s="47">
        <f>B6+C6+D6+K6</f>
        <v/>
      </c>
      <c r="M6" s="63">
        <f>IF(B6&gt;0,L6/B6-1,0)</f>
        <v/>
      </c>
      <c r="N6" s="47">
        <f>0</f>
        <v/>
      </c>
      <c r="O6" s="47">
        <f>0</f>
        <v/>
      </c>
      <c r="P6" s="47">
        <f>0</f>
        <v/>
      </c>
      <c r="Q6" s="47">
        <f>0</f>
        <v/>
      </c>
      <c r="R6" s="47">
        <f>0</f>
        <v/>
      </c>
      <c r="S6" s="63">
        <f>(N6+O6+P6+Q6+R6)/L6</f>
        <v/>
      </c>
      <c r="T6" s="47">
        <f>SUM(E6:H6)*Paths!J6</f>
        <v/>
      </c>
      <c r="U6" s="62">
        <f>Paths!K6</f>
        <v/>
      </c>
      <c r="V6" s="47">
        <f>IF(Gulf!E6=1,Gulf!B6,0)</f>
        <v/>
      </c>
      <c r="W6" s="47">
        <f>L6+V6</f>
        <v/>
      </c>
      <c r="X6" s="47">
        <f>W6+Labour!L6</f>
        <v/>
      </c>
    </row>
    <row r="7">
      <c r="A7" s="58" t="n">
        <v>1847</v>
      </c>
      <c r="B7" s="47">
        <f>L6</f>
        <v/>
      </c>
      <c r="C7" s="62">
        <f>Paths!D7</f>
        <v/>
      </c>
      <c r="D7" s="47">
        <f>B7*Paths!C7</f>
        <v/>
      </c>
      <c r="E7" s="47">
        <f>Paths!E7*IF($A7&gt;=1896,mig_scale,1)</f>
        <v/>
      </c>
      <c r="F7" s="47">
        <f>Paths!F7*IF($A7&gt;=1896,mig_scale,1)</f>
        <v/>
      </c>
      <c r="G7" s="47">
        <f>Paths!G7*IF($A7&gt;=1896,mig_scale,1)</f>
        <v/>
      </c>
      <c r="H7" s="47">
        <f>Paths!H7*IF($A7&gt;=1896,mig_scale,1)</f>
        <v/>
      </c>
      <c r="I7" s="47">
        <f>E7*Paths!I7+(F7+G7+H7)*dep_asia</f>
        <v/>
      </c>
      <c r="J7" s="62">
        <f>Labour!AL7</f>
        <v/>
      </c>
      <c r="K7" s="47">
        <f>SUM(E7:H7)-I7+J7</f>
        <v/>
      </c>
      <c r="L7" s="47">
        <f>B7+C7+D7+K7</f>
        <v/>
      </c>
      <c r="M7" s="63">
        <f>IF(B7&gt;0,L7/B7-1,0)</f>
        <v/>
      </c>
      <c r="N7" s="47">
        <f>N6*(1+Paths!C7)+F7*(1-dep_asia)</f>
        <v/>
      </c>
      <c r="O7" s="47">
        <f>O6*(1+Paths!C7)+G7*(1-dep_asia)</f>
        <v/>
      </c>
      <c r="P7" s="47">
        <f>P6*(1+Paths!C7)+H7*(1-dep_asia)</f>
        <v/>
      </c>
      <c r="Q7" s="47">
        <f>Q6*(1+Paths!C7)+Labour!AK7*gw_asian</f>
        <v/>
      </c>
      <c r="R7" s="47">
        <f>R6*(1+Paths!C7)+Labour!AF7*family_mult</f>
        <v/>
      </c>
      <c r="S7" s="63">
        <f>(N7+O7+P7+Q7+R7)/L7</f>
        <v/>
      </c>
      <c r="T7" s="47">
        <f>SUM(E7:H7)*Paths!J7</f>
        <v/>
      </c>
      <c r="U7" s="62">
        <f>Paths!K7</f>
        <v/>
      </c>
      <c r="V7" s="47">
        <f>IF(Gulf!E7=1,Gulf!B7,0)</f>
        <v/>
      </c>
      <c r="W7" s="47">
        <f>L7+V7</f>
        <v/>
      </c>
      <c r="X7" s="47">
        <f>W7+Labour!L7</f>
        <v/>
      </c>
    </row>
    <row r="8">
      <c r="A8" s="58" t="n">
        <v>1848</v>
      </c>
      <c r="B8" s="47">
        <f>L7</f>
        <v/>
      </c>
      <c r="C8" s="62">
        <f>Paths!D8</f>
        <v/>
      </c>
      <c r="D8" s="47">
        <f>B8*Paths!C8</f>
        <v/>
      </c>
      <c r="E8" s="47">
        <f>Paths!E8*IF($A8&gt;=1896,mig_scale,1)</f>
        <v/>
      </c>
      <c r="F8" s="47">
        <f>Paths!F8*IF($A8&gt;=1896,mig_scale,1)</f>
        <v/>
      </c>
      <c r="G8" s="47">
        <f>Paths!G8*IF($A8&gt;=1896,mig_scale,1)</f>
        <v/>
      </c>
      <c r="H8" s="47">
        <f>Paths!H8*IF($A8&gt;=1896,mig_scale,1)</f>
        <v/>
      </c>
      <c r="I8" s="47">
        <f>E8*Paths!I8+(F8+G8+H8)*dep_asia</f>
        <v/>
      </c>
      <c r="J8" s="62">
        <f>Labour!AL8</f>
        <v/>
      </c>
      <c r="K8" s="47">
        <f>SUM(E8:H8)-I8+J8</f>
        <v/>
      </c>
      <c r="L8" s="47">
        <f>B8+C8+D8+K8</f>
        <v/>
      </c>
      <c r="M8" s="63">
        <f>IF(B8&gt;0,L8/B8-1,0)</f>
        <v/>
      </c>
      <c r="N8" s="47">
        <f>N7*(1+Paths!C8)+F8*(1-dep_asia)</f>
        <v/>
      </c>
      <c r="O8" s="47">
        <f>O7*(1+Paths!C8)+G8*(1-dep_asia)</f>
        <v/>
      </c>
      <c r="P8" s="47">
        <f>P7*(1+Paths!C8)+H8*(1-dep_asia)</f>
        <v/>
      </c>
      <c r="Q8" s="47">
        <f>Q7*(1+Paths!C8)+Labour!AK8*gw_asian</f>
        <v/>
      </c>
      <c r="R8" s="47">
        <f>R7*(1+Paths!C8)+Labour!AF8*family_mult</f>
        <v/>
      </c>
      <c r="S8" s="63">
        <f>(N8+O8+P8+Q8+R8)/L8</f>
        <v/>
      </c>
      <c r="T8" s="47">
        <f>SUM(E8:H8)*Paths!J8</f>
        <v/>
      </c>
      <c r="U8" s="62">
        <f>Paths!K8</f>
        <v/>
      </c>
      <c r="V8" s="47">
        <f>IF(Gulf!E8=1,Gulf!B8,0)</f>
        <v/>
      </c>
      <c r="W8" s="47">
        <f>L8+V8</f>
        <v/>
      </c>
      <c r="X8" s="47">
        <f>W8+Labour!L8</f>
        <v/>
      </c>
    </row>
    <row r="9">
      <c r="A9" s="58" t="n">
        <v>1849</v>
      </c>
      <c r="B9" s="47">
        <f>L8</f>
        <v/>
      </c>
      <c r="C9" s="62">
        <f>Paths!D9</f>
        <v/>
      </c>
      <c r="D9" s="47">
        <f>B9*Paths!C9</f>
        <v/>
      </c>
      <c r="E9" s="47">
        <f>Paths!E9*IF($A9&gt;=1896,mig_scale,1)</f>
        <v/>
      </c>
      <c r="F9" s="47">
        <f>Paths!F9*IF($A9&gt;=1896,mig_scale,1)</f>
        <v/>
      </c>
      <c r="G9" s="47">
        <f>Paths!G9*IF($A9&gt;=1896,mig_scale,1)</f>
        <v/>
      </c>
      <c r="H9" s="47">
        <f>Paths!H9*IF($A9&gt;=1896,mig_scale,1)</f>
        <v/>
      </c>
      <c r="I9" s="47">
        <f>E9*Paths!I9+(F9+G9+H9)*dep_asia</f>
        <v/>
      </c>
      <c r="J9" s="62">
        <f>Labour!AL9</f>
        <v/>
      </c>
      <c r="K9" s="47">
        <f>SUM(E9:H9)-I9+J9</f>
        <v/>
      </c>
      <c r="L9" s="47">
        <f>B9+C9+D9+K9</f>
        <v/>
      </c>
      <c r="M9" s="63">
        <f>IF(B9&gt;0,L9/B9-1,0)</f>
        <v/>
      </c>
      <c r="N9" s="47">
        <f>N8*(1+Paths!C9)+F9*(1-dep_asia)</f>
        <v/>
      </c>
      <c r="O9" s="47">
        <f>O8*(1+Paths!C9)+G9*(1-dep_asia)</f>
        <v/>
      </c>
      <c r="P9" s="47">
        <f>P8*(1+Paths!C9)+H9*(1-dep_asia)</f>
        <v/>
      </c>
      <c r="Q9" s="47">
        <f>Q8*(1+Paths!C9)+Labour!AK9*gw_asian</f>
        <v/>
      </c>
      <c r="R9" s="47">
        <f>R8*(1+Paths!C9)+Labour!AF9*family_mult</f>
        <v/>
      </c>
      <c r="S9" s="63">
        <f>(N9+O9+P9+Q9+R9)/L9</f>
        <v/>
      </c>
      <c r="T9" s="47">
        <f>SUM(E9:H9)*Paths!J9</f>
        <v/>
      </c>
      <c r="U9" s="62">
        <f>Paths!K9</f>
        <v/>
      </c>
      <c r="V9" s="47">
        <f>IF(Gulf!E9=1,Gulf!B9,0)</f>
        <v/>
      </c>
      <c r="W9" s="47">
        <f>L9+V9</f>
        <v/>
      </c>
      <c r="X9" s="47">
        <f>W9+Labour!L9</f>
        <v/>
      </c>
    </row>
    <row r="10">
      <c r="A10" s="58" t="n">
        <v>1850</v>
      </c>
      <c r="B10" s="47">
        <f>L9</f>
        <v/>
      </c>
      <c r="C10" s="62">
        <f>Paths!D10</f>
        <v/>
      </c>
      <c r="D10" s="47">
        <f>B10*Paths!C10</f>
        <v/>
      </c>
      <c r="E10" s="47">
        <f>Paths!E10*IF($A10&gt;=1896,mig_scale,1)</f>
        <v/>
      </c>
      <c r="F10" s="47">
        <f>Paths!F10*IF($A10&gt;=1896,mig_scale,1)</f>
        <v/>
      </c>
      <c r="G10" s="47">
        <f>Paths!G10*IF($A10&gt;=1896,mig_scale,1)</f>
        <v/>
      </c>
      <c r="H10" s="47">
        <f>Paths!H10*IF($A10&gt;=1896,mig_scale,1)</f>
        <v/>
      </c>
      <c r="I10" s="47">
        <f>E10*Paths!I10+(F10+G10+H10)*dep_asia</f>
        <v/>
      </c>
      <c r="J10" s="62">
        <f>Labour!AL10</f>
        <v/>
      </c>
      <c r="K10" s="47">
        <f>SUM(E10:H10)-I10+J10</f>
        <v/>
      </c>
      <c r="L10" s="47">
        <f>B10+C10+D10+K10</f>
        <v/>
      </c>
      <c r="M10" s="63">
        <f>IF(B10&gt;0,L10/B10-1,0)</f>
        <v/>
      </c>
      <c r="N10" s="47">
        <f>N9*(1+Paths!C10)+F10*(1-dep_asia)</f>
        <v/>
      </c>
      <c r="O10" s="47">
        <f>O9*(1+Paths!C10)+G10*(1-dep_asia)</f>
        <v/>
      </c>
      <c r="P10" s="47">
        <f>P9*(1+Paths!C10)+H10*(1-dep_asia)</f>
        <v/>
      </c>
      <c r="Q10" s="47">
        <f>Q9*(1+Paths!C10)+Labour!AK10*gw_asian</f>
        <v/>
      </c>
      <c r="R10" s="47">
        <f>R9*(1+Paths!C10)+Labour!AF10*family_mult</f>
        <v/>
      </c>
      <c r="S10" s="63">
        <f>(N10+O10+P10+Q10+R10)/L10</f>
        <v/>
      </c>
      <c r="T10" s="47">
        <f>SUM(E10:H10)*Paths!J10</f>
        <v/>
      </c>
      <c r="U10" s="62">
        <f>Paths!K10</f>
        <v/>
      </c>
      <c r="V10" s="47">
        <f>IF(Gulf!E10=1,Gulf!B10,0)</f>
        <v/>
      </c>
      <c r="W10" s="47">
        <f>L10+V10</f>
        <v/>
      </c>
      <c r="X10" s="47">
        <f>W10+Labour!L10</f>
        <v/>
      </c>
    </row>
    <row r="11">
      <c r="A11" s="58" t="n">
        <v>1851</v>
      </c>
      <c r="B11" s="47">
        <f>L10</f>
        <v/>
      </c>
      <c r="C11" s="62">
        <f>Paths!D11</f>
        <v/>
      </c>
      <c r="D11" s="47">
        <f>B11*Paths!C11</f>
        <v/>
      </c>
      <c r="E11" s="47">
        <f>Paths!E11*IF($A11&gt;=1896,mig_scale,1)</f>
        <v/>
      </c>
      <c r="F11" s="47">
        <f>Paths!F11*IF($A11&gt;=1896,mig_scale,1)</f>
        <v/>
      </c>
      <c r="G11" s="47">
        <f>Paths!G11*IF($A11&gt;=1896,mig_scale,1)</f>
        <v/>
      </c>
      <c r="H11" s="47">
        <f>Paths!H11*IF($A11&gt;=1896,mig_scale,1)</f>
        <v/>
      </c>
      <c r="I11" s="47">
        <f>E11*Paths!I11+(F11+G11+H11)*dep_asia</f>
        <v/>
      </c>
      <c r="J11" s="62">
        <f>Labour!AL11</f>
        <v/>
      </c>
      <c r="K11" s="47">
        <f>SUM(E11:H11)-I11+J11</f>
        <v/>
      </c>
      <c r="L11" s="47">
        <f>B11+C11+D11+K11</f>
        <v/>
      </c>
      <c r="M11" s="63">
        <f>IF(B11&gt;0,L11/B11-1,0)</f>
        <v/>
      </c>
      <c r="N11" s="47">
        <f>N10*(1+Paths!C11)+F11*(1-dep_asia)</f>
        <v/>
      </c>
      <c r="O11" s="47">
        <f>O10*(1+Paths!C11)+G11*(1-dep_asia)</f>
        <v/>
      </c>
      <c r="P11" s="47">
        <f>P10*(1+Paths!C11)+H11*(1-dep_asia)</f>
        <v/>
      </c>
      <c r="Q11" s="47">
        <f>Q10*(1+Paths!C11)+Labour!AK11*gw_asian</f>
        <v/>
      </c>
      <c r="R11" s="47">
        <f>R10*(1+Paths!C11)+Labour!AF11*family_mult</f>
        <v/>
      </c>
      <c r="S11" s="63">
        <f>(N11+O11+P11+Q11+R11)/L11</f>
        <v/>
      </c>
      <c r="T11" s="47">
        <f>SUM(E11:H11)*Paths!J11</f>
        <v/>
      </c>
      <c r="U11" s="62">
        <f>Paths!K11</f>
        <v/>
      </c>
      <c r="V11" s="47">
        <f>IF(Gulf!E11=1,Gulf!B11,0)</f>
        <v/>
      </c>
      <c r="W11" s="47">
        <f>L11+V11</f>
        <v/>
      </c>
      <c r="X11" s="47">
        <f>W11+Labour!L11</f>
        <v/>
      </c>
    </row>
    <row r="12">
      <c r="A12" s="58" t="n">
        <v>1852</v>
      </c>
      <c r="B12" s="47">
        <f>L11</f>
        <v/>
      </c>
      <c r="C12" s="62">
        <f>Paths!D12</f>
        <v/>
      </c>
      <c r="D12" s="47">
        <f>B12*Paths!C12</f>
        <v/>
      </c>
      <c r="E12" s="47">
        <f>Paths!E12*IF($A12&gt;=1896,mig_scale,1)</f>
        <v/>
      </c>
      <c r="F12" s="47">
        <f>Paths!F12*IF($A12&gt;=1896,mig_scale,1)</f>
        <v/>
      </c>
      <c r="G12" s="47">
        <f>Paths!G12*IF($A12&gt;=1896,mig_scale,1)</f>
        <v/>
      </c>
      <c r="H12" s="47">
        <f>Paths!H12*IF($A12&gt;=1896,mig_scale,1)</f>
        <v/>
      </c>
      <c r="I12" s="47">
        <f>E12*Paths!I12+(F12+G12+H12)*dep_asia</f>
        <v/>
      </c>
      <c r="J12" s="62">
        <f>Labour!AL12</f>
        <v/>
      </c>
      <c r="K12" s="47">
        <f>SUM(E12:H12)-I12+J12</f>
        <v/>
      </c>
      <c r="L12" s="47">
        <f>B12+C12+D12+K12</f>
        <v/>
      </c>
      <c r="M12" s="63">
        <f>IF(B12&gt;0,L12/B12-1,0)</f>
        <v/>
      </c>
      <c r="N12" s="47">
        <f>N11*(1+Paths!C12)+F12*(1-dep_asia)</f>
        <v/>
      </c>
      <c r="O12" s="47">
        <f>O11*(1+Paths!C12)+G12*(1-dep_asia)</f>
        <v/>
      </c>
      <c r="P12" s="47">
        <f>P11*(1+Paths!C12)+H12*(1-dep_asia)</f>
        <v/>
      </c>
      <c r="Q12" s="47">
        <f>Q11*(1+Paths!C12)+Labour!AK12*gw_asian</f>
        <v/>
      </c>
      <c r="R12" s="47">
        <f>R11*(1+Paths!C12)+Labour!AF12*family_mult</f>
        <v/>
      </c>
      <c r="S12" s="63">
        <f>(N12+O12+P12+Q12+R12)/L12</f>
        <v/>
      </c>
      <c r="T12" s="47">
        <f>SUM(E12:H12)*Paths!J12</f>
        <v/>
      </c>
      <c r="U12" s="62">
        <f>Paths!K12</f>
        <v/>
      </c>
      <c r="V12" s="47">
        <f>IF(Gulf!E12=1,Gulf!B12,0)</f>
        <v/>
      </c>
      <c r="W12" s="47">
        <f>L12+V12</f>
        <v/>
      </c>
      <c r="X12" s="47">
        <f>W12+Labour!L12</f>
        <v/>
      </c>
    </row>
    <row r="13">
      <c r="A13" s="58" t="n">
        <v>1853</v>
      </c>
      <c r="B13" s="47">
        <f>L12</f>
        <v/>
      </c>
      <c r="C13" s="62">
        <f>Paths!D13</f>
        <v/>
      </c>
      <c r="D13" s="47">
        <f>B13*Paths!C13</f>
        <v/>
      </c>
      <c r="E13" s="47">
        <f>Paths!E13*IF($A13&gt;=1896,mig_scale,1)</f>
        <v/>
      </c>
      <c r="F13" s="47">
        <f>Paths!F13*IF($A13&gt;=1896,mig_scale,1)</f>
        <v/>
      </c>
      <c r="G13" s="47">
        <f>Paths!G13*IF($A13&gt;=1896,mig_scale,1)</f>
        <v/>
      </c>
      <c r="H13" s="47">
        <f>Paths!H13*IF($A13&gt;=1896,mig_scale,1)</f>
        <v/>
      </c>
      <c r="I13" s="47">
        <f>E13*Paths!I13+(F13+G13+H13)*dep_asia</f>
        <v/>
      </c>
      <c r="J13" s="62">
        <f>Labour!AL13</f>
        <v/>
      </c>
      <c r="K13" s="47">
        <f>SUM(E13:H13)-I13+J13</f>
        <v/>
      </c>
      <c r="L13" s="47">
        <f>B13+C13+D13+K13</f>
        <v/>
      </c>
      <c r="M13" s="63">
        <f>IF(B13&gt;0,L13/B13-1,0)</f>
        <v/>
      </c>
      <c r="N13" s="47">
        <f>N12*(1+Paths!C13)+F13*(1-dep_asia)</f>
        <v/>
      </c>
      <c r="O13" s="47">
        <f>O12*(1+Paths!C13)+G13*(1-dep_asia)</f>
        <v/>
      </c>
      <c r="P13" s="47">
        <f>P12*(1+Paths!C13)+H13*(1-dep_asia)</f>
        <v/>
      </c>
      <c r="Q13" s="47">
        <f>Q12*(1+Paths!C13)+Labour!AK13*gw_asian</f>
        <v/>
      </c>
      <c r="R13" s="47">
        <f>R12*(1+Paths!C13)+Labour!AF13*family_mult</f>
        <v/>
      </c>
      <c r="S13" s="63">
        <f>(N13+O13+P13+Q13+R13)/L13</f>
        <v/>
      </c>
      <c r="T13" s="47">
        <f>SUM(E13:H13)*Paths!J13</f>
        <v/>
      </c>
      <c r="U13" s="62">
        <f>Paths!K13</f>
        <v/>
      </c>
      <c r="V13" s="47">
        <f>IF(Gulf!E13=1,Gulf!B13,0)</f>
        <v/>
      </c>
      <c r="W13" s="47">
        <f>L13+V13</f>
        <v/>
      </c>
      <c r="X13" s="47">
        <f>W13+Labour!L13</f>
        <v/>
      </c>
    </row>
    <row r="14">
      <c r="A14" s="58" t="n">
        <v>1854</v>
      </c>
      <c r="B14" s="47">
        <f>L13</f>
        <v/>
      </c>
      <c r="C14" s="62">
        <f>Paths!D14</f>
        <v/>
      </c>
      <c r="D14" s="47">
        <f>B14*Paths!C14</f>
        <v/>
      </c>
      <c r="E14" s="47">
        <f>Paths!E14*IF($A14&gt;=1896,mig_scale,1)</f>
        <v/>
      </c>
      <c r="F14" s="47">
        <f>Paths!F14*IF($A14&gt;=1896,mig_scale,1)</f>
        <v/>
      </c>
      <c r="G14" s="47">
        <f>Paths!G14*IF($A14&gt;=1896,mig_scale,1)</f>
        <v/>
      </c>
      <c r="H14" s="47">
        <f>Paths!H14*IF($A14&gt;=1896,mig_scale,1)</f>
        <v/>
      </c>
      <c r="I14" s="47">
        <f>E14*Paths!I14+(F14+G14+H14)*dep_asia</f>
        <v/>
      </c>
      <c r="J14" s="62">
        <f>Labour!AL14</f>
        <v/>
      </c>
      <c r="K14" s="47">
        <f>SUM(E14:H14)-I14+J14</f>
        <v/>
      </c>
      <c r="L14" s="47">
        <f>B14+C14+D14+K14</f>
        <v/>
      </c>
      <c r="M14" s="63">
        <f>IF(B14&gt;0,L14/B14-1,0)</f>
        <v/>
      </c>
      <c r="N14" s="47">
        <f>N13*(1+Paths!C14)+F14*(1-dep_asia)</f>
        <v/>
      </c>
      <c r="O14" s="47">
        <f>O13*(1+Paths!C14)+G14*(1-dep_asia)</f>
        <v/>
      </c>
      <c r="P14" s="47">
        <f>P13*(1+Paths!C14)+H14*(1-dep_asia)</f>
        <v/>
      </c>
      <c r="Q14" s="47">
        <f>Q13*(1+Paths!C14)+Labour!AK14*gw_asian</f>
        <v/>
      </c>
      <c r="R14" s="47">
        <f>R13*(1+Paths!C14)+Labour!AF14*family_mult</f>
        <v/>
      </c>
      <c r="S14" s="63">
        <f>(N14+O14+P14+Q14+R14)/L14</f>
        <v/>
      </c>
      <c r="T14" s="47">
        <f>SUM(E14:H14)*Paths!J14</f>
        <v/>
      </c>
      <c r="U14" s="62">
        <f>Paths!K14</f>
        <v/>
      </c>
      <c r="V14" s="47">
        <f>IF(Gulf!E14=1,Gulf!B14,0)</f>
        <v/>
      </c>
      <c r="W14" s="47">
        <f>L14+V14</f>
        <v/>
      </c>
      <c r="X14" s="47">
        <f>W14+Labour!L14</f>
        <v/>
      </c>
    </row>
    <row r="15">
      <c r="A15" s="58" t="n">
        <v>1855</v>
      </c>
      <c r="B15" s="47">
        <f>L14</f>
        <v/>
      </c>
      <c r="C15" s="62">
        <f>Paths!D15</f>
        <v/>
      </c>
      <c r="D15" s="47">
        <f>B15*Paths!C15</f>
        <v/>
      </c>
      <c r="E15" s="47">
        <f>Paths!E15*IF($A15&gt;=1896,mig_scale,1)</f>
        <v/>
      </c>
      <c r="F15" s="47">
        <f>Paths!F15*IF($A15&gt;=1896,mig_scale,1)</f>
        <v/>
      </c>
      <c r="G15" s="47">
        <f>Paths!G15*IF($A15&gt;=1896,mig_scale,1)</f>
        <v/>
      </c>
      <c r="H15" s="47">
        <f>Paths!H15*IF($A15&gt;=1896,mig_scale,1)</f>
        <v/>
      </c>
      <c r="I15" s="47">
        <f>E15*Paths!I15+(F15+G15+H15)*dep_asia</f>
        <v/>
      </c>
      <c r="J15" s="62">
        <f>Labour!AL15</f>
        <v/>
      </c>
      <c r="K15" s="47">
        <f>SUM(E15:H15)-I15+J15</f>
        <v/>
      </c>
      <c r="L15" s="47">
        <f>B15+C15+D15+K15</f>
        <v/>
      </c>
      <c r="M15" s="63">
        <f>IF(B15&gt;0,L15/B15-1,0)</f>
        <v/>
      </c>
      <c r="N15" s="47">
        <f>N14*(1+Paths!C15)+F15*(1-dep_asia)</f>
        <v/>
      </c>
      <c r="O15" s="47">
        <f>O14*(1+Paths!C15)+G15*(1-dep_asia)</f>
        <v/>
      </c>
      <c r="P15" s="47">
        <f>P14*(1+Paths!C15)+H15*(1-dep_asia)</f>
        <v/>
      </c>
      <c r="Q15" s="47">
        <f>Q14*(1+Paths!C15)+Labour!AK15*gw_asian</f>
        <v/>
      </c>
      <c r="R15" s="47">
        <f>R14*(1+Paths!C15)+Labour!AF15*family_mult</f>
        <v/>
      </c>
      <c r="S15" s="63">
        <f>(N15+O15+P15+Q15+R15)/L15</f>
        <v/>
      </c>
      <c r="T15" s="47">
        <f>SUM(E15:H15)*Paths!J15</f>
        <v/>
      </c>
      <c r="U15" s="62">
        <f>Paths!K15</f>
        <v/>
      </c>
      <c r="V15" s="47">
        <f>IF(Gulf!E15=1,Gulf!B15,0)</f>
        <v/>
      </c>
      <c r="W15" s="47">
        <f>L15+V15</f>
        <v/>
      </c>
      <c r="X15" s="47">
        <f>W15+Labour!L15</f>
        <v/>
      </c>
    </row>
    <row r="16">
      <c r="A16" s="58" t="n">
        <v>1856</v>
      </c>
      <c r="B16" s="47">
        <f>L15</f>
        <v/>
      </c>
      <c r="C16" s="62">
        <f>Paths!D16</f>
        <v/>
      </c>
      <c r="D16" s="47">
        <f>B16*Paths!C16</f>
        <v/>
      </c>
      <c r="E16" s="47">
        <f>Paths!E16*IF($A16&gt;=1896,mig_scale,1)</f>
        <v/>
      </c>
      <c r="F16" s="47">
        <f>Paths!F16*IF($A16&gt;=1896,mig_scale,1)</f>
        <v/>
      </c>
      <c r="G16" s="47">
        <f>Paths!G16*IF($A16&gt;=1896,mig_scale,1)</f>
        <v/>
      </c>
      <c r="H16" s="47">
        <f>Paths!H16*IF($A16&gt;=1896,mig_scale,1)</f>
        <v/>
      </c>
      <c r="I16" s="47">
        <f>E16*Paths!I16+(F16+G16+H16)*dep_asia</f>
        <v/>
      </c>
      <c r="J16" s="62">
        <f>Labour!AL16</f>
        <v/>
      </c>
      <c r="K16" s="47">
        <f>SUM(E16:H16)-I16+J16</f>
        <v/>
      </c>
      <c r="L16" s="47">
        <f>B16+C16+D16+K16</f>
        <v/>
      </c>
      <c r="M16" s="63">
        <f>IF(B16&gt;0,L16/B16-1,0)</f>
        <v/>
      </c>
      <c r="N16" s="47">
        <f>N15*(1+Paths!C16)+F16*(1-dep_asia)</f>
        <v/>
      </c>
      <c r="O16" s="47">
        <f>O15*(1+Paths!C16)+G16*(1-dep_asia)</f>
        <v/>
      </c>
      <c r="P16" s="47">
        <f>P15*(1+Paths!C16)+H16*(1-dep_asia)</f>
        <v/>
      </c>
      <c r="Q16" s="47">
        <f>Q15*(1+Paths!C16)+Labour!AK16*gw_asian</f>
        <v/>
      </c>
      <c r="R16" s="47">
        <f>R15*(1+Paths!C16)+Labour!AF16*family_mult</f>
        <v/>
      </c>
      <c r="S16" s="63">
        <f>(N16+O16+P16+Q16+R16)/L16</f>
        <v/>
      </c>
      <c r="T16" s="47">
        <f>SUM(E16:H16)*Paths!J16</f>
        <v/>
      </c>
      <c r="U16" s="62">
        <f>Paths!K16</f>
        <v/>
      </c>
      <c r="V16" s="47">
        <f>IF(Gulf!E16=1,Gulf!B16,0)</f>
        <v/>
      </c>
      <c r="W16" s="47">
        <f>L16+V16</f>
        <v/>
      </c>
      <c r="X16" s="47">
        <f>W16+Labour!L16</f>
        <v/>
      </c>
    </row>
    <row r="17">
      <c r="A17" s="58" t="n">
        <v>1857</v>
      </c>
      <c r="B17" s="47">
        <f>L16</f>
        <v/>
      </c>
      <c r="C17" s="62">
        <f>Paths!D17</f>
        <v/>
      </c>
      <c r="D17" s="47">
        <f>B17*Paths!C17</f>
        <v/>
      </c>
      <c r="E17" s="47">
        <f>Paths!E17*IF($A17&gt;=1896,mig_scale,1)</f>
        <v/>
      </c>
      <c r="F17" s="47">
        <f>Paths!F17*IF($A17&gt;=1896,mig_scale,1)</f>
        <v/>
      </c>
      <c r="G17" s="47">
        <f>Paths!G17*IF($A17&gt;=1896,mig_scale,1)</f>
        <v/>
      </c>
      <c r="H17" s="47">
        <f>Paths!H17*IF($A17&gt;=1896,mig_scale,1)</f>
        <v/>
      </c>
      <c r="I17" s="47">
        <f>E17*Paths!I17+(F17+G17+H17)*dep_asia</f>
        <v/>
      </c>
      <c r="J17" s="62">
        <f>Labour!AL17</f>
        <v/>
      </c>
      <c r="K17" s="47">
        <f>SUM(E17:H17)-I17+J17</f>
        <v/>
      </c>
      <c r="L17" s="47">
        <f>B17+C17+D17+K17</f>
        <v/>
      </c>
      <c r="M17" s="63">
        <f>IF(B17&gt;0,L17/B17-1,0)</f>
        <v/>
      </c>
      <c r="N17" s="47">
        <f>N16*(1+Paths!C17)+F17*(1-dep_asia)</f>
        <v/>
      </c>
      <c r="O17" s="47">
        <f>O16*(1+Paths!C17)+G17*(1-dep_asia)</f>
        <v/>
      </c>
      <c r="P17" s="47">
        <f>P16*(1+Paths!C17)+H17*(1-dep_asia)</f>
        <v/>
      </c>
      <c r="Q17" s="47">
        <f>Q16*(1+Paths!C17)+Labour!AK17*gw_asian</f>
        <v/>
      </c>
      <c r="R17" s="47">
        <f>R16*(1+Paths!C17)+Labour!AF17*family_mult</f>
        <v/>
      </c>
      <c r="S17" s="63">
        <f>(N17+O17+P17+Q17+R17)/L17</f>
        <v/>
      </c>
      <c r="T17" s="47">
        <f>SUM(E17:H17)*Paths!J17</f>
        <v/>
      </c>
      <c r="U17" s="62">
        <f>Paths!K17</f>
        <v/>
      </c>
      <c r="V17" s="47">
        <f>IF(Gulf!E17=1,Gulf!B17,0)</f>
        <v/>
      </c>
      <c r="W17" s="47">
        <f>L17+V17</f>
        <v/>
      </c>
      <c r="X17" s="47">
        <f>W17+Labour!L17</f>
        <v/>
      </c>
    </row>
    <row r="18">
      <c r="A18" s="58" t="n">
        <v>1858</v>
      </c>
      <c r="B18" s="47">
        <f>L17</f>
        <v/>
      </c>
      <c r="C18" s="62">
        <f>Paths!D18</f>
        <v/>
      </c>
      <c r="D18" s="47">
        <f>B18*Paths!C18</f>
        <v/>
      </c>
      <c r="E18" s="47">
        <f>Paths!E18*IF($A18&gt;=1896,mig_scale,1)</f>
        <v/>
      </c>
      <c r="F18" s="47">
        <f>Paths!F18*IF($A18&gt;=1896,mig_scale,1)</f>
        <v/>
      </c>
      <c r="G18" s="47">
        <f>Paths!G18*IF($A18&gt;=1896,mig_scale,1)</f>
        <v/>
      </c>
      <c r="H18" s="47">
        <f>Paths!H18*IF($A18&gt;=1896,mig_scale,1)</f>
        <v/>
      </c>
      <c r="I18" s="47">
        <f>E18*Paths!I18+(F18+G18+H18)*dep_asia</f>
        <v/>
      </c>
      <c r="J18" s="62">
        <f>Labour!AL18</f>
        <v/>
      </c>
      <c r="K18" s="47">
        <f>SUM(E18:H18)-I18+J18</f>
        <v/>
      </c>
      <c r="L18" s="47">
        <f>B18+C18+D18+K18</f>
        <v/>
      </c>
      <c r="M18" s="63">
        <f>IF(B18&gt;0,L18/B18-1,0)</f>
        <v/>
      </c>
      <c r="N18" s="47">
        <f>N17*(1+Paths!C18)+F18*(1-dep_asia)</f>
        <v/>
      </c>
      <c r="O18" s="47">
        <f>O17*(1+Paths!C18)+G18*(1-dep_asia)</f>
        <v/>
      </c>
      <c r="P18" s="47">
        <f>P17*(1+Paths!C18)+H18*(1-dep_asia)</f>
        <v/>
      </c>
      <c r="Q18" s="47">
        <f>Q17*(1+Paths!C18)+Labour!AK18*gw_asian</f>
        <v/>
      </c>
      <c r="R18" s="47">
        <f>R17*(1+Paths!C18)+Labour!AF18*family_mult</f>
        <v/>
      </c>
      <c r="S18" s="63">
        <f>(N18+O18+P18+Q18+R18)/L18</f>
        <v/>
      </c>
      <c r="T18" s="47">
        <f>SUM(E18:H18)*Paths!J18</f>
        <v/>
      </c>
      <c r="U18" s="62">
        <f>Paths!K18</f>
        <v/>
      </c>
      <c r="V18" s="47">
        <f>IF(Gulf!E18=1,Gulf!B18,0)</f>
        <v/>
      </c>
      <c r="W18" s="47">
        <f>L18+V18</f>
        <v/>
      </c>
      <c r="X18" s="47">
        <f>W18+Labour!L18</f>
        <v/>
      </c>
    </row>
    <row r="19">
      <c r="A19" s="58" t="n">
        <v>1859</v>
      </c>
      <c r="B19" s="47">
        <f>L18</f>
        <v/>
      </c>
      <c r="C19" s="62">
        <f>Paths!D19</f>
        <v/>
      </c>
      <c r="D19" s="47">
        <f>B19*Paths!C19</f>
        <v/>
      </c>
      <c r="E19" s="47">
        <f>Paths!E19*IF($A19&gt;=1896,mig_scale,1)</f>
        <v/>
      </c>
      <c r="F19" s="47">
        <f>Paths!F19*IF($A19&gt;=1896,mig_scale,1)</f>
        <v/>
      </c>
      <c r="G19" s="47">
        <f>Paths!G19*IF($A19&gt;=1896,mig_scale,1)</f>
        <v/>
      </c>
      <c r="H19" s="47">
        <f>Paths!H19*IF($A19&gt;=1896,mig_scale,1)</f>
        <v/>
      </c>
      <c r="I19" s="47">
        <f>E19*Paths!I19+(F19+G19+H19)*dep_asia</f>
        <v/>
      </c>
      <c r="J19" s="62">
        <f>Labour!AL19</f>
        <v/>
      </c>
      <c r="K19" s="47">
        <f>SUM(E19:H19)-I19+J19</f>
        <v/>
      </c>
      <c r="L19" s="47">
        <f>B19+C19+D19+K19</f>
        <v/>
      </c>
      <c r="M19" s="63">
        <f>IF(B19&gt;0,L19/B19-1,0)</f>
        <v/>
      </c>
      <c r="N19" s="47">
        <f>N18*(1+Paths!C19)+F19*(1-dep_asia)</f>
        <v/>
      </c>
      <c r="O19" s="47">
        <f>O18*(1+Paths!C19)+G19*(1-dep_asia)</f>
        <v/>
      </c>
      <c r="P19" s="47">
        <f>P18*(1+Paths!C19)+H19*(1-dep_asia)</f>
        <v/>
      </c>
      <c r="Q19" s="47">
        <f>Q18*(1+Paths!C19)+Labour!AK19*gw_asian</f>
        <v/>
      </c>
      <c r="R19" s="47">
        <f>R18*(1+Paths!C19)+Labour!AF19*family_mult</f>
        <v/>
      </c>
      <c r="S19" s="63">
        <f>(N19+O19+P19+Q19+R19)/L19</f>
        <v/>
      </c>
      <c r="T19" s="47">
        <f>SUM(E19:H19)*Paths!J19</f>
        <v/>
      </c>
      <c r="U19" s="62">
        <f>Paths!K19</f>
        <v/>
      </c>
      <c r="V19" s="47">
        <f>IF(Gulf!E19=1,Gulf!B19,0)</f>
        <v/>
      </c>
      <c r="W19" s="47">
        <f>L19+V19</f>
        <v/>
      </c>
      <c r="X19" s="47">
        <f>W19+Labour!L19</f>
        <v/>
      </c>
    </row>
    <row r="20">
      <c r="A20" s="58" t="n">
        <v>1860</v>
      </c>
      <c r="B20" s="47">
        <f>L19</f>
        <v/>
      </c>
      <c r="C20" s="62">
        <f>Paths!D20</f>
        <v/>
      </c>
      <c r="D20" s="47">
        <f>B20*Paths!C20</f>
        <v/>
      </c>
      <c r="E20" s="47">
        <f>Paths!E20*IF($A20&gt;=1896,mig_scale,1)</f>
        <v/>
      </c>
      <c r="F20" s="47">
        <f>Paths!F20*IF($A20&gt;=1896,mig_scale,1)</f>
        <v/>
      </c>
      <c r="G20" s="47">
        <f>Paths!G20*IF($A20&gt;=1896,mig_scale,1)</f>
        <v/>
      </c>
      <c r="H20" s="47">
        <f>Paths!H20*IF($A20&gt;=1896,mig_scale,1)</f>
        <v/>
      </c>
      <c r="I20" s="47">
        <f>E20*Paths!I20+(F20+G20+H20)*dep_asia</f>
        <v/>
      </c>
      <c r="J20" s="62">
        <f>Labour!AL20</f>
        <v/>
      </c>
      <c r="K20" s="47">
        <f>SUM(E20:H20)-I20+J20</f>
        <v/>
      </c>
      <c r="L20" s="47">
        <f>B20+C20+D20+K20</f>
        <v/>
      </c>
      <c r="M20" s="63">
        <f>IF(B20&gt;0,L20/B20-1,0)</f>
        <v/>
      </c>
      <c r="N20" s="47">
        <f>N19*(1+Paths!C20)+F20*(1-dep_asia)</f>
        <v/>
      </c>
      <c r="O20" s="47">
        <f>O19*(1+Paths!C20)+G20*(1-dep_asia)</f>
        <v/>
      </c>
      <c r="P20" s="47">
        <f>P19*(1+Paths!C20)+H20*(1-dep_asia)</f>
        <v/>
      </c>
      <c r="Q20" s="47">
        <f>Q19*(1+Paths!C20)+Labour!AK20*gw_asian</f>
        <v/>
      </c>
      <c r="R20" s="47">
        <f>R19*(1+Paths!C20)+Labour!AF20*family_mult</f>
        <v/>
      </c>
      <c r="S20" s="63">
        <f>(N20+O20+P20+Q20+R20)/L20</f>
        <v/>
      </c>
      <c r="T20" s="47">
        <f>SUM(E20:H20)*Paths!J20</f>
        <v/>
      </c>
      <c r="U20" s="62">
        <f>Paths!K20</f>
        <v/>
      </c>
      <c r="V20" s="47">
        <f>IF(Gulf!E20=1,Gulf!B20,0)</f>
        <v/>
      </c>
      <c r="W20" s="47">
        <f>L20+V20</f>
        <v/>
      </c>
      <c r="X20" s="47">
        <f>W20+Labour!L20</f>
        <v/>
      </c>
    </row>
    <row r="21">
      <c r="A21" s="61" t="n">
        <v>1861</v>
      </c>
      <c r="B21" s="47">
        <f>L20</f>
        <v/>
      </c>
      <c r="C21" s="62">
        <f>Paths!D21</f>
        <v/>
      </c>
      <c r="D21" s="47">
        <f>B21*Paths!C21</f>
        <v/>
      </c>
      <c r="E21" s="47">
        <f>Paths!E21*IF($A21&gt;=1896,mig_scale,1)</f>
        <v/>
      </c>
      <c r="F21" s="47">
        <f>Paths!F21*IF($A21&gt;=1896,mig_scale,1)</f>
        <v/>
      </c>
      <c r="G21" s="47">
        <f>Paths!G21*IF($A21&gt;=1896,mig_scale,1)</f>
        <v/>
      </c>
      <c r="H21" s="47">
        <f>Paths!H21*IF($A21&gt;=1896,mig_scale,1)</f>
        <v/>
      </c>
      <c r="I21" s="47">
        <f>E21*Paths!I21+(F21+G21+H21)*dep_asia</f>
        <v/>
      </c>
      <c r="J21" s="62">
        <f>Labour!AL21</f>
        <v/>
      </c>
      <c r="K21" s="47">
        <f>SUM(E21:H21)-I21+J21</f>
        <v/>
      </c>
      <c r="L21" s="47">
        <f>B21+C21+D21+K21</f>
        <v/>
      </c>
      <c r="M21" s="63">
        <f>IF(B21&gt;0,L21/B21-1,0)</f>
        <v/>
      </c>
      <c r="N21" s="47">
        <f>N20*(1+Paths!C21)+F21*(1-dep_asia)</f>
        <v/>
      </c>
      <c r="O21" s="47">
        <f>O20*(1+Paths!C21)+G21*(1-dep_asia)</f>
        <v/>
      </c>
      <c r="P21" s="47">
        <f>P20*(1+Paths!C21)+H21*(1-dep_asia)</f>
        <v/>
      </c>
      <c r="Q21" s="47">
        <f>Q20*(1+Paths!C21)+Labour!AK21*gw_asian</f>
        <v/>
      </c>
      <c r="R21" s="47">
        <f>R20*(1+Paths!C21)+Labour!AF21*family_mult</f>
        <v/>
      </c>
      <c r="S21" s="63">
        <f>(N21+O21+P21+Q21+R21)/L21</f>
        <v/>
      </c>
      <c r="T21" s="47">
        <f>SUM(E21:H21)*Paths!J21</f>
        <v/>
      </c>
      <c r="U21" s="62">
        <f>Paths!K21</f>
        <v/>
      </c>
      <c r="V21" s="47">
        <f>IF(Gulf!E21=1,Gulf!B21,0)</f>
        <v/>
      </c>
      <c r="W21" s="47">
        <f>L21+V21</f>
        <v/>
      </c>
      <c r="X21" s="47">
        <f>W21+Labour!L21</f>
        <v/>
      </c>
    </row>
    <row r="22">
      <c r="A22" s="61" t="n">
        <v>1862</v>
      </c>
      <c r="B22" s="47">
        <f>L21</f>
        <v/>
      </c>
      <c r="C22" s="62">
        <f>Paths!D22</f>
        <v/>
      </c>
      <c r="D22" s="47">
        <f>B22*Paths!C22</f>
        <v/>
      </c>
      <c r="E22" s="47">
        <f>Paths!E22*IF($A22&gt;=1896,mig_scale,1)</f>
        <v/>
      </c>
      <c r="F22" s="47">
        <f>Paths!F22*IF($A22&gt;=1896,mig_scale,1)</f>
        <v/>
      </c>
      <c r="G22" s="47">
        <f>Paths!G22*IF($A22&gt;=1896,mig_scale,1)</f>
        <v/>
      </c>
      <c r="H22" s="47">
        <f>Paths!H22*IF($A22&gt;=1896,mig_scale,1)</f>
        <v/>
      </c>
      <c r="I22" s="47">
        <f>E22*Paths!I22+(F22+G22+H22)*dep_asia</f>
        <v/>
      </c>
      <c r="J22" s="62">
        <f>Labour!AL22</f>
        <v/>
      </c>
      <c r="K22" s="47">
        <f>SUM(E22:H22)-I22+J22</f>
        <v/>
      </c>
      <c r="L22" s="47">
        <f>B22+C22+D22+K22</f>
        <v/>
      </c>
      <c r="M22" s="63">
        <f>IF(B22&gt;0,L22/B22-1,0)</f>
        <v/>
      </c>
      <c r="N22" s="47">
        <f>N21*(1+Paths!C22)+F22*(1-dep_asia)</f>
        <v/>
      </c>
      <c r="O22" s="47">
        <f>O21*(1+Paths!C22)+G22*(1-dep_asia)</f>
        <v/>
      </c>
      <c r="P22" s="47">
        <f>P21*(1+Paths!C22)+H22*(1-dep_asia)</f>
        <v/>
      </c>
      <c r="Q22" s="47">
        <f>Q21*(1+Paths!C22)+Labour!AK22*gw_asian</f>
        <v/>
      </c>
      <c r="R22" s="47">
        <f>R21*(1+Paths!C22)+Labour!AF22*family_mult</f>
        <v/>
      </c>
      <c r="S22" s="63">
        <f>(N22+O22+P22+Q22+R22)/L22</f>
        <v/>
      </c>
      <c r="T22" s="47">
        <f>SUM(E22:H22)*Paths!J22</f>
        <v/>
      </c>
      <c r="U22" s="62">
        <f>Paths!K22</f>
        <v/>
      </c>
      <c r="V22" s="47">
        <f>IF(Gulf!E22=1,Gulf!B22,0)</f>
        <v/>
      </c>
      <c r="W22" s="47">
        <f>L22+V22</f>
        <v/>
      </c>
      <c r="X22" s="47">
        <f>W22+Labour!L22</f>
        <v/>
      </c>
    </row>
    <row r="23">
      <c r="A23" s="61" t="n">
        <v>1863</v>
      </c>
      <c r="B23" s="47">
        <f>L22</f>
        <v/>
      </c>
      <c r="C23" s="62">
        <f>Paths!D23</f>
        <v/>
      </c>
      <c r="D23" s="47">
        <f>B23*Paths!C23</f>
        <v/>
      </c>
      <c r="E23" s="47">
        <f>Paths!E23*IF($A23&gt;=1896,mig_scale,1)</f>
        <v/>
      </c>
      <c r="F23" s="47">
        <f>Paths!F23*IF($A23&gt;=1896,mig_scale,1)</f>
        <v/>
      </c>
      <c r="G23" s="47">
        <f>Paths!G23*IF($A23&gt;=1896,mig_scale,1)</f>
        <v/>
      </c>
      <c r="H23" s="47">
        <f>Paths!H23*IF($A23&gt;=1896,mig_scale,1)</f>
        <v/>
      </c>
      <c r="I23" s="47">
        <f>E23*Paths!I23+(F23+G23+H23)*dep_asia</f>
        <v/>
      </c>
      <c r="J23" s="62">
        <f>Labour!AL23</f>
        <v/>
      </c>
      <c r="K23" s="47">
        <f>SUM(E23:H23)-I23+J23</f>
        <v/>
      </c>
      <c r="L23" s="47">
        <f>B23+C23+D23+K23</f>
        <v/>
      </c>
      <c r="M23" s="63">
        <f>IF(B23&gt;0,L23/B23-1,0)</f>
        <v/>
      </c>
      <c r="N23" s="47">
        <f>N22*(1+Paths!C23)+F23*(1-dep_asia)</f>
        <v/>
      </c>
      <c r="O23" s="47">
        <f>O22*(1+Paths!C23)+G23*(1-dep_asia)</f>
        <v/>
      </c>
      <c r="P23" s="47">
        <f>P22*(1+Paths!C23)+H23*(1-dep_asia)</f>
        <v/>
      </c>
      <c r="Q23" s="47">
        <f>Q22*(1+Paths!C23)+Labour!AK23*gw_asian</f>
        <v/>
      </c>
      <c r="R23" s="47">
        <f>R22*(1+Paths!C23)+Labour!AF23*family_mult</f>
        <v/>
      </c>
      <c r="S23" s="63">
        <f>(N23+O23+P23+Q23+R23)/L23</f>
        <v/>
      </c>
      <c r="T23" s="47">
        <f>SUM(E23:H23)*Paths!J23</f>
        <v/>
      </c>
      <c r="U23" s="62">
        <f>Paths!K23</f>
        <v/>
      </c>
      <c r="V23" s="47">
        <f>IF(Gulf!E23=1,Gulf!B23,0)</f>
        <v/>
      </c>
      <c r="W23" s="47">
        <f>L23+V23</f>
        <v/>
      </c>
      <c r="X23" s="47">
        <f>W23+Labour!L23</f>
        <v/>
      </c>
    </row>
    <row r="24">
      <c r="A24" s="61" t="n">
        <v>1864</v>
      </c>
      <c r="B24" s="47">
        <f>L23</f>
        <v/>
      </c>
      <c r="C24" s="62">
        <f>Paths!D24</f>
        <v/>
      </c>
      <c r="D24" s="47">
        <f>B24*Paths!C24</f>
        <v/>
      </c>
      <c r="E24" s="47">
        <f>Paths!E24*IF($A24&gt;=1896,mig_scale,1)</f>
        <v/>
      </c>
      <c r="F24" s="47">
        <f>Paths!F24*IF($A24&gt;=1896,mig_scale,1)</f>
        <v/>
      </c>
      <c r="G24" s="47">
        <f>Paths!G24*IF($A24&gt;=1896,mig_scale,1)</f>
        <v/>
      </c>
      <c r="H24" s="47">
        <f>Paths!H24*IF($A24&gt;=1896,mig_scale,1)</f>
        <v/>
      </c>
      <c r="I24" s="47">
        <f>E24*Paths!I24+(F24+G24+H24)*dep_asia</f>
        <v/>
      </c>
      <c r="J24" s="62">
        <f>Labour!AL24</f>
        <v/>
      </c>
      <c r="K24" s="47">
        <f>SUM(E24:H24)-I24+J24</f>
        <v/>
      </c>
      <c r="L24" s="47">
        <f>B24+C24+D24+K24</f>
        <v/>
      </c>
      <c r="M24" s="63">
        <f>IF(B24&gt;0,L24/B24-1,0)</f>
        <v/>
      </c>
      <c r="N24" s="47">
        <f>N23*(1+Paths!C24)+F24*(1-dep_asia)</f>
        <v/>
      </c>
      <c r="O24" s="47">
        <f>O23*(1+Paths!C24)+G24*(1-dep_asia)</f>
        <v/>
      </c>
      <c r="P24" s="47">
        <f>P23*(1+Paths!C24)+H24*(1-dep_asia)</f>
        <v/>
      </c>
      <c r="Q24" s="47">
        <f>Q23*(1+Paths!C24)+Labour!AK24*gw_asian</f>
        <v/>
      </c>
      <c r="R24" s="47">
        <f>R23*(1+Paths!C24)+Labour!AF24*family_mult</f>
        <v/>
      </c>
      <c r="S24" s="63">
        <f>(N24+O24+P24+Q24+R24)/L24</f>
        <v/>
      </c>
      <c r="T24" s="47">
        <f>SUM(E24:H24)*Paths!J24</f>
        <v/>
      </c>
      <c r="U24" s="62">
        <f>Paths!K24</f>
        <v/>
      </c>
      <c r="V24" s="47">
        <f>IF(Gulf!E24=1,Gulf!B24,0)</f>
        <v/>
      </c>
      <c r="W24" s="47">
        <f>L24+V24</f>
        <v/>
      </c>
      <c r="X24" s="47">
        <f>W24+Labour!L24</f>
        <v/>
      </c>
    </row>
    <row r="25">
      <c r="A25" s="61" t="n">
        <v>1865</v>
      </c>
      <c r="B25" s="47">
        <f>L24</f>
        <v/>
      </c>
      <c r="C25" s="62">
        <f>Paths!D25</f>
        <v/>
      </c>
      <c r="D25" s="47">
        <f>B25*Paths!C25</f>
        <v/>
      </c>
      <c r="E25" s="47">
        <f>Paths!E25*IF($A25&gt;=1896,mig_scale,1)</f>
        <v/>
      </c>
      <c r="F25" s="47">
        <f>Paths!F25*IF($A25&gt;=1896,mig_scale,1)</f>
        <v/>
      </c>
      <c r="G25" s="47">
        <f>Paths!G25*IF($A25&gt;=1896,mig_scale,1)</f>
        <v/>
      </c>
      <c r="H25" s="47">
        <f>Paths!H25*IF($A25&gt;=1896,mig_scale,1)</f>
        <v/>
      </c>
      <c r="I25" s="47">
        <f>E25*Paths!I25+(F25+G25+H25)*dep_asia</f>
        <v/>
      </c>
      <c r="J25" s="62">
        <f>Labour!AL25</f>
        <v/>
      </c>
      <c r="K25" s="47">
        <f>SUM(E25:H25)-I25+J25</f>
        <v/>
      </c>
      <c r="L25" s="47">
        <f>B25+C25+D25+K25</f>
        <v/>
      </c>
      <c r="M25" s="63">
        <f>IF(B25&gt;0,L25/B25-1,0)</f>
        <v/>
      </c>
      <c r="N25" s="47">
        <f>N24*(1+Paths!C25)+F25*(1-dep_asia)</f>
        <v/>
      </c>
      <c r="O25" s="47">
        <f>O24*(1+Paths!C25)+G25*(1-dep_asia)</f>
        <v/>
      </c>
      <c r="P25" s="47">
        <f>P24*(1+Paths!C25)+H25*(1-dep_asia)</f>
        <v/>
      </c>
      <c r="Q25" s="47">
        <f>Q24*(1+Paths!C25)+Labour!AK25*gw_asian</f>
        <v/>
      </c>
      <c r="R25" s="47">
        <f>R24*(1+Paths!C25)+Labour!AF25*family_mult</f>
        <v/>
      </c>
      <c r="S25" s="63">
        <f>(N25+O25+P25+Q25+R25)/L25</f>
        <v/>
      </c>
      <c r="T25" s="47">
        <f>SUM(E25:H25)*Paths!J25</f>
        <v/>
      </c>
      <c r="U25" s="62">
        <f>Paths!K25</f>
        <v/>
      </c>
      <c r="V25" s="47">
        <f>IF(Gulf!E25=1,Gulf!B25,0)</f>
        <v/>
      </c>
      <c r="W25" s="47">
        <f>L25+V25</f>
        <v/>
      </c>
      <c r="X25" s="47">
        <f>W25+Labour!L25</f>
        <v/>
      </c>
    </row>
    <row r="26">
      <c r="A26" s="58" t="n">
        <v>1866</v>
      </c>
      <c r="B26" s="47">
        <f>L25</f>
        <v/>
      </c>
      <c r="C26" s="62">
        <f>Paths!D26</f>
        <v/>
      </c>
      <c r="D26" s="47">
        <f>B26*Paths!C26</f>
        <v/>
      </c>
      <c r="E26" s="47">
        <f>Paths!E26*IF($A26&gt;=1896,mig_scale,1)</f>
        <v/>
      </c>
      <c r="F26" s="47">
        <f>Paths!F26*IF($A26&gt;=1896,mig_scale,1)</f>
        <v/>
      </c>
      <c r="G26" s="47">
        <f>Paths!G26*IF($A26&gt;=1896,mig_scale,1)</f>
        <v/>
      </c>
      <c r="H26" s="47">
        <f>Paths!H26*IF($A26&gt;=1896,mig_scale,1)</f>
        <v/>
      </c>
      <c r="I26" s="47">
        <f>E26*Paths!I26+(F26+G26+H26)*dep_asia</f>
        <v/>
      </c>
      <c r="J26" s="62">
        <f>Labour!AL26</f>
        <v/>
      </c>
      <c r="K26" s="47">
        <f>SUM(E26:H26)-I26+J26</f>
        <v/>
      </c>
      <c r="L26" s="47">
        <f>B26+C26+D26+K26</f>
        <v/>
      </c>
      <c r="M26" s="63">
        <f>IF(B26&gt;0,L26/B26-1,0)</f>
        <v/>
      </c>
      <c r="N26" s="47">
        <f>N25*(1+Paths!C26)+F26*(1-dep_asia)</f>
        <v/>
      </c>
      <c r="O26" s="47">
        <f>O25*(1+Paths!C26)+G26*(1-dep_asia)</f>
        <v/>
      </c>
      <c r="P26" s="47">
        <f>P25*(1+Paths!C26)+H26*(1-dep_asia)</f>
        <v/>
      </c>
      <c r="Q26" s="47">
        <f>Q25*(1+Paths!C26)+Labour!AK26*gw_asian</f>
        <v/>
      </c>
      <c r="R26" s="47">
        <f>R25*(1+Paths!C26)+Labour!AF26*family_mult</f>
        <v/>
      </c>
      <c r="S26" s="63">
        <f>(N26+O26+P26+Q26+R26)/L26</f>
        <v/>
      </c>
      <c r="T26" s="47">
        <f>SUM(E26:H26)*Paths!J26</f>
        <v/>
      </c>
      <c r="U26" s="62">
        <f>Paths!K26</f>
        <v/>
      </c>
      <c r="V26" s="47">
        <f>IF(Gulf!E26=1,Gulf!B26,0)</f>
        <v/>
      </c>
      <c r="W26" s="47">
        <f>L26+V26</f>
        <v/>
      </c>
      <c r="X26" s="47">
        <f>W26+Labour!L26</f>
        <v/>
      </c>
    </row>
    <row r="27">
      <c r="A27" s="58" t="n">
        <v>1867</v>
      </c>
      <c r="B27" s="47">
        <f>L26</f>
        <v/>
      </c>
      <c r="C27" s="62">
        <f>Paths!D27</f>
        <v/>
      </c>
      <c r="D27" s="47">
        <f>B27*Paths!C27</f>
        <v/>
      </c>
      <c r="E27" s="47">
        <f>Paths!E27*IF($A27&gt;=1896,mig_scale,1)</f>
        <v/>
      </c>
      <c r="F27" s="47">
        <f>Paths!F27*IF($A27&gt;=1896,mig_scale,1)</f>
        <v/>
      </c>
      <c r="G27" s="47">
        <f>Paths!G27*IF($A27&gt;=1896,mig_scale,1)</f>
        <v/>
      </c>
      <c r="H27" s="47">
        <f>Paths!H27*IF($A27&gt;=1896,mig_scale,1)</f>
        <v/>
      </c>
      <c r="I27" s="47">
        <f>E27*Paths!I27+(F27+G27+H27)*dep_asia</f>
        <v/>
      </c>
      <c r="J27" s="62">
        <f>Labour!AL27</f>
        <v/>
      </c>
      <c r="K27" s="47">
        <f>SUM(E27:H27)-I27+J27</f>
        <v/>
      </c>
      <c r="L27" s="47">
        <f>B27+C27+D27+K27</f>
        <v/>
      </c>
      <c r="M27" s="63">
        <f>IF(B27&gt;0,L27/B27-1,0)</f>
        <v/>
      </c>
      <c r="N27" s="47">
        <f>N26*(1+Paths!C27)+F27*(1-dep_asia)</f>
        <v/>
      </c>
      <c r="O27" s="47">
        <f>O26*(1+Paths!C27)+G27*(1-dep_asia)</f>
        <v/>
      </c>
      <c r="P27" s="47">
        <f>P26*(1+Paths!C27)+H27*(1-dep_asia)</f>
        <v/>
      </c>
      <c r="Q27" s="47">
        <f>Q26*(1+Paths!C27)+Labour!AK27*gw_asian</f>
        <v/>
      </c>
      <c r="R27" s="47">
        <f>R26*(1+Paths!C27)+Labour!AF27*family_mult</f>
        <v/>
      </c>
      <c r="S27" s="63">
        <f>(N27+O27+P27+Q27+R27)/L27</f>
        <v/>
      </c>
      <c r="T27" s="47">
        <f>SUM(E27:H27)*Paths!J27</f>
        <v/>
      </c>
      <c r="U27" s="62">
        <f>Paths!K27</f>
        <v/>
      </c>
      <c r="V27" s="47">
        <f>IF(Gulf!E27=1,Gulf!B27,0)</f>
        <v/>
      </c>
      <c r="W27" s="47">
        <f>L27+V27</f>
        <v/>
      </c>
      <c r="X27" s="47">
        <f>W27+Labour!L27</f>
        <v/>
      </c>
    </row>
    <row r="28">
      <c r="A28" s="58" t="n">
        <v>1868</v>
      </c>
      <c r="B28" s="47">
        <f>L27</f>
        <v/>
      </c>
      <c r="C28" s="62">
        <f>Paths!D28</f>
        <v/>
      </c>
      <c r="D28" s="47">
        <f>B28*Paths!C28</f>
        <v/>
      </c>
      <c r="E28" s="47">
        <f>Paths!E28*IF($A28&gt;=1896,mig_scale,1)</f>
        <v/>
      </c>
      <c r="F28" s="47">
        <f>Paths!F28*IF($A28&gt;=1896,mig_scale,1)</f>
        <v/>
      </c>
      <c r="G28" s="47">
        <f>Paths!G28*IF($A28&gt;=1896,mig_scale,1)</f>
        <v/>
      </c>
      <c r="H28" s="47">
        <f>Paths!H28*IF($A28&gt;=1896,mig_scale,1)</f>
        <v/>
      </c>
      <c r="I28" s="47">
        <f>E28*Paths!I28+(F28+G28+H28)*dep_asia</f>
        <v/>
      </c>
      <c r="J28" s="62">
        <f>Labour!AL28</f>
        <v/>
      </c>
      <c r="K28" s="47">
        <f>SUM(E28:H28)-I28+J28</f>
        <v/>
      </c>
      <c r="L28" s="47">
        <f>B28+C28+D28+K28</f>
        <v/>
      </c>
      <c r="M28" s="63">
        <f>IF(B28&gt;0,L28/B28-1,0)</f>
        <v/>
      </c>
      <c r="N28" s="47">
        <f>N27*(1+Paths!C28)+F28*(1-dep_asia)</f>
        <v/>
      </c>
      <c r="O28" s="47">
        <f>O27*(1+Paths!C28)+G28*(1-dep_asia)</f>
        <v/>
      </c>
      <c r="P28" s="47">
        <f>P27*(1+Paths!C28)+H28*(1-dep_asia)</f>
        <v/>
      </c>
      <c r="Q28" s="47">
        <f>Q27*(1+Paths!C28)+Labour!AK28*gw_asian</f>
        <v/>
      </c>
      <c r="R28" s="47">
        <f>R27*(1+Paths!C28)+Labour!AF28*family_mult</f>
        <v/>
      </c>
      <c r="S28" s="63">
        <f>(N28+O28+P28+Q28+R28)/L28</f>
        <v/>
      </c>
      <c r="T28" s="47">
        <f>SUM(E28:H28)*Paths!J28</f>
        <v/>
      </c>
      <c r="U28" s="62">
        <f>Paths!K28</f>
        <v/>
      </c>
      <c r="V28" s="47">
        <f>IF(Gulf!E28=1,Gulf!B28,0)</f>
        <v/>
      </c>
      <c r="W28" s="47">
        <f>L28+V28</f>
        <v/>
      </c>
      <c r="X28" s="47">
        <f>W28+Labour!L28</f>
        <v/>
      </c>
    </row>
    <row r="29">
      <c r="A29" s="58" t="n">
        <v>1869</v>
      </c>
      <c r="B29" s="47">
        <f>L28</f>
        <v/>
      </c>
      <c r="C29" s="62">
        <f>Paths!D29</f>
        <v/>
      </c>
      <c r="D29" s="47">
        <f>B29*Paths!C29</f>
        <v/>
      </c>
      <c r="E29" s="47">
        <f>Paths!E29*IF($A29&gt;=1896,mig_scale,1)</f>
        <v/>
      </c>
      <c r="F29" s="47">
        <f>Paths!F29*IF($A29&gt;=1896,mig_scale,1)</f>
        <v/>
      </c>
      <c r="G29" s="47">
        <f>Paths!G29*IF($A29&gt;=1896,mig_scale,1)</f>
        <v/>
      </c>
      <c r="H29" s="47">
        <f>Paths!H29*IF($A29&gt;=1896,mig_scale,1)</f>
        <v/>
      </c>
      <c r="I29" s="47">
        <f>E29*Paths!I29+(F29+G29+H29)*dep_asia</f>
        <v/>
      </c>
      <c r="J29" s="62">
        <f>Labour!AL29</f>
        <v/>
      </c>
      <c r="K29" s="47">
        <f>SUM(E29:H29)-I29+J29</f>
        <v/>
      </c>
      <c r="L29" s="47">
        <f>B29+C29+D29+K29</f>
        <v/>
      </c>
      <c r="M29" s="63">
        <f>IF(B29&gt;0,L29/B29-1,0)</f>
        <v/>
      </c>
      <c r="N29" s="47">
        <f>N28*(1+Paths!C29)+F29*(1-dep_asia)</f>
        <v/>
      </c>
      <c r="O29" s="47">
        <f>O28*(1+Paths!C29)+G29*(1-dep_asia)</f>
        <v/>
      </c>
      <c r="P29" s="47">
        <f>P28*(1+Paths!C29)+H29*(1-dep_asia)</f>
        <v/>
      </c>
      <c r="Q29" s="47">
        <f>Q28*(1+Paths!C29)+Labour!AK29*gw_asian</f>
        <v/>
      </c>
      <c r="R29" s="47">
        <f>R28*(1+Paths!C29)+Labour!AF29*family_mult</f>
        <v/>
      </c>
      <c r="S29" s="63">
        <f>(N29+O29+P29+Q29+R29)/L29</f>
        <v/>
      </c>
      <c r="T29" s="47">
        <f>SUM(E29:H29)*Paths!J29</f>
        <v/>
      </c>
      <c r="U29" s="62">
        <f>Paths!K29</f>
        <v/>
      </c>
      <c r="V29" s="47">
        <f>IF(Gulf!E29=1,Gulf!B29,0)</f>
        <v/>
      </c>
      <c r="W29" s="47">
        <f>L29+V29</f>
        <v/>
      </c>
      <c r="X29" s="47">
        <f>W29+Labour!L29</f>
        <v/>
      </c>
    </row>
    <row r="30">
      <c r="A30" s="61" t="n">
        <v>1870</v>
      </c>
      <c r="B30" s="47">
        <f>L29</f>
        <v/>
      </c>
      <c r="C30" s="62">
        <f>Paths!D30</f>
        <v/>
      </c>
      <c r="D30" s="47">
        <f>B30*Paths!C30</f>
        <v/>
      </c>
      <c r="E30" s="47">
        <f>Paths!E30*IF($A30&gt;=1896,mig_scale,1)</f>
        <v/>
      </c>
      <c r="F30" s="47">
        <f>Paths!F30*IF($A30&gt;=1896,mig_scale,1)</f>
        <v/>
      </c>
      <c r="G30" s="47">
        <f>Paths!G30*IF($A30&gt;=1896,mig_scale,1)</f>
        <v/>
      </c>
      <c r="H30" s="47">
        <f>Paths!H30*IF($A30&gt;=1896,mig_scale,1)</f>
        <v/>
      </c>
      <c r="I30" s="47">
        <f>E30*Paths!I30+(F30+G30+H30)*dep_asia</f>
        <v/>
      </c>
      <c r="J30" s="62">
        <f>Labour!AL30</f>
        <v/>
      </c>
      <c r="K30" s="47">
        <f>SUM(E30:H30)-I30+J30</f>
        <v/>
      </c>
      <c r="L30" s="47">
        <f>B30+C30+D30+K30</f>
        <v/>
      </c>
      <c r="M30" s="63">
        <f>IF(B30&gt;0,L30/B30-1,0)</f>
        <v/>
      </c>
      <c r="N30" s="47">
        <f>N29*(1+Paths!C30)+F30*(1-dep_asia)</f>
        <v/>
      </c>
      <c r="O30" s="47">
        <f>O29*(1+Paths!C30)+G30*(1-dep_asia)</f>
        <v/>
      </c>
      <c r="P30" s="47">
        <f>P29*(1+Paths!C30)+H30*(1-dep_asia)</f>
        <v/>
      </c>
      <c r="Q30" s="47">
        <f>Q29*(1+Paths!C30)+Labour!AK30*gw_asian</f>
        <v/>
      </c>
      <c r="R30" s="47">
        <f>R29*(1+Paths!C30)+Labour!AF30*family_mult</f>
        <v/>
      </c>
      <c r="S30" s="63">
        <f>(N30+O30+P30+Q30+R30)/L30</f>
        <v/>
      </c>
      <c r="T30" s="47">
        <f>SUM(E30:H30)*Paths!J30</f>
        <v/>
      </c>
      <c r="U30" s="62">
        <f>Paths!K30</f>
        <v/>
      </c>
      <c r="V30" s="47">
        <f>IF(Gulf!E30=1,Gulf!B30,0)</f>
        <v/>
      </c>
      <c r="W30" s="47">
        <f>L30+V30</f>
        <v/>
      </c>
      <c r="X30" s="47">
        <f>W30+Labour!L30</f>
        <v/>
      </c>
    </row>
    <row r="31">
      <c r="A31" s="61" t="n">
        <v>1871</v>
      </c>
      <c r="B31" s="47">
        <f>L30</f>
        <v/>
      </c>
      <c r="C31" s="62">
        <f>Paths!D31</f>
        <v/>
      </c>
      <c r="D31" s="47">
        <f>B31*Paths!C31</f>
        <v/>
      </c>
      <c r="E31" s="47">
        <f>Paths!E31*IF($A31&gt;=1896,mig_scale,1)</f>
        <v/>
      </c>
      <c r="F31" s="47">
        <f>Paths!F31*IF($A31&gt;=1896,mig_scale,1)</f>
        <v/>
      </c>
      <c r="G31" s="47">
        <f>Paths!G31*IF($A31&gt;=1896,mig_scale,1)</f>
        <v/>
      </c>
      <c r="H31" s="47">
        <f>Paths!H31*IF($A31&gt;=1896,mig_scale,1)</f>
        <v/>
      </c>
      <c r="I31" s="47">
        <f>E31*Paths!I31+(F31+G31+H31)*dep_asia</f>
        <v/>
      </c>
      <c r="J31" s="62">
        <f>Labour!AL31</f>
        <v/>
      </c>
      <c r="K31" s="47">
        <f>SUM(E31:H31)-I31+J31</f>
        <v/>
      </c>
      <c r="L31" s="47">
        <f>B31+C31+D31+K31</f>
        <v/>
      </c>
      <c r="M31" s="63">
        <f>IF(B31&gt;0,L31/B31-1,0)</f>
        <v/>
      </c>
      <c r="N31" s="47">
        <f>N30*(1+Paths!C31)+F31*(1-dep_asia)</f>
        <v/>
      </c>
      <c r="O31" s="47">
        <f>O30*(1+Paths!C31)+G31*(1-dep_asia)</f>
        <v/>
      </c>
      <c r="P31" s="47">
        <f>P30*(1+Paths!C31)+H31*(1-dep_asia)</f>
        <v/>
      </c>
      <c r="Q31" s="47">
        <f>Q30*(1+Paths!C31)+Labour!AK31*gw_asian</f>
        <v/>
      </c>
      <c r="R31" s="47">
        <f>R30*(1+Paths!C31)+Labour!AF31*family_mult</f>
        <v/>
      </c>
      <c r="S31" s="63">
        <f>(N31+O31+P31+Q31+R31)/L31</f>
        <v/>
      </c>
      <c r="T31" s="47">
        <f>SUM(E31:H31)*Paths!J31</f>
        <v/>
      </c>
      <c r="U31" s="62">
        <f>Paths!K31</f>
        <v/>
      </c>
      <c r="V31" s="47">
        <f>IF(Gulf!E31=1,Gulf!B31,0)</f>
        <v/>
      </c>
      <c r="W31" s="47">
        <f>L31+V31</f>
        <v/>
      </c>
      <c r="X31" s="47">
        <f>W31+Labour!L31</f>
        <v/>
      </c>
    </row>
    <row r="32">
      <c r="A32" s="58" t="n">
        <v>1872</v>
      </c>
      <c r="B32" s="47">
        <f>L31</f>
        <v/>
      </c>
      <c r="C32" s="62">
        <f>Paths!D32</f>
        <v/>
      </c>
      <c r="D32" s="47">
        <f>B32*Paths!C32</f>
        <v/>
      </c>
      <c r="E32" s="47">
        <f>Paths!E32*IF($A32&gt;=1896,mig_scale,1)</f>
        <v/>
      </c>
      <c r="F32" s="47">
        <f>Paths!F32*IF($A32&gt;=1896,mig_scale,1)</f>
        <v/>
      </c>
      <c r="G32" s="47">
        <f>Paths!G32*IF($A32&gt;=1896,mig_scale,1)</f>
        <v/>
      </c>
      <c r="H32" s="47">
        <f>Paths!H32*IF($A32&gt;=1896,mig_scale,1)</f>
        <v/>
      </c>
      <c r="I32" s="47">
        <f>E32*Paths!I32+(F32+G32+H32)*dep_asia</f>
        <v/>
      </c>
      <c r="J32" s="62">
        <f>Labour!AL32</f>
        <v/>
      </c>
      <c r="K32" s="47">
        <f>SUM(E32:H32)-I32+J32</f>
        <v/>
      </c>
      <c r="L32" s="47">
        <f>B32+C32+D32+K32</f>
        <v/>
      </c>
      <c r="M32" s="63">
        <f>IF(B32&gt;0,L32/B32-1,0)</f>
        <v/>
      </c>
      <c r="N32" s="47">
        <f>N31*(1+Paths!C32)+F32*(1-dep_asia)</f>
        <v/>
      </c>
      <c r="O32" s="47">
        <f>O31*(1+Paths!C32)+G32*(1-dep_asia)</f>
        <v/>
      </c>
      <c r="P32" s="47">
        <f>P31*(1+Paths!C32)+H32*(1-dep_asia)</f>
        <v/>
      </c>
      <c r="Q32" s="47">
        <f>Q31*(1+Paths!C32)+Labour!AK32*gw_asian</f>
        <v/>
      </c>
      <c r="R32" s="47">
        <f>R31*(1+Paths!C32)+Labour!AF32*family_mult</f>
        <v/>
      </c>
      <c r="S32" s="63">
        <f>(N32+O32+P32+Q32+R32)/L32</f>
        <v/>
      </c>
      <c r="T32" s="47">
        <f>SUM(E32:H32)*Paths!J32</f>
        <v/>
      </c>
      <c r="U32" s="62">
        <f>Paths!K32</f>
        <v/>
      </c>
      <c r="V32" s="47">
        <f>IF(Gulf!E32=1,Gulf!B32,0)</f>
        <v/>
      </c>
      <c r="W32" s="47">
        <f>L32+V32</f>
        <v/>
      </c>
      <c r="X32" s="47">
        <f>W32+Labour!L32</f>
        <v/>
      </c>
    </row>
    <row r="33">
      <c r="A33" s="58" t="n">
        <v>1873</v>
      </c>
      <c r="B33" s="47">
        <f>L32</f>
        <v/>
      </c>
      <c r="C33" s="62">
        <f>Paths!D33</f>
        <v/>
      </c>
      <c r="D33" s="47">
        <f>B33*Paths!C33</f>
        <v/>
      </c>
      <c r="E33" s="47">
        <f>Paths!E33*IF($A33&gt;=1896,mig_scale,1)</f>
        <v/>
      </c>
      <c r="F33" s="47">
        <f>Paths!F33*IF($A33&gt;=1896,mig_scale,1)</f>
        <v/>
      </c>
      <c r="G33" s="47">
        <f>Paths!G33*IF($A33&gt;=1896,mig_scale,1)</f>
        <v/>
      </c>
      <c r="H33" s="47">
        <f>Paths!H33*IF($A33&gt;=1896,mig_scale,1)</f>
        <v/>
      </c>
      <c r="I33" s="47">
        <f>E33*Paths!I33+(F33+G33+H33)*dep_asia</f>
        <v/>
      </c>
      <c r="J33" s="62">
        <f>Labour!AL33</f>
        <v/>
      </c>
      <c r="K33" s="47">
        <f>SUM(E33:H33)-I33+J33</f>
        <v/>
      </c>
      <c r="L33" s="47">
        <f>B33+C33+D33+K33</f>
        <v/>
      </c>
      <c r="M33" s="63">
        <f>IF(B33&gt;0,L33/B33-1,0)</f>
        <v/>
      </c>
      <c r="N33" s="47">
        <f>N32*(1+Paths!C33)+F33*(1-dep_asia)</f>
        <v/>
      </c>
      <c r="O33" s="47">
        <f>O32*(1+Paths!C33)+G33*(1-dep_asia)</f>
        <v/>
      </c>
      <c r="P33" s="47">
        <f>P32*(1+Paths!C33)+H33*(1-dep_asia)</f>
        <v/>
      </c>
      <c r="Q33" s="47">
        <f>Q32*(1+Paths!C33)+Labour!AK33*gw_asian</f>
        <v/>
      </c>
      <c r="R33" s="47">
        <f>R32*(1+Paths!C33)+Labour!AF33*family_mult</f>
        <v/>
      </c>
      <c r="S33" s="63">
        <f>(N33+O33+P33+Q33+R33)/L33</f>
        <v/>
      </c>
      <c r="T33" s="47">
        <f>SUM(E33:H33)*Paths!J33</f>
        <v/>
      </c>
      <c r="U33" s="62">
        <f>Paths!K33</f>
        <v/>
      </c>
      <c r="V33" s="47">
        <f>IF(Gulf!E33=1,Gulf!B33,0)</f>
        <v/>
      </c>
      <c r="W33" s="47">
        <f>L33+V33</f>
        <v/>
      </c>
      <c r="X33" s="47">
        <f>W33+Labour!L33</f>
        <v/>
      </c>
    </row>
    <row r="34">
      <c r="A34" s="58" t="n">
        <v>1874</v>
      </c>
      <c r="B34" s="47">
        <f>L33</f>
        <v/>
      </c>
      <c r="C34" s="62">
        <f>Paths!D34</f>
        <v/>
      </c>
      <c r="D34" s="47">
        <f>B34*Paths!C34</f>
        <v/>
      </c>
      <c r="E34" s="47">
        <f>Paths!E34*IF($A34&gt;=1896,mig_scale,1)</f>
        <v/>
      </c>
      <c r="F34" s="47">
        <f>Paths!F34*IF($A34&gt;=1896,mig_scale,1)</f>
        <v/>
      </c>
      <c r="G34" s="47">
        <f>Paths!G34*IF($A34&gt;=1896,mig_scale,1)</f>
        <v/>
      </c>
      <c r="H34" s="47">
        <f>Paths!H34*IF($A34&gt;=1896,mig_scale,1)</f>
        <v/>
      </c>
      <c r="I34" s="47">
        <f>E34*Paths!I34+(F34+G34+H34)*dep_asia</f>
        <v/>
      </c>
      <c r="J34" s="62">
        <f>Labour!AL34</f>
        <v/>
      </c>
      <c r="K34" s="47">
        <f>SUM(E34:H34)-I34+J34</f>
        <v/>
      </c>
      <c r="L34" s="47">
        <f>B34+C34+D34+K34</f>
        <v/>
      </c>
      <c r="M34" s="63">
        <f>IF(B34&gt;0,L34/B34-1,0)</f>
        <v/>
      </c>
      <c r="N34" s="47">
        <f>N33*(1+Paths!C34)+F34*(1-dep_asia)</f>
        <v/>
      </c>
      <c r="O34" s="47">
        <f>O33*(1+Paths!C34)+G34*(1-dep_asia)</f>
        <v/>
      </c>
      <c r="P34" s="47">
        <f>P33*(1+Paths!C34)+H34*(1-dep_asia)</f>
        <v/>
      </c>
      <c r="Q34" s="47">
        <f>Q33*(1+Paths!C34)+Labour!AK34*gw_asian</f>
        <v/>
      </c>
      <c r="R34" s="47">
        <f>R33*(1+Paths!C34)+Labour!AF34*family_mult</f>
        <v/>
      </c>
      <c r="S34" s="63">
        <f>(N34+O34+P34+Q34+R34)/L34</f>
        <v/>
      </c>
      <c r="T34" s="47">
        <f>SUM(E34:H34)*Paths!J34</f>
        <v/>
      </c>
      <c r="U34" s="62">
        <f>Paths!K34</f>
        <v/>
      </c>
      <c r="V34" s="47">
        <f>IF(Gulf!E34=1,Gulf!B34,0)</f>
        <v/>
      </c>
      <c r="W34" s="47">
        <f>L34+V34</f>
        <v/>
      </c>
      <c r="X34" s="47">
        <f>W34+Labour!L34</f>
        <v/>
      </c>
    </row>
    <row r="35">
      <c r="A35" s="58" t="n">
        <v>1875</v>
      </c>
      <c r="B35" s="47">
        <f>L34</f>
        <v/>
      </c>
      <c r="C35" s="62">
        <f>Paths!D35</f>
        <v/>
      </c>
      <c r="D35" s="47">
        <f>B35*Paths!C35</f>
        <v/>
      </c>
      <c r="E35" s="47">
        <f>Paths!E35*IF($A35&gt;=1896,mig_scale,1)</f>
        <v/>
      </c>
      <c r="F35" s="47">
        <f>Paths!F35*IF($A35&gt;=1896,mig_scale,1)</f>
        <v/>
      </c>
      <c r="G35" s="47">
        <f>Paths!G35*IF($A35&gt;=1896,mig_scale,1)</f>
        <v/>
      </c>
      <c r="H35" s="47">
        <f>Paths!H35*IF($A35&gt;=1896,mig_scale,1)</f>
        <v/>
      </c>
      <c r="I35" s="47">
        <f>E35*Paths!I35+(F35+G35+H35)*dep_asia</f>
        <v/>
      </c>
      <c r="J35" s="62">
        <f>Labour!AL35</f>
        <v/>
      </c>
      <c r="K35" s="47">
        <f>SUM(E35:H35)-I35+J35</f>
        <v/>
      </c>
      <c r="L35" s="47">
        <f>B35+C35+D35+K35</f>
        <v/>
      </c>
      <c r="M35" s="63">
        <f>IF(B35&gt;0,L35/B35-1,0)</f>
        <v/>
      </c>
      <c r="N35" s="47">
        <f>N34*(1+Paths!C35)+F35*(1-dep_asia)</f>
        <v/>
      </c>
      <c r="O35" s="47">
        <f>O34*(1+Paths!C35)+G35*(1-dep_asia)</f>
        <v/>
      </c>
      <c r="P35" s="47">
        <f>P34*(1+Paths!C35)+H35*(1-dep_asia)</f>
        <v/>
      </c>
      <c r="Q35" s="47">
        <f>Q34*(1+Paths!C35)+Labour!AK35*gw_asian</f>
        <v/>
      </c>
      <c r="R35" s="47">
        <f>R34*(1+Paths!C35)+Labour!AF35*family_mult</f>
        <v/>
      </c>
      <c r="S35" s="63">
        <f>(N35+O35+P35+Q35+R35)/L35</f>
        <v/>
      </c>
      <c r="T35" s="47">
        <f>SUM(E35:H35)*Paths!J35</f>
        <v/>
      </c>
      <c r="U35" s="62">
        <f>Paths!K35</f>
        <v/>
      </c>
      <c r="V35" s="47">
        <f>IF(Gulf!E35=1,Gulf!B35,0)</f>
        <v/>
      </c>
      <c r="W35" s="47">
        <f>L35+V35</f>
        <v/>
      </c>
      <c r="X35" s="47">
        <f>W35+Labour!L35</f>
        <v/>
      </c>
    </row>
    <row r="36">
      <c r="A36" s="58" t="n">
        <v>1876</v>
      </c>
      <c r="B36" s="47">
        <f>L35</f>
        <v/>
      </c>
      <c r="C36" s="62">
        <f>Paths!D36</f>
        <v/>
      </c>
      <c r="D36" s="47">
        <f>B36*Paths!C36</f>
        <v/>
      </c>
      <c r="E36" s="47">
        <f>Paths!E36*IF($A36&gt;=1896,mig_scale,1)</f>
        <v/>
      </c>
      <c r="F36" s="47">
        <f>Paths!F36*IF($A36&gt;=1896,mig_scale,1)</f>
        <v/>
      </c>
      <c r="G36" s="47">
        <f>Paths!G36*IF($A36&gt;=1896,mig_scale,1)</f>
        <v/>
      </c>
      <c r="H36" s="47">
        <f>Paths!H36*IF($A36&gt;=1896,mig_scale,1)</f>
        <v/>
      </c>
      <c r="I36" s="47">
        <f>E36*Paths!I36+(F36+G36+H36)*dep_asia</f>
        <v/>
      </c>
      <c r="J36" s="62">
        <f>Labour!AL36</f>
        <v/>
      </c>
      <c r="K36" s="47">
        <f>SUM(E36:H36)-I36+J36</f>
        <v/>
      </c>
      <c r="L36" s="47">
        <f>B36+C36+D36+K36</f>
        <v/>
      </c>
      <c r="M36" s="63">
        <f>IF(B36&gt;0,L36/B36-1,0)</f>
        <v/>
      </c>
      <c r="N36" s="47">
        <f>N35*(1+Paths!C36)+F36*(1-dep_asia)</f>
        <v/>
      </c>
      <c r="O36" s="47">
        <f>O35*(1+Paths!C36)+G36*(1-dep_asia)</f>
        <v/>
      </c>
      <c r="P36" s="47">
        <f>P35*(1+Paths!C36)+H36*(1-dep_asia)</f>
        <v/>
      </c>
      <c r="Q36" s="47">
        <f>Q35*(1+Paths!C36)+Labour!AK36*gw_asian</f>
        <v/>
      </c>
      <c r="R36" s="47">
        <f>R35*(1+Paths!C36)+Labour!AF36*family_mult</f>
        <v/>
      </c>
      <c r="S36" s="63">
        <f>(N36+O36+P36+Q36+R36)/L36</f>
        <v/>
      </c>
      <c r="T36" s="47">
        <f>SUM(E36:H36)*Paths!J36</f>
        <v/>
      </c>
      <c r="U36" s="62">
        <f>Paths!K36</f>
        <v/>
      </c>
      <c r="V36" s="47">
        <f>IF(Gulf!E36=1,Gulf!B36,0)</f>
        <v/>
      </c>
      <c r="W36" s="47">
        <f>L36+V36</f>
        <v/>
      </c>
      <c r="X36" s="47">
        <f>W36+Labour!L36</f>
        <v/>
      </c>
    </row>
    <row r="37">
      <c r="A37" s="58" t="n">
        <v>1877</v>
      </c>
      <c r="B37" s="47">
        <f>L36</f>
        <v/>
      </c>
      <c r="C37" s="62">
        <f>Paths!D37</f>
        <v/>
      </c>
      <c r="D37" s="47">
        <f>B37*Paths!C37</f>
        <v/>
      </c>
      <c r="E37" s="47">
        <f>Paths!E37*IF($A37&gt;=1896,mig_scale,1)</f>
        <v/>
      </c>
      <c r="F37" s="47">
        <f>Paths!F37*IF($A37&gt;=1896,mig_scale,1)</f>
        <v/>
      </c>
      <c r="G37" s="47">
        <f>Paths!G37*IF($A37&gt;=1896,mig_scale,1)</f>
        <v/>
      </c>
      <c r="H37" s="47">
        <f>Paths!H37*IF($A37&gt;=1896,mig_scale,1)</f>
        <v/>
      </c>
      <c r="I37" s="47">
        <f>E37*Paths!I37+(F37+G37+H37)*dep_asia</f>
        <v/>
      </c>
      <c r="J37" s="62">
        <f>Labour!AL37</f>
        <v/>
      </c>
      <c r="K37" s="47">
        <f>SUM(E37:H37)-I37+J37</f>
        <v/>
      </c>
      <c r="L37" s="47">
        <f>B37+C37+D37+K37</f>
        <v/>
      </c>
      <c r="M37" s="63">
        <f>IF(B37&gt;0,L37/B37-1,0)</f>
        <v/>
      </c>
      <c r="N37" s="47">
        <f>N36*(1+Paths!C37)+F37*(1-dep_asia)</f>
        <v/>
      </c>
      <c r="O37" s="47">
        <f>O36*(1+Paths!C37)+G37*(1-dep_asia)</f>
        <v/>
      </c>
      <c r="P37" s="47">
        <f>P36*(1+Paths!C37)+H37*(1-dep_asia)</f>
        <v/>
      </c>
      <c r="Q37" s="47">
        <f>Q36*(1+Paths!C37)+Labour!AK37*gw_asian</f>
        <v/>
      </c>
      <c r="R37" s="47">
        <f>R36*(1+Paths!C37)+Labour!AF37*family_mult</f>
        <v/>
      </c>
      <c r="S37" s="63">
        <f>(N37+O37+P37+Q37+R37)/L37</f>
        <v/>
      </c>
      <c r="T37" s="47">
        <f>SUM(E37:H37)*Paths!J37</f>
        <v/>
      </c>
      <c r="U37" s="62">
        <f>Paths!K37</f>
        <v/>
      </c>
      <c r="V37" s="47">
        <f>IF(Gulf!E37=1,Gulf!B37,0)</f>
        <v/>
      </c>
      <c r="W37" s="47">
        <f>L37+V37</f>
        <v/>
      </c>
      <c r="X37" s="47">
        <f>W37+Labour!L37</f>
        <v/>
      </c>
    </row>
    <row r="38">
      <c r="A38" s="58" t="n">
        <v>1878</v>
      </c>
      <c r="B38" s="47">
        <f>L37</f>
        <v/>
      </c>
      <c r="C38" s="62">
        <f>Paths!D38</f>
        <v/>
      </c>
      <c r="D38" s="47">
        <f>B38*Paths!C38</f>
        <v/>
      </c>
      <c r="E38" s="47">
        <f>Paths!E38*IF($A38&gt;=1896,mig_scale,1)</f>
        <v/>
      </c>
      <c r="F38" s="47">
        <f>Paths!F38*IF($A38&gt;=1896,mig_scale,1)</f>
        <v/>
      </c>
      <c r="G38" s="47">
        <f>Paths!G38*IF($A38&gt;=1896,mig_scale,1)</f>
        <v/>
      </c>
      <c r="H38" s="47">
        <f>Paths!H38*IF($A38&gt;=1896,mig_scale,1)</f>
        <v/>
      </c>
      <c r="I38" s="47">
        <f>E38*Paths!I38+(F38+G38+H38)*dep_asia</f>
        <v/>
      </c>
      <c r="J38" s="62">
        <f>Labour!AL38</f>
        <v/>
      </c>
      <c r="K38" s="47">
        <f>SUM(E38:H38)-I38+J38</f>
        <v/>
      </c>
      <c r="L38" s="47">
        <f>B38+C38+D38+K38</f>
        <v/>
      </c>
      <c r="M38" s="63">
        <f>IF(B38&gt;0,L38/B38-1,0)</f>
        <v/>
      </c>
      <c r="N38" s="47">
        <f>N37*(1+Paths!C38)+F38*(1-dep_asia)</f>
        <v/>
      </c>
      <c r="O38" s="47">
        <f>O37*(1+Paths!C38)+G38*(1-dep_asia)</f>
        <v/>
      </c>
      <c r="P38" s="47">
        <f>P37*(1+Paths!C38)+H38*(1-dep_asia)</f>
        <v/>
      </c>
      <c r="Q38" s="47">
        <f>Q37*(1+Paths!C38)+Labour!AK38*gw_asian</f>
        <v/>
      </c>
      <c r="R38" s="47">
        <f>R37*(1+Paths!C38)+Labour!AF38*family_mult</f>
        <v/>
      </c>
      <c r="S38" s="63">
        <f>(N38+O38+P38+Q38+R38)/L38</f>
        <v/>
      </c>
      <c r="T38" s="47">
        <f>SUM(E38:H38)*Paths!J38</f>
        <v/>
      </c>
      <c r="U38" s="62">
        <f>Paths!K38</f>
        <v/>
      </c>
      <c r="V38" s="47">
        <f>IF(Gulf!E38=1,Gulf!B38,0)</f>
        <v/>
      </c>
      <c r="W38" s="47">
        <f>L38+V38</f>
        <v/>
      </c>
      <c r="X38" s="47">
        <f>W38+Labour!L38</f>
        <v/>
      </c>
    </row>
    <row r="39">
      <c r="A39" s="58" t="n">
        <v>1879</v>
      </c>
      <c r="B39" s="47">
        <f>L38</f>
        <v/>
      </c>
      <c r="C39" s="62">
        <f>Paths!D39</f>
        <v/>
      </c>
      <c r="D39" s="47">
        <f>B39*Paths!C39</f>
        <v/>
      </c>
      <c r="E39" s="47">
        <f>Paths!E39*IF($A39&gt;=1896,mig_scale,1)</f>
        <v/>
      </c>
      <c r="F39" s="47">
        <f>Paths!F39*IF($A39&gt;=1896,mig_scale,1)</f>
        <v/>
      </c>
      <c r="G39" s="47">
        <f>Paths!G39*IF($A39&gt;=1896,mig_scale,1)</f>
        <v/>
      </c>
      <c r="H39" s="47">
        <f>Paths!H39*IF($A39&gt;=1896,mig_scale,1)</f>
        <v/>
      </c>
      <c r="I39" s="47">
        <f>E39*Paths!I39+(F39+G39+H39)*dep_asia</f>
        <v/>
      </c>
      <c r="J39" s="62">
        <f>Labour!AL39</f>
        <v/>
      </c>
      <c r="K39" s="47">
        <f>SUM(E39:H39)-I39+J39</f>
        <v/>
      </c>
      <c r="L39" s="47">
        <f>B39+C39+D39+K39</f>
        <v/>
      </c>
      <c r="M39" s="63">
        <f>IF(B39&gt;0,L39/B39-1,0)</f>
        <v/>
      </c>
      <c r="N39" s="47">
        <f>N38*(1+Paths!C39)+F39*(1-dep_asia)</f>
        <v/>
      </c>
      <c r="O39" s="47">
        <f>O38*(1+Paths!C39)+G39*(1-dep_asia)</f>
        <v/>
      </c>
      <c r="P39" s="47">
        <f>P38*(1+Paths!C39)+H39*(1-dep_asia)</f>
        <v/>
      </c>
      <c r="Q39" s="47">
        <f>Q38*(1+Paths!C39)+Labour!AK39*gw_asian</f>
        <v/>
      </c>
      <c r="R39" s="47">
        <f>R38*(1+Paths!C39)+Labour!AF39*family_mult</f>
        <v/>
      </c>
      <c r="S39" s="63">
        <f>(N39+O39+P39+Q39+R39)/L39</f>
        <v/>
      </c>
      <c r="T39" s="47">
        <f>SUM(E39:H39)*Paths!J39</f>
        <v/>
      </c>
      <c r="U39" s="62">
        <f>Paths!K39</f>
        <v/>
      </c>
      <c r="V39" s="47">
        <f>IF(Gulf!E39=1,Gulf!B39,0)</f>
        <v/>
      </c>
      <c r="W39" s="47">
        <f>L39+V39</f>
        <v/>
      </c>
      <c r="X39" s="47">
        <f>W39+Labour!L39</f>
        <v/>
      </c>
    </row>
    <row r="40">
      <c r="A40" s="58" t="n">
        <v>1880</v>
      </c>
      <c r="B40" s="47">
        <f>L39</f>
        <v/>
      </c>
      <c r="C40" s="62">
        <f>Paths!D40</f>
        <v/>
      </c>
      <c r="D40" s="47">
        <f>B40*Paths!C40</f>
        <v/>
      </c>
      <c r="E40" s="47">
        <f>Paths!E40*IF($A40&gt;=1896,mig_scale,1)</f>
        <v/>
      </c>
      <c r="F40" s="47">
        <f>Paths!F40*IF($A40&gt;=1896,mig_scale,1)</f>
        <v/>
      </c>
      <c r="G40" s="47">
        <f>Paths!G40*IF($A40&gt;=1896,mig_scale,1)</f>
        <v/>
      </c>
      <c r="H40" s="47">
        <f>Paths!H40*IF($A40&gt;=1896,mig_scale,1)</f>
        <v/>
      </c>
      <c r="I40" s="47">
        <f>E40*Paths!I40+(F40+G40+H40)*dep_asia</f>
        <v/>
      </c>
      <c r="J40" s="62">
        <f>Labour!AL40</f>
        <v/>
      </c>
      <c r="K40" s="47">
        <f>SUM(E40:H40)-I40+J40</f>
        <v/>
      </c>
      <c r="L40" s="47">
        <f>B40+C40+D40+K40</f>
        <v/>
      </c>
      <c r="M40" s="63">
        <f>IF(B40&gt;0,L40/B40-1,0)</f>
        <v/>
      </c>
      <c r="N40" s="47">
        <f>N39*(1+Paths!C40)+F40*(1-dep_asia)</f>
        <v/>
      </c>
      <c r="O40" s="47">
        <f>O39*(1+Paths!C40)+G40*(1-dep_asia)</f>
        <v/>
      </c>
      <c r="P40" s="47">
        <f>P39*(1+Paths!C40)+H40*(1-dep_asia)</f>
        <v/>
      </c>
      <c r="Q40" s="47">
        <f>Q39*(1+Paths!C40)+Labour!AK40*gw_asian</f>
        <v/>
      </c>
      <c r="R40" s="47">
        <f>R39*(1+Paths!C40)+Labour!AF40*family_mult</f>
        <v/>
      </c>
      <c r="S40" s="63">
        <f>(N40+O40+P40+Q40+R40)/L40</f>
        <v/>
      </c>
      <c r="T40" s="47">
        <f>SUM(E40:H40)*Paths!J40</f>
        <v/>
      </c>
      <c r="U40" s="62">
        <f>Paths!K40</f>
        <v/>
      </c>
      <c r="V40" s="47">
        <f>IF(Gulf!E40=1,Gulf!B40,0)</f>
        <v/>
      </c>
      <c r="W40" s="47">
        <f>L40+V40</f>
        <v/>
      </c>
      <c r="X40" s="47">
        <f>W40+Labour!L40</f>
        <v/>
      </c>
    </row>
    <row r="41">
      <c r="A41" s="58" t="n">
        <v>1881</v>
      </c>
      <c r="B41" s="47">
        <f>L40</f>
        <v/>
      </c>
      <c r="C41" s="62">
        <f>Paths!D41</f>
        <v/>
      </c>
      <c r="D41" s="47">
        <f>B41*Paths!C41</f>
        <v/>
      </c>
      <c r="E41" s="47">
        <f>Paths!E41*IF($A41&gt;=1896,mig_scale,1)</f>
        <v/>
      </c>
      <c r="F41" s="47">
        <f>Paths!F41*IF($A41&gt;=1896,mig_scale,1)</f>
        <v/>
      </c>
      <c r="G41" s="47">
        <f>Paths!G41*IF($A41&gt;=1896,mig_scale,1)</f>
        <v/>
      </c>
      <c r="H41" s="47">
        <f>Paths!H41*IF($A41&gt;=1896,mig_scale,1)</f>
        <v/>
      </c>
      <c r="I41" s="47">
        <f>E41*Paths!I41+(F41+G41+H41)*dep_asia</f>
        <v/>
      </c>
      <c r="J41" s="62">
        <f>Labour!AL41</f>
        <v/>
      </c>
      <c r="K41" s="47">
        <f>SUM(E41:H41)-I41+J41</f>
        <v/>
      </c>
      <c r="L41" s="47">
        <f>B41+C41+D41+K41</f>
        <v/>
      </c>
      <c r="M41" s="63">
        <f>IF(B41&gt;0,L41/B41-1,0)</f>
        <v/>
      </c>
      <c r="N41" s="47">
        <f>N40*(1+Paths!C41)+F41*(1-dep_asia)</f>
        <v/>
      </c>
      <c r="O41" s="47">
        <f>O40*(1+Paths!C41)+G41*(1-dep_asia)</f>
        <v/>
      </c>
      <c r="P41" s="47">
        <f>P40*(1+Paths!C41)+H41*(1-dep_asia)</f>
        <v/>
      </c>
      <c r="Q41" s="47">
        <f>Q40*(1+Paths!C41)+Labour!AK41*gw_asian</f>
        <v/>
      </c>
      <c r="R41" s="47">
        <f>R40*(1+Paths!C41)+Labour!AF41*family_mult</f>
        <v/>
      </c>
      <c r="S41" s="63">
        <f>(N41+O41+P41+Q41+R41)/L41</f>
        <v/>
      </c>
      <c r="T41" s="47">
        <f>SUM(E41:H41)*Paths!J41</f>
        <v/>
      </c>
      <c r="U41" s="62">
        <f>Paths!K41</f>
        <v/>
      </c>
      <c r="V41" s="47">
        <f>IF(Gulf!E41=1,Gulf!B41,0)</f>
        <v/>
      </c>
      <c r="W41" s="47">
        <f>L41+V41</f>
        <v/>
      </c>
      <c r="X41" s="47">
        <f>W41+Labour!L41</f>
        <v/>
      </c>
    </row>
    <row r="42">
      <c r="A42" s="58" t="n">
        <v>1882</v>
      </c>
      <c r="B42" s="47">
        <f>L41</f>
        <v/>
      </c>
      <c r="C42" s="62">
        <f>Paths!D42</f>
        <v/>
      </c>
      <c r="D42" s="47">
        <f>B42*Paths!C42</f>
        <v/>
      </c>
      <c r="E42" s="47">
        <f>Paths!E42*IF($A42&gt;=1896,mig_scale,1)</f>
        <v/>
      </c>
      <c r="F42" s="47">
        <f>Paths!F42*IF($A42&gt;=1896,mig_scale,1)</f>
        <v/>
      </c>
      <c r="G42" s="47">
        <f>Paths!G42*IF($A42&gt;=1896,mig_scale,1)</f>
        <v/>
      </c>
      <c r="H42" s="47">
        <f>Paths!H42*IF($A42&gt;=1896,mig_scale,1)</f>
        <v/>
      </c>
      <c r="I42" s="47">
        <f>E42*Paths!I42+(F42+G42+H42)*dep_asia</f>
        <v/>
      </c>
      <c r="J42" s="62">
        <f>Labour!AL42</f>
        <v/>
      </c>
      <c r="K42" s="47">
        <f>SUM(E42:H42)-I42+J42</f>
        <v/>
      </c>
      <c r="L42" s="47">
        <f>B42+C42+D42+K42</f>
        <v/>
      </c>
      <c r="M42" s="63">
        <f>IF(B42&gt;0,L42/B42-1,0)</f>
        <v/>
      </c>
      <c r="N42" s="47">
        <f>N41*(1+Paths!C42)+F42*(1-dep_asia)</f>
        <v/>
      </c>
      <c r="O42" s="47">
        <f>O41*(1+Paths!C42)+G42*(1-dep_asia)</f>
        <v/>
      </c>
      <c r="P42" s="47">
        <f>P41*(1+Paths!C42)+H42*(1-dep_asia)</f>
        <v/>
      </c>
      <c r="Q42" s="47">
        <f>Q41*(1+Paths!C42)+Labour!AK42*gw_asian</f>
        <v/>
      </c>
      <c r="R42" s="47">
        <f>R41*(1+Paths!C42)+Labour!AF42*family_mult</f>
        <v/>
      </c>
      <c r="S42" s="63">
        <f>(N42+O42+P42+Q42+R42)/L42</f>
        <v/>
      </c>
      <c r="T42" s="47">
        <f>SUM(E42:H42)*Paths!J42</f>
        <v/>
      </c>
      <c r="U42" s="62">
        <f>Paths!K42</f>
        <v/>
      </c>
      <c r="V42" s="47">
        <f>IF(Gulf!E42=1,Gulf!B42,0)</f>
        <v/>
      </c>
      <c r="W42" s="47">
        <f>L42+V42</f>
        <v/>
      </c>
      <c r="X42" s="47">
        <f>W42+Labour!L42</f>
        <v/>
      </c>
    </row>
    <row r="43">
      <c r="A43" s="58" t="n">
        <v>1883</v>
      </c>
      <c r="B43" s="47">
        <f>L42</f>
        <v/>
      </c>
      <c r="C43" s="62">
        <f>Paths!D43</f>
        <v/>
      </c>
      <c r="D43" s="47">
        <f>B43*Paths!C43</f>
        <v/>
      </c>
      <c r="E43" s="47">
        <f>Paths!E43*IF($A43&gt;=1896,mig_scale,1)</f>
        <v/>
      </c>
      <c r="F43" s="47">
        <f>Paths!F43*IF($A43&gt;=1896,mig_scale,1)</f>
        <v/>
      </c>
      <c r="G43" s="47">
        <f>Paths!G43*IF($A43&gt;=1896,mig_scale,1)</f>
        <v/>
      </c>
      <c r="H43" s="47">
        <f>Paths!H43*IF($A43&gt;=1896,mig_scale,1)</f>
        <v/>
      </c>
      <c r="I43" s="47">
        <f>E43*Paths!I43+(F43+G43+H43)*dep_asia</f>
        <v/>
      </c>
      <c r="J43" s="62">
        <f>Labour!AL43</f>
        <v/>
      </c>
      <c r="K43" s="47">
        <f>SUM(E43:H43)-I43+J43</f>
        <v/>
      </c>
      <c r="L43" s="47">
        <f>B43+C43+D43+K43</f>
        <v/>
      </c>
      <c r="M43" s="63">
        <f>IF(B43&gt;0,L43/B43-1,0)</f>
        <v/>
      </c>
      <c r="N43" s="47">
        <f>N42*(1+Paths!C43)+F43*(1-dep_asia)</f>
        <v/>
      </c>
      <c r="O43" s="47">
        <f>O42*(1+Paths!C43)+G43*(1-dep_asia)</f>
        <v/>
      </c>
      <c r="P43" s="47">
        <f>P42*(1+Paths!C43)+H43*(1-dep_asia)</f>
        <v/>
      </c>
      <c r="Q43" s="47">
        <f>Q42*(1+Paths!C43)+Labour!AK43*gw_asian</f>
        <v/>
      </c>
      <c r="R43" s="47">
        <f>R42*(1+Paths!C43)+Labour!AF43*family_mult</f>
        <v/>
      </c>
      <c r="S43" s="63">
        <f>(N43+O43+P43+Q43+R43)/L43</f>
        <v/>
      </c>
      <c r="T43" s="47">
        <f>SUM(E43:H43)*Paths!J43</f>
        <v/>
      </c>
      <c r="U43" s="62">
        <f>Paths!K43</f>
        <v/>
      </c>
      <c r="V43" s="47">
        <f>IF(Gulf!E43=1,Gulf!B43,0)</f>
        <v/>
      </c>
      <c r="W43" s="47">
        <f>L43+V43</f>
        <v/>
      </c>
      <c r="X43" s="47">
        <f>W43+Labour!L43</f>
        <v/>
      </c>
    </row>
    <row r="44">
      <c r="A44" s="58" t="n">
        <v>1884</v>
      </c>
      <c r="B44" s="47">
        <f>L43</f>
        <v/>
      </c>
      <c r="C44" s="62">
        <f>Paths!D44</f>
        <v/>
      </c>
      <c r="D44" s="47">
        <f>B44*Paths!C44</f>
        <v/>
      </c>
      <c r="E44" s="47">
        <f>Paths!E44*IF($A44&gt;=1896,mig_scale,1)</f>
        <v/>
      </c>
      <c r="F44" s="47">
        <f>Paths!F44*IF($A44&gt;=1896,mig_scale,1)</f>
        <v/>
      </c>
      <c r="G44" s="47">
        <f>Paths!G44*IF($A44&gt;=1896,mig_scale,1)</f>
        <v/>
      </c>
      <c r="H44" s="47">
        <f>Paths!H44*IF($A44&gt;=1896,mig_scale,1)</f>
        <v/>
      </c>
      <c r="I44" s="47">
        <f>E44*Paths!I44+(F44+G44+H44)*dep_asia</f>
        <v/>
      </c>
      <c r="J44" s="62">
        <f>Labour!AL44</f>
        <v/>
      </c>
      <c r="K44" s="47">
        <f>SUM(E44:H44)-I44+J44</f>
        <v/>
      </c>
      <c r="L44" s="47">
        <f>B44+C44+D44+K44</f>
        <v/>
      </c>
      <c r="M44" s="63">
        <f>IF(B44&gt;0,L44/B44-1,0)</f>
        <v/>
      </c>
      <c r="N44" s="47">
        <f>N43*(1+Paths!C44)+F44*(1-dep_asia)</f>
        <v/>
      </c>
      <c r="O44" s="47">
        <f>O43*(1+Paths!C44)+G44*(1-dep_asia)</f>
        <v/>
      </c>
      <c r="P44" s="47">
        <f>P43*(1+Paths!C44)+H44*(1-dep_asia)</f>
        <v/>
      </c>
      <c r="Q44" s="47">
        <f>Q43*(1+Paths!C44)+Labour!AK44*gw_asian</f>
        <v/>
      </c>
      <c r="R44" s="47">
        <f>R43*(1+Paths!C44)+Labour!AF44*family_mult</f>
        <v/>
      </c>
      <c r="S44" s="63">
        <f>(N44+O44+P44+Q44+R44)/L44</f>
        <v/>
      </c>
      <c r="T44" s="47">
        <f>SUM(E44:H44)*Paths!J44</f>
        <v/>
      </c>
      <c r="U44" s="62">
        <f>Paths!K44</f>
        <v/>
      </c>
      <c r="V44" s="47">
        <f>IF(Gulf!E44=1,Gulf!B44,0)</f>
        <v/>
      </c>
      <c r="W44" s="47">
        <f>L44+V44</f>
        <v/>
      </c>
      <c r="X44" s="47">
        <f>W44+Labour!L44</f>
        <v/>
      </c>
    </row>
    <row r="45">
      <c r="A45" s="58" t="n">
        <v>1885</v>
      </c>
      <c r="B45" s="47">
        <f>L44</f>
        <v/>
      </c>
      <c r="C45" s="62">
        <f>Paths!D45</f>
        <v/>
      </c>
      <c r="D45" s="47">
        <f>B45*Paths!C45</f>
        <v/>
      </c>
      <c r="E45" s="47">
        <f>Paths!E45*IF($A45&gt;=1896,mig_scale,1)</f>
        <v/>
      </c>
      <c r="F45" s="47">
        <f>Paths!F45*IF($A45&gt;=1896,mig_scale,1)</f>
        <v/>
      </c>
      <c r="G45" s="47">
        <f>Paths!G45*IF($A45&gt;=1896,mig_scale,1)</f>
        <v/>
      </c>
      <c r="H45" s="47">
        <f>Paths!H45*IF($A45&gt;=1896,mig_scale,1)</f>
        <v/>
      </c>
      <c r="I45" s="47">
        <f>E45*Paths!I45+(F45+G45+H45)*dep_asia</f>
        <v/>
      </c>
      <c r="J45" s="62">
        <f>Labour!AL45</f>
        <v/>
      </c>
      <c r="K45" s="47">
        <f>SUM(E45:H45)-I45+J45</f>
        <v/>
      </c>
      <c r="L45" s="47">
        <f>B45+C45+D45+K45</f>
        <v/>
      </c>
      <c r="M45" s="63">
        <f>IF(B45&gt;0,L45/B45-1,0)</f>
        <v/>
      </c>
      <c r="N45" s="47">
        <f>N44*(1+Paths!C45)+F45*(1-dep_asia)</f>
        <v/>
      </c>
      <c r="O45" s="47">
        <f>O44*(1+Paths!C45)+G45*(1-dep_asia)</f>
        <v/>
      </c>
      <c r="P45" s="47">
        <f>P44*(1+Paths!C45)+H45*(1-dep_asia)</f>
        <v/>
      </c>
      <c r="Q45" s="47">
        <f>Q44*(1+Paths!C45)+Labour!AK45*gw_asian</f>
        <v/>
      </c>
      <c r="R45" s="47">
        <f>R44*(1+Paths!C45)+Labour!AF45*family_mult</f>
        <v/>
      </c>
      <c r="S45" s="63">
        <f>(N45+O45+P45+Q45+R45)/L45</f>
        <v/>
      </c>
      <c r="T45" s="47">
        <f>SUM(E45:H45)*Paths!J45</f>
        <v/>
      </c>
      <c r="U45" s="62">
        <f>Paths!K45</f>
        <v/>
      </c>
      <c r="V45" s="47">
        <f>IF(Gulf!E45=1,Gulf!B45,0)</f>
        <v/>
      </c>
      <c r="W45" s="47">
        <f>L45+V45</f>
        <v/>
      </c>
      <c r="X45" s="47">
        <f>W45+Labour!L45</f>
        <v/>
      </c>
    </row>
    <row r="46">
      <c r="A46" s="58" t="n">
        <v>1886</v>
      </c>
      <c r="B46" s="47">
        <f>L45</f>
        <v/>
      </c>
      <c r="C46" s="62">
        <f>Paths!D46</f>
        <v/>
      </c>
      <c r="D46" s="47">
        <f>B46*Paths!C46</f>
        <v/>
      </c>
      <c r="E46" s="47">
        <f>Paths!E46*IF($A46&gt;=1896,mig_scale,1)</f>
        <v/>
      </c>
      <c r="F46" s="47">
        <f>Paths!F46*IF($A46&gt;=1896,mig_scale,1)</f>
        <v/>
      </c>
      <c r="G46" s="47">
        <f>Paths!G46*IF($A46&gt;=1896,mig_scale,1)</f>
        <v/>
      </c>
      <c r="H46" s="47">
        <f>Paths!H46*IF($A46&gt;=1896,mig_scale,1)</f>
        <v/>
      </c>
      <c r="I46" s="47">
        <f>E46*Paths!I46+(F46+G46+H46)*dep_asia</f>
        <v/>
      </c>
      <c r="J46" s="62">
        <f>Labour!AL46</f>
        <v/>
      </c>
      <c r="K46" s="47">
        <f>SUM(E46:H46)-I46+J46</f>
        <v/>
      </c>
      <c r="L46" s="47">
        <f>B46+C46+D46+K46</f>
        <v/>
      </c>
      <c r="M46" s="63">
        <f>IF(B46&gt;0,L46/B46-1,0)</f>
        <v/>
      </c>
      <c r="N46" s="47">
        <f>N45*(1+Paths!C46)+F46*(1-dep_asia)</f>
        <v/>
      </c>
      <c r="O46" s="47">
        <f>O45*(1+Paths!C46)+G46*(1-dep_asia)</f>
        <v/>
      </c>
      <c r="P46" s="47">
        <f>P45*(1+Paths!C46)+H46*(1-dep_asia)</f>
        <v/>
      </c>
      <c r="Q46" s="47">
        <f>Q45*(1+Paths!C46)+Labour!AK46*gw_asian</f>
        <v/>
      </c>
      <c r="R46" s="47">
        <f>R45*(1+Paths!C46)+Labour!AF46*family_mult</f>
        <v/>
      </c>
      <c r="S46" s="63">
        <f>(N46+O46+P46+Q46+R46)/L46</f>
        <v/>
      </c>
      <c r="T46" s="47">
        <f>SUM(E46:H46)*Paths!J46</f>
        <v/>
      </c>
      <c r="U46" s="62">
        <f>Paths!K46</f>
        <v/>
      </c>
      <c r="V46" s="47">
        <f>IF(Gulf!E46=1,Gulf!B46,0)</f>
        <v/>
      </c>
      <c r="W46" s="47">
        <f>L46+V46</f>
        <v/>
      </c>
      <c r="X46" s="47">
        <f>W46+Labour!L46</f>
        <v/>
      </c>
    </row>
    <row r="47">
      <c r="A47" s="58" t="n">
        <v>1887</v>
      </c>
      <c r="B47" s="47">
        <f>L46</f>
        <v/>
      </c>
      <c r="C47" s="62">
        <f>Paths!D47</f>
        <v/>
      </c>
      <c r="D47" s="47">
        <f>B47*Paths!C47</f>
        <v/>
      </c>
      <c r="E47" s="47">
        <f>Paths!E47*IF($A47&gt;=1896,mig_scale,1)</f>
        <v/>
      </c>
      <c r="F47" s="47">
        <f>Paths!F47*IF($A47&gt;=1896,mig_scale,1)</f>
        <v/>
      </c>
      <c r="G47" s="47">
        <f>Paths!G47*IF($A47&gt;=1896,mig_scale,1)</f>
        <v/>
      </c>
      <c r="H47" s="47">
        <f>Paths!H47*IF($A47&gt;=1896,mig_scale,1)</f>
        <v/>
      </c>
      <c r="I47" s="47">
        <f>E47*Paths!I47+(F47+G47+H47)*dep_asia</f>
        <v/>
      </c>
      <c r="J47" s="62">
        <f>Labour!AL47</f>
        <v/>
      </c>
      <c r="K47" s="47">
        <f>SUM(E47:H47)-I47+J47</f>
        <v/>
      </c>
      <c r="L47" s="47">
        <f>B47+C47+D47+K47</f>
        <v/>
      </c>
      <c r="M47" s="63">
        <f>IF(B47&gt;0,L47/B47-1,0)</f>
        <v/>
      </c>
      <c r="N47" s="47">
        <f>N46*(1+Paths!C47)+F47*(1-dep_asia)</f>
        <v/>
      </c>
      <c r="O47" s="47">
        <f>O46*(1+Paths!C47)+G47*(1-dep_asia)</f>
        <v/>
      </c>
      <c r="P47" s="47">
        <f>P46*(1+Paths!C47)+H47*(1-dep_asia)</f>
        <v/>
      </c>
      <c r="Q47" s="47">
        <f>Q46*(1+Paths!C47)+Labour!AK47*gw_asian</f>
        <v/>
      </c>
      <c r="R47" s="47">
        <f>R46*(1+Paths!C47)+Labour!AF47*family_mult</f>
        <v/>
      </c>
      <c r="S47" s="63">
        <f>(N47+O47+P47+Q47+R47)/L47</f>
        <v/>
      </c>
      <c r="T47" s="47">
        <f>SUM(E47:H47)*Paths!J47</f>
        <v/>
      </c>
      <c r="U47" s="62">
        <f>Paths!K47</f>
        <v/>
      </c>
      <c r="V47" s="47">
        <f>IF(Gulf!E47=1,Gulf!B47,0)</f>
        <v/>
      </c>
      <c r="W47" s="47">
        <f>L47+V47</f>
        <v/>
      </c>
      <c r="X47" s="47">
        <f>W47+Labour!L47</f>
        <v/>
      </c>
    </row>
    <row r="48">
      <c r="A48" s="58" t="n">
        <v>1888</v>
      </c>
      <c r="B48" s="47">
        <f>L47</f>
        <v/>
      </c>
      <c r="C48" s="62">
        <f>Paths!D48</f>
        <v/>
      </c>
      <c r="D48" s="47">
        <f>B48*Paths!C48</f>
        <v/>
      </c>
      <c r="E48" s="47">
        <f>Paths!E48*IF($A48&gt;=1896,mig_scale,1)</f>
        <v/>
      </c>
      <c r="F48" s="47">
        <f>Paths!F48*IF($A48&gt;=1896,mig_scale,1)</f>
        <v/>
      </c>
      <c r="G48" s="47">
        <f>Paths!G48*IF($A48&gt;=1896,mig_scale,1)</f>
        <v/>
      </c>
      <c r="H48" s="47">
        <f>Paths!H48*IF($A48&gt;=1896,mig_scale,1)</f>
        <v/>
      </c>
      <c r="I48" s="47">
        <f>E48*Paths!I48+(F48+G48+H48)*dep_asia</f>
        <v/>
      </c>
      <c r="J48" s="62">
        <f>Labour!AL48</f>
        <v/>
      </c>
      <c r="K48" s="47">
        <f>SUM(E48:H48)-I48+J48</f>
        <v/>
      </c>
      <c r="L48" s="47">
        <f>B48+C48+D48+K48</f>
        <v/>
      </c>
      <c r="M48" s="63">
        <f>IF(B48&gt;0,L48/B48-1,0)</f>
        <v/>
      </c>
      <c r="N48" s="47">
        <f>N47*(1+Paths!C48)+F48*(1-dep_asia)</f>
        <v/>
      </c>
      <c r="O48" s="47">
        <f>O47*(1+Paths!C48)+G48*(1-dep_asia)</f>
        <v/>
      </c>
      <c r="P48" s="47">
        <f>P47*(1+Paths!C48)+H48*(1-dep_asia)</f>
        <v/>
      </c>
      <c r="Q48" s="47">
        <f>Q47*(1+Paths!C48)+Labour!AK48*gw_asian</f>
        <v/>
      </c>
      <c r="R48" s="47">
        <f>R47*(1+Paths!C48)+Labour!AF48*family_mult</f>
        <v/>
      </c>
      <c r="S48" s="63">
        <f>(N48+O48+P48+Q48+R48)/L48</f>
        <v/>
      </c>
      <c r="T48" s="47">
        <f>SUM(E48:H48)*Paths!J48</f>
        <v/>
      </c>
      <c r="U48" s="62">
        <f>Paths!K48</f>
        <v/>
      </c>
      <c r="V48" s="47">
        <f>IF(Gulf!E48=1,Gulf!B48,0)</f>
        <v/>
      </c>
      <c r="W48" s="47">
        <f>L48+V48</f>
        <v/>
      </c>
      <c r="X48" s="47">
        <f>W48+Labour!L48</f>
        <v/>
      </c>
    </row>
    <row r="49">
      <c r="A49" s="58" t="n">
        <v>1889</v>
      </c>
      <c r="B49" s="47">
        <f>L48</f>
        <v/>
      </c>
      <c r="C49" s="62">
        <f>Paths!D49</f>
        <v/>
      </c>
      <c r="D49" s="47">
        <f>B49*Paths!C49</f>
        <v/>
      </c>
      <c r="E49" s="47">
        <f>Paths!E49*IF($A49&gt;=1896,mig_scale,1)</f>
        <v/>
      </c>
      <c r="F49" s="47">
        <f>Paths!F49*IF($A49&gt;=1896,mig_scale,1)</f>
        <v/>
      </c>
      <c r="G49" s="47">
        <f>Paths!G49*IF($A49&gt;=1896,mig_scale,1)</f>
        <v/>
      </c>
      <c r="H49" s="47">
        <f>Paths!H49*IF($A49&gt;=1896,mig_scale,1)</f>
        <v/>
      </c>
      <c r="I49" s="47">
        <f>E49*Paths!I49+(F49+G49+H49)*dep_asia</f>
        <v/>
      </c>
      <c r="J49" s="62">
        <f>Labour!AL49</f>
        <v/>
      </c>
      <c r="K49" s="47">
        <f>SUM(E49:H49)-I49+J49</f>
        <v/>
      </c>
      <c r="L49" s="47">
        <f>B49+C49+D49+K49</f>
        <v/>
      </c>
      <c r="M49" s="63">
        <f>IF(B49&gt;0,L49/B49-1,0)</f>
        <v/>
      </c>
      <c r="N49" s="47">
        <f>N48*(1+Paths!C49)+F49*(1-dep_asia)</f>
        <v/>
      </c>
      <c r="O49" s="47">
        <f>O48*(1+Paths!C49)+G49*(1-dep_asia)</f>
        <v/>
      </c>
      <c r="P49" s="47">
        <f>P48*(1+Paths!C49)+H49*(1-dep_asia)</f>
        <v/>
      </c>
      <c r="Q49" s="47">
        <f>Q48*(1+Paths!C49)+Labour!AK49*gw_asian</f>
        <v/>
      </c>
      <c r="R49" s="47">
        <f>R48*(1+Paths!C49)+Labour!AF49*family_mult</f>
        <v/>
      </c>
      <c r="S49" s="63">
        <f>(N49+O49+P49+Q49+R49)/L49</f>
        <v/>
      </c>
      <c r="T49" s="47">
        <f>SUM(E49:H49)*Paths!J49</f>
        <v/>
      </c>
      <c r="U49" s="62">
        <f>Paths!K49</f>
        <v/>
      </c>
      <c r="V49" s="47">
        <f>IF(Gulf!E49=1,Gulf!B49,0)</f>
        <v/>
      </c>
      <c r="W49" s="47">
        <f>L49+V49</f>
        <v/>
      </c>
      <c r="X49" s="47">
        <f>W49+Labour!L49</f>
        <v/>
      </c>
    </row>
    <row r="50">
      <c r="A50" s="58" t="n">
        <v>1890</v>
      </c>
      <c r="B50" s="47">
        <f>L49</f>
        <v/>
      </c>
      <c r="C50" s="62">
        <f>Paths!D50</f>
        <v/>
      </c>
      <c r="D50" s="47">
        <f>B50*Paths!C50</f>
        <v/>
      </c>
      <c r="E50" s="47">
        <f>Paths!E50*IF($A50&gt;=1896,mig_scale,1)</f>
        <v/>
      </c>
      <c r="F50" s="47">
        <f>Paths!F50*IF($A50&gt;=1896,mig_scale,1)</f>
        <v/>
      </c>
      <c r="G50" s="47">
        <f>Paths!G50*IF($A50&gt;=1896,mig_scale,1)</f>
        <v/>
      </c>
      <c r="H50" s="47">
        <f>Paths!H50*IF($A50&gt;=1896,mig_scale,1)</f>
        <v/>
      </c>
      <c r="I50" s="47">
        <f>E50*Paths!I50+(F50+G50+H50)*dep_asia</f>
        <v/>
      </c>
      <c r="J50" s="62">
        <f>Labour!AL50</f>
        <v/>
      </c>
      <c r="K50" s="47">
        <f>SUM(E50:H50)-I50+J50</f>
        <v/>
      </c>
      <c r="L50" s="47">
        <f>B50+C50+D50+K50</f>
        <v/>
      </c>
      <c r="M50" s="63">
        <f>IF(B50&gt;0,L50/B50-1,0)</f>
        <v/>
      </c>
      <c r="N50" s="47">
        <f>N49*(1+Paths!C50)+F50*(1-dep_asia)</f>
        <v/>
      </c>
      <c r="O50" s="47">
        <f>O49*(1+Paths!C50)+G50*(1-dep_asia)</f>
        <v/>
      </c>
      <c r="P50" s="47">
        <f>P49*(1+Paths!C50)+H50*(1-dep_asia)</f>
        <v/>
      </c>
      <c r="Q50" s="47">
        <f>Q49*(1+Paths!C50)+Labour!AK50*gw_asian</f>
        <v/>
      </c>
      <c r="R50" s="47">
        <f>R49*(1+Paths!C50)+Labour!AF50*family_mult</f>
        <v/>
      </c>
      <c r="S50" s="63">
        <f>(N50+O50+P50+Q50+R50)/L50</f>
        <v/>
      </c>
      <c r="T50" s="47">
        <f>SUM(E50:H50)*Paths!J50</f>
        <v/>
      </c>
      <c r="U50" s="62">
        <f>Paths!K50</f>
        <v/>
      </c>
      <c r="V50" s="47">
        <f>IF(Gulf!E50=1,Gulf!B50,0)</f>
        <v/>
      </c>
      <c r="W50" s="47">
        <f>L50+V50</f>
        <v/>
      </c>
      <c r="X50" s="47">
        <f>W50+Labour!L50</f>
        <v/>
      </c>
    </row>
    <row r="51">
      <c r="A51" s="58" t="n">
        <v>1891</v>
      </c>
      <c r="B51" s="47">
        <f>L50</f>
        <v/>
      </c>
      <c r="C51" s="62">
        <f>Paths!D51</f>
        <v/>
      </c>
      <c r="D51" s="47">
        <f>B51*Paths!C51</f>
        <v/>
      </c>
      <c r="E51" s="47">
        <f>Paths!E51*IF($A51&gt;=1896,mig_scale,1)</f>
        <v/>
      </c>
      <c r="F51" s="47">
        <f>Paths!F51*IF($A51&gt;=1896,mig_scale,1)</f>
        <v/>
      </c>
      <c r="G51" s="47">
        <f>Paths!G51*IF($A51&gt;=1896,mig_scale,1)</f>
        <v/>
      </c>
      <c r="H51" s="47">
        <f>Paths!H51*IF($A51&gt;=1896,mig_scale,1)</f>
        <v/>
      </c>
      <c r="I51" s="47">
        <f>E51*Paths!I51+(F51+G51+H51)*dep_asia</f>
        <v/>
      </c>
      <c r="J51" s="62">
        <f>Labour!AL51</f>
        <v/>
      </c>
      <c r="K51" s="47">
        <f>SUM(E51:H51)-I51+J51</f>
        <v/>
      </c>
      <c r="L51" s="47">
        <f>B51+C51+D51+K51</f>
        <v/>
      </c>
      <c r="M51" s="63">
        <f>IF(B51&gt;0,L51/B51-1,0)</f>
        <v/>
      </c>
      <c r="N51" s="47">
        <f>N50*(1+Paths!C51)+F51*(1-dep_asia)</f>
        <v/>
      </c>
      <c r="O51" s="47">
        <f>O50*(1+Paths!C51)+G51*(1-dep_asia)</f>
        <v/>
      </c>
      <c r="P51" s="47">
        <f>P50*(1+Paths!C51)+H51*(1-dep_asia)</f>
        <v/>
      </c>
      <c r="Q51" s="47">
        <f>Q50*(1+Paths!C51)+Labour!AK51*gw_asian</f>
        <v/>
      </c>
      <c r="R51" s="47">
        <f>R50*(1+Paths!C51)+Labour!AF51*family_mult</f>
        <v/>
      </c>
      <c r="S51" s="63">
        <f>(N51+O51+P51+Q51+R51)/L51</f>
        <v/>
      </c>
      <c r="T51" s="47">
        <f>SUM(E51:H51)*Paths!J51</f>
        <v/>
      </c>
      <c r="U51" s="62">
        <f>Paths!K51</f>
        <v/>
      </c>
      <c r="V51" s="47">
        <f>IF(Gulf!E51=1,Gulf!B51,0)</f>
        <v/>
      </c>
      <c r="W51" s="47">
        <f>L51+V51</f>
        <v/>
      </c>
      <c r="X51" s="47">
        <f>W51+Labour!L51</f>
        <v/>
      </c>
    </row>
    <row r="52">
      <c r="A52" s="58" t="n">
        <v>1892</v>
      </c>
      <c r="B52" s="47">
        <f>L51</f>
        <v/>
      </c>
      <c r="C52" s="62">
        <f>Paths!D52</f>
        <v/>
      </c>
      <c r="D52" s="47">
        <f>B52*Paths!C52</f>
        <v/>
      </c>
      <c r="E52" s="47">
        <f>Paths!E52*IF($A52&gt;=1896,mig_scale,1)</f>
        <v/>
      </c>
      <c r="F52" s="47">
        <f>Paths!F52*IF($A52&gt;=1896,mig_scale,1)</f>
        <v/>
      </c>
      <c r="G52" s="47">
        <f>Paths!G52*IF($A52&gt;=1896,mig_scale,1)</f>
        <v/>
      </c>
      <c r="H52" s="47">
        <f>Paths!H52*IF($A52&gt;=1896,mig_scale,1)</f>
        <v/>
      </c>
      <c r="I52" s="47">
        <f>E52*Paths!I52+(F52+G52+H52)*dep_asia</f>
        <v/>
      </c>
      <c r="J52" s="62">
        <f>Labour!AL52</f>
        <v/>
      </c>
      <c r="K52" s="47">
        <f>SUM(E52:H52)-I52+J52</f>
        <v/>
      </c>
      <c r="L52" s="47">
        <f>B52+C52+D52+K52</f>
        <v/>
      </c>
      <c r="M52" s="63">
        <f>IF(B52&gt;0,L52/B52-1,0)</f>
        <v/>
      </c>
      <c r="N52" s="47">
        <f>N51*(1+Paths!C52)+F52*(1-dep_asia)</f>
        <v/>
      </c>
      <c r="O52" s="47">
        <f>O51*(1+Paths!C52)+G52*(1-dep_asia)</f>
        <v/>
      </c>
      <c r="P52" s="47">
        <f>P51*(1+Paths!C52)+H52*(1-dep_asia)</f>
        <v/>
      </c>
      <c r="Q52" s="47">
        <f>Q51*(1+Paths!C52)+Labour!AK52*gw_asian</f>
        <v/>
      </c>
      <c r="R52" s="47">
        <f>R51*(1+Paths!C52)+Labour!AF52*family_mult</f>
        <v/>
      </c>
      <c r="S52" s="63">
        <f>(N52+O52+P52+Q52+R52)/L52</f>
        <v/>
      </c>
      <c r="T52" s="47">
        <f>SUM(E52:H52)*Paths!J52</f>
        <v/>
      </c>
      <c r="U52" s="62">
        <f>Paths!K52</f>
        <v/>
      </c>
      <c r="V52" s="47">
        <f>IF(Gulf!E52=1,Gulf!B52,0)</f>
        <v/>
      </c>
      <c r="W52" s="47">
        <f>L52+V52</f>
        <v/>
      </c>
      <c r="X52" s="47">
        <f>W52+Labour!L52</f>
        <v/>
      </c>
    </row>
    <row r="53">
      <c r="A53" s="58" t="n">
        <v>1893</v>
      </c>
      <c r="B53" s="47">
        <f>L52</f>
        <v/>
      </c>
      <c r="C53" s="62">
        <f>Paths!D53</f>
        <v/>
      </c>
      <c r="D53" s="47">
        <f>B53*Paths!C53</f>
        <v/>
      </c>
      <c r="E53" s="47">
        <f>Paths!E53*IF($A53&gt;=1896,mig_scale,1)</f>
        <v/>
      </c>
      <c r="F53" s="47">
        <f>Paths!F53*IF($A53&gt;=1896,mig_scale,1)</f>
        <v/>
      </c>
      <c r="G53" s="47">
        <f>Paths!G53*IF($A53&gt;=1896,mig_scale,1)</f>
        <v/>
      </c>
      <c r="H53" s="47">
        <f>Paths!H53*IF($A53&gt;=1896,mig_scale,1)</f>
        <v/>
      </c>
      <c r="I53" s="47">
        <f>E53*Paths!I53+(F53+G53+H53)*dep_asia</f>
        <v/>
      </c>
      <c r="J53" s="62">
        <f>Labour!AL53</f>
        <v/>
      </c>
      <c r="K53" s="47">
        <f>SUM(E53:H53)-I53+J53</f>
        <v/>
      </c>
      <c r="L53" s="47">
        <f>B53+C53+D53+K53</f>
        <v/>
      </c>
      <c r="M53" s="63">
        <f>IF(B53&gt;0,L53/B53-1,0)</f>
        <v/>
      </c>
      <c r="N53" s="47">
        <f>N52*(1+Paths!C53)+F53*(1-dep_asia)</f>
        <v/>
      </c>
      <c r="O53" s="47">
        <f>O52*(1+Paths!C53)+G53*(1-dep_asia)</f>
        <v/>
      </c>
      <c r="P53" s="47">
        <f>P52*(1+Paths!C53)+H53*(1-dep_asia)</f>
        <v/>
      </c>
      <c r="Q53" s="47">
        <f>Q52*(1+Paths!C53)+Labour!AK53*gw_asian</f>
        <v/>
      </c>
      <c r="R53" s="47">
        <f>R52*(1+Paths!C53)+Labour!AF53*family_mult</f>
        <v/>
      </c>
      <c r="S53" s="63">
        <f>(N53+O53+P53+Q53+R53)/L53</f>
        <v/>
      </c>
      <c r="T53" s="47">
        <f>SUM(E53:H53)*Paths!J53</f>
        <v/>
      </c>
      <c r="U53" s="62">
        <f>Paths!K53</f>
        <v/>
      </c>
      <c r="V53" s="47">
        <f>IF(Gulf!E53=1,Gulf!B53,0)</f>
        <v/>
      </c>
      <c r="W53" s="47">
        <f>L53+V53</f>
        <v/>
      </c>
      <c r="X53" s="47">
        <f>W53+Labour!L53</f>
        <v/>
      </c>
    </row>
    <row r="54">
      <c r="A54" s="58" t="n">
        <v>1894</v>
      </c>
      <c r="B54" s="47">
        <f>L53</f>
        <v/>
      </c>
      <c r="C54" s="62">
        <f>Paths!D54</f>
        <v/>
      </c>
      <c r="D54" s="47">
        <f>B54*Paths!C54</f>
        <v/>
      </c>
      <c r="E54" s="47">
        <f>Paths!E54*IF($A54&gt;=1896,mig_scale,1)</f>
        <v/>
      </c>
      <c r="F54" s="47">
        <f>Paths!F54*IF($A54&gt;=1896,mig_scale,1)</f>
        <v/>
      </c>
      <c r="G54" s="47">
        <f>Paths!G54*IF($A54&gt;=1896,mig_scale,1)</f>
        <v/>
      </c>
      <c r="H54" s="47">
        <f>Paths!H54*IF($A54&gt;=1896,mig_scale,1)</f>
        <v/>
      </c>
      <c r="I54" s="47">
        <f>E54*Paths!I54+(F54+G54+H54)*dep_asia</f>
        <v/>
      </c>
      <c r="J54" s="62">
        <f>Labour!AL54</f>
        <v/>
      </c>
      <c r="K54" s="47">
        <f>SUM(E54:H54)-I54+J54</f>
        <v/>
      </c>
      <c r="L54" s="47">
        <f>B54+C54+D54+K54</f>
        <v/>
      </c>
      <c r="M54" s="63">
        <f>IF(B54&gt;0,L54/B54-1,0)</f>
        <v/>
      </c>
      <c r="N54" s="47">
        <f>N53*(1+Paths!C54)+F54*(1-dep_asia)</f>
        <v/>
      </c>
      <c r="O54" s="47">
        <f>O53*(1+Paths!C54)+G54*(1-dep_asia)</f>
        <v/>
      </c>
      <c r="P54" s="47">
        <f>P53*(1+Paths!C54)+H54*(1-dep_asia)</f>
        <v/>
      </c>
      <c r="Q54" s="47">
        <f>Q53*(1+Paths!C54)+Labour!AK54*gw_asian</f>
        <v/>
      </c>
      <c r="R54" s="47">
        <f>R53*(1+Paths!C54)+Labour!AF54*family_mult</f>
        <v/>
      </c>
      <c r="S54" s="63">
        <f>(N54+O54+P54+Q54+R54)/L54</f>
        <v/>
      </c>
      <c r="T54" s="47">
        <f>SUM(E54:H54)*Paths!J54</f>
        <v/>
      </c>
      <c r="U54" s="62">
        <f>Paths!K54</f>
        <v/>
      </c>
      <c r="V54" s="47">
        <f>IF(Gulf!E54=1,Gulf!B54,0)</f>
        <v/>
      </c>
      <c r="W54" s="47">
        <f>L54+V54</f>
        <v/>
      </c>
      <c r="X54" s="47">
        <f>W54+Labour!L54</f>
        <v/>
      </c>
    </row>
    <row r="55">
      <c r="A55" s="58" t="n">
        <v>1895</v>
      </c>
      <c r="B55" s="47">
        <f>L54</f>
        <v/>
      </c>
      <c r="C55" s="62">
        <f>Paths!D55</f>
        <v/>
      </c>
      <c r="D55" s="47">
        <f>B55*Paths!C55</f>
        <v/>
      </c>
      <c r="E55" s="47">
        <f>Paths!E55*IF($A55&gt;=1896,mig_scale,1)</f>
        <v/>
      </c>
      <c r="F55" s="47">
        <f>Paths!F55*IF($A55&gt;=1896,mig_scale,1)</f>
        <v/>
      </c>
      <c r="G55" s="47">
        <f>Paths!G55*IF($A55&gt;=1896,mig_scale,1)</f>
        <v/>
      </c>
      <c r="H55" s="47">
        <f>Paths!H55*IF($A55&gt;=1896,mig_scale,1)</f>
        <v/>
      </c>
      <c r="I55" s="47">
        <f>E55*Paths!I55+(F55+G55+H55)*dep_asia</f>
        <v/>
      </c>
      <c r="J55" s="62">
        <f>Labour!AL55</f>
        <v/>
      </c>
      <c r="K55" s="47">
        <f>SUM(E55:H55)-I55+J55</f>
        <v/>
      </c>
      <c r="L55" s="47">
        <f>B55+C55+D55+K55</f>
        <v/>
      </c>
      <c r="M55" s="63">
        <f>IF(B55&gt;0,L55/B55-1,0)</f>
        <v/>
      </c>
      <c r="N55" s="47">
        <f>N54*(1+Paths!C55)+F55*(1-dep_asia)</f>
        <v/>
      </c>
      <c r="O55" s="47">
        <f>O54*(1+Paths!C55)+G55*(1-dep_asia)</f>
        <v/>
      </c>
      <c r="P55" s="47">
        <f>P54*(1+Paths!C55)+H55*(1-dep_asia)</f>
        <v/>
      </c>
      <c r="Q55" s="47">
        <f>Q54*(1+Paths!C55)+Labour!AK55*gw_asian</f>
        <v/>
      </c>
      <c r="R55" s="47">
        <f>R54*(1+Paths!C55)+Labour!AF55*family_mult</f>
        <v/>
      </c>
      <c r="S55" s="63">
        <f>(N55+O55+P55+Q55+R55)/L55</f>
        <v/>
      </c>
      <c r="T55" s="47">
        <f>SUM(E55:H55)*Paths!J55</f>
        <v/>
      </c>
      <c r="U55" s="62">
        <f>Paths!K55</f>
        <v/>
      </c>
      <c r="V55" s="47">
        <f>IF(Gulf!E55=1,Gulf!B55,0)</f>
        <v/>
      </c>
      <c r="W55" s="47">
        <f>L55+V55</f>
        <v/>
      </c>
      <c r="X55" s="47">
        <f>W55+Labour!L55</f>
        <v/>
      </c>
    </row>
    <row r="56">
      <c r="A56" s="58" t="n">
        <v>1896</v>
      </c>
      <c r="B56" s="47">
        <f>L55</f>
        <v/>
      </c>
      <c r="C56" s="62">
        <f>Paths!D56</f>
        <v/>
      </c>
      <c r="D56" s="47">
        <f>B56*Paths!C56</f>
        <v/>
      </c>
      <c r="E56" s="47">
        <f>Paths!E56*IF($A56&gt;=1896,mig_scale,1)</f>
        <v/>
      </c>
      <c r="F56" s="47">
        <f>Paths!F56*IF($A56&gt;=1896,mig_scale,1)</f>
        <v/>
      </c>
      <c r="G56" s="47">
        <f>Paths!G56*IF($A56&gt;=1896,mig_scale,1)</f>
        <v/>
      </c>
      <c r="H56" s="47">
        <f>Paths!H56*IF($A56&gt;=1896,mig_scale,1)</f>
        <v/>
      </c>
      <c r="I56" s="47">
        <f>E56*Paths!I56+(F56+G56+H56)*dep_asia</f>
        <v/>
      </c>
      <c r="J56" s="62">
        <f>Labour!AL56</f>
        <v/>
      </c>
      <c r="K56" s="47">
        <f>SUM(E56:H56)-I56+J56</f>
        <v/>
      </c>
      <c r="L56" s="47">
        <f>B56+C56+D56+K56</f>
        <v/>
      </c>
      <c r="M56" s="63">
        <f>IF(B56&gt;0,L56/B56-1,0)</f>
        <v/>
      </c>
      <c r="N56" s="47">
        <f>N55*(1+Paths!C56)+F56*(1-dep_asia)</f>
        <v/>
      </c>
      <c r="O56" s="47">
        <f>O55*(1+Paths!C56)+G56*(1-dep_asia)</f>
        <v/>
      </c>
      <c r="P56" s="47">
        <f>P55*(1+Paths!C56)+H56*(1-dep_asia)</f>
        <v/>
      </c>
      <c r="Q56" s="47">
        <f>Q55*(1+Paths!C56)+Labour!AK56*gw_asian</f>
        <v/>
      </c>
      <c r="R56" s="47">
        <f>R55*(1+Paths!C56)+Labour!AF56*family_mult</f>
        <v/>
      </c>
      <c r="S56" s="63">
        <f>(N56+O56+P56+Q56+R56)/L56</f>
        <v/>
      </c>
      <c r="T56" s="47">
        <f>SUM(E56:H56)*Paths!J56</f>
        <v/>
      </c>
      <c r="U56" s="62">
        <f>Paths!K56</f>
        <v/>
      </c>
      <c r="V56" s="47">
        <f>IF(Gulf!E56=1,Gulf!B56,0)</f>
        <v/>
      </c>
      <c r="W56" s="47">
        <f>L56+V56</f>
        <v/>
      </c>
      <c r="X56" s="47">
        <f>W56+Labour!L56</f>
        <v/>
      </c>
    </row>
    <row r="57">
      <c r="A57" s="58" t="n">
        <v>1897</v>
      </c>
      <c r="B57" s="47">
        <f>L56</f>
        <v/>
      </c>
      <c r="C57" s="62">
        <f>Paths!D57</f>
        <v/>
      </c>
      <c r="D57" s="47">
        <f>B57*Paths!C57</f>
        <v/>
      </c>
      <c r="E57" s="47">
        <f>Paths!E57*IF($A57&gt;=1896,mig_scale,1)</f>
        <v/>
      </c>
      <c r="F57" s="47">
        <f>Paths!F57*IF($A57&gt;=1896,mig_scale,1)</f>
        <v/>
      </c>
      <c r="G57" s="47">
        <f>Paths!G57*IF($A57&gt;=1896,mig_scale,1)</f>
        <v/>
      </c>
      <c r="H57" s="47">
        <f>Paths!H57*IF($A57&gt;=1896,mig_scale,1)</f>
        <v/>
      </c>
      <c r="I57" s="47">
        <f>E57*Paths!I57+(F57+G57+H57)*dep_asia</f>
        <v/>
      </c>
      <c r="J57" s="62">
        <f>Labour!AL57</f>
        <v/>
      </c>
      <c r="K57" s="47">
        <f>SUM(E57:H57)-I57+J57</f>
        <v/>
      </c>
      <c r="L57" s="47">
        <f>B57+C57+D57+K57</f>
        <v/>
      </c>
      <c r="M57" s="63">
        <f>IF(B57&gt;0,L57/B57-1,0)</f>
        <v/>
      </c>
      <c r="N57" s="47">
        <f>N56*(1+Paths!C57)+F57*(1-dep_asia)</f>
        <v/>
      </c>
      <c r="O57" s="47">
        <f>O56*(1+Paths!C57)+G57*(1-dep_asia)</f>
        <v/>
      </c>
      <c r="P57" s="47">
        <f>P56*(1+Paths!C57)+H57*(1-dep_asia)</f>
        <v/>
      </c>
      <c r="Q57" s="47">
        <f>Q56*(1+Paths!C57)+Labour!AK57*gw_asian</f>
        <v/>
      </c>
      <c r="R57" s="47">
        <f>R56*(1+Paths!C57)+Labour!AF57*family_mult</f>
        <v/>
      </c>
      <c r="S57" s="63">
        <f>(N57+O57+P57+Q57+R57)/L57</f>
        <v/>
      </c>
      <c r="T57" s="47">
        <f>SUM(E57:H57)*Paths!J57</f>
        <v/>
      </c>
      <c r="U57" s="62">
        <f>Paths!K57</f>
        <v/>
      </c>
      <c r="V57" s="47">
        <f>IF(Gulf!E57=1,Gulf!B57,0)</f>
        <v/>
      </c>
      <c r="W57" s="47">
        <f>L57+V57</f>
        <v/>
      </c>
      <c r="X57" s="47">
        <f>W57+Labour!L57</f>
        <v/>
      </c>
    </row>
    <row r="58">
      <c r="A58" s="58" t="n">
        <v>1898</v>
      </c>
      <c r="B58" s="47">
        <f>L57</f>
        <v/>
      </c>
      <c r="C58" s="62">
        <f>Paths!D58</f>
        <v/>
      </c>
      <c r="D58" s="47">
        <f>B58*Paths!C58</f>
        <v/>
      </c>
      <c r="E58" s="47">
        <f>Paths!E58*IF($A58&gt;=1896,mig_scale,1)</f>
        <v/>
      </c>
      <c r="F58" s="47">
        <f>Paths!F58*IF($A58&gt;=1896,mig_scale,1)</f>
        <v/>
      </c>
      <c r="G58" s="47">
        <f>Paths!G58*IF($A58&gt;=1896,mig_scale,1)</f>
        <v/>
      </c>
      <c r="H58" s="47">
        <f>Paths!H58*IF($A58&gt;=1896,mig_scale,1)</f>
        <v/>
      </c>
      <c r="I58" s="47">
        <f>E58*Paths!I58+(F58+G58+H58)*dep_asia</f>
        <v/>
      </c>
      <c r="J58" s="62">
        <f>Labour!AL58</f>
        <v/>
      </c>
      <c r="K58" s="47">
        <f>SUM(E58:H58)-I58+J58</f>
        <v/>
      </c>
      <c r="L58" s="47">
        <f>B58+C58+D58+K58</f>
        <v/>
      </c>
      <c r="M58" s="63">
        <f>IF(B58&gt;0,L58/B58-1,0)</f>
        <v/>
      </c>
      <c r="N58" s="47">
        <f>N57*(1+Paths!C58)+F58*(1-dep_asia)</f>
        <v/>
      </c>
      <c r="O58" s="47">
        <f>O57*(1+Paths!C58)+G58*(1-dep_asia)</f>
        <v/>
      </c>
      <c r="P58" s="47">
        <f>P57*(1+Paths!C58)+H58*(1-dep_asia)</f>
        <v/>
      </c>
      <c r="Q58" s="47">
        <f>Q57*(1+Paths!C58)+Labour!AK58*gw_asian</f>
        <v/>
      </c>
      <c r="R58" s="47">
        <f>R57*(1+Paths!C58)+Labour!AF58*family_mult</f>
        <v/>
      </c>
      <c r="S58" s="63">
        <f>(N58+O58+P58+Q58+R58)/L58</f>
        <v/>
      </c>
      <c r="T58" s="47">
        <f>SUM(E58:H58)*Paths!J58</f>
        <v/>
      </c>
      <c r="U58" s="62">
        <f>Paths!K58</f>
        <v/>
      </c>
      <c r="V58" s="47">
        <f>IF(Gulf!E58=1,Gulf!B58,0)</f>
        <v/>
      </c>
      <c r="W58" s="47">
        <f>L58+V58</f>
        <v/>
      </c>
      <c r="X58" s="47">
        <f>W58+Labour!L58</f>
        <v/>
      </c>
    </row>
    <row r="59">
      <c r="A59" s="58" t="n">
        <v>1899</v>
      </c>
      <c r="B59" s="47">
        <f>L58</f>
        <v/>
      </c>
      <c r="C59" s="62">
        <f>Paths!D59</f>
        <v/>
      </c>
      <c r="D59" s="47">
        <f>B59*Paths!C59</f>
        <v/>
      </c>
      <c r="E59" s="47">
        <f>Paths!E59*IF($A59&gt;=1896,mig_scale,1)</f>
        <v/>
      </c>
      <c r="F59" s="47">
        <f>Paths!F59*IF($A59&gt;=1896,mig_scale,1)</f>
        <v/>
      </c>
      <c r="G59" s="47">
        <f>Paths!G59*IF($A59&gt;=1896,mig_scale,1)</f>
        <v/>
      </c>
      <c r="H59" s="47">
        <f>Paths!H59*IF($A59&gt;=1896,mig_scale,1)</f>
        <v/>
      </c>
      <c r="I59" s="47">
        <f>E59*Paths!I59+(F59+G59+H59)*dep_asia</f>
        <v/>
      </c>
      <c r="J59" s="62">
        <f>Labour!AL59</f>
        <v/>
      </c>
      <c r="K59" s="47">
        <f>SUM(E59:H59)-I59+J59</f>
        <v/>
      </c>
      <c r="L59" s="47">
        <f>B59+C59+D59+K59</f>
        <v/>
      </c>
      <c r="M59" s="63">
        <f>IF(B59&gt;0,L59/B59-1,0)</f>
        <v/>
      </c>
      <c r="N59" s="47">
        <f>N58*(1+Paths!C59)+F59*(1-dep_asia)</f>
        <v/>
      </c>
      <c r="O59" s="47">
        <f>O58*(1+Paths!C59)+G59*(1-dep_asia)</f>
        <v/>
      </c>
      <c r="P59" s="47">
        <f>P58*(1+Paths!C59)+H59*(1-dep_asia)</f>
        <v/>
      </c>
      <c r="Q59" s="47">
        <f>Q58*(1+Paths!C59)+Labour!AK59*gw_asian</f>
        <v/>
      </c>
      <c r="R59" s="47">
        <f>R58*(1+Paths!C59)+Labour!AF59*family_mult</f>
        <v/>
      </c>
      <c r="S59" s="63">
        <f>(N59+O59+P59+Q59+R59)/L59</f>
        <v/>
      </c>
      <c r="T59" s="47">
        <f>SUM(E59:H59)*Paths!J59</f>
        <v/>
      </c>
      <c r="U59" s="62">
        <f>Paths!K59</f>
        <v/>
      </c>
      <c r="V59" s="47">
        <f>IF(Gulf!E59=1,Gulf!B59,0)</f>
        <v/>
      </c>
      <c r="W59" s="47">
        <f>L59+V59</f>
        <v/>
      </c>
      <c r="X59" s="47">
        <f>W59+Labour!L59</f>
        <v/>
      </c>
    </row>
    <row r="60">
      <c r="A60" s="58" t="n">
        <v>1900</v>
      </c>
      <c r="B60" s="47">
        <f>L59</f>
        <v/>
      </c>
      <c r="C60" s="62">
        <f>Paths!D60</f>
        <v/>
      </c>
      <c r="D60" s="47">
        <f>B60*Paths!C60</f>
        <v/>
      </c>
      <c r="E60" s="47">
        <f>Paths!E60*IF($A60&gt;=1896,mig_scale,1)</f>
        <v/>
      </c>
      <c r="F60" s="47">
        <f>Paths!F60*IF($A60&gt;=1896,mig_scale,1)</f>
        <v/>
      </c>
      <c r="G60" s="47">
        <f>Paths!G60*IF($A60&gt;=1896,mig_scale,1)</f>
        <v/>
      </c>
      <c r="H60" s="47">
        <f>Paths!H60*IF($A60&gt;=1896,mig_scale,1)</f>
        <v/>
      </c>
      <c r="I60" s="47">
        <f>E60*Paths!I60+(F60+G60+H60)*dep_asia</f>
        <v/>
      </c>
      <c r="J60" s="62">
        <f>Labour!AL60</f>
        <v/>
      </c>
      <c r="K60" s="47">
        <f>SUM(E60:H60)-I60+J60</f>
        <v/>
      </c>
      <c r="L60" s="47">
        <f>B60+C60+D60+K60</f>
        <v/>
      </c>
      <c r="M60" s="63">
        <f>IF(B60&gt;0,L60/B60-1,0)</f>
        <v/>
      </c>
      <c r="N60" s="47">
        <f>N59*(1+Paths!C60)+F60*(1-dep_asia)</f>
        <v/>
      </c>
      <c r="O60" s="47">
        <f>O59*(1+Paths!C60)+G60*(1-dep_asia)</f>
        <v/>
      </c>
      <c r="P60" s="47">
        <f>P59*(1+Paths!C60)+H60*(1-dep_asia)</f>
        <v/>
      </c>
      <c r="Q60" s="47">
        <f>Q59*(1+Paths!C60)+Labour!AK60*gw_asian</f>
        <v/>
      </c>
      <c r="R60" s="47">
        <f>R59*(1+Paths!C60)+Labour!AF60*family_mult</f>
        <v/>
      </c>
      <c r="S60" s="63">
        <f>(N60+O60+P60+Q60+R60)/L60</f>
        <v/>
      </c>
      <c r="T60" s="47">
        <f>SUM(E60:H60)*Paths!J60</f>
        <v/>
      </c>
      <c r="U60" s="62">
        <f>Paths!K60</f>
        <v/>
      </c>
      <c r="V60" s="47">
        <f>IF(Gulf!E60=1,Gulf!B60,0)</f>
        <v/>
      </c>
      <c r="W60" s="47">
        <f>L60+V60</f>
        <v/>
      </c>
      <c r="X60" s="47">
        <f>W60+Labour!L60</f>
        <v/>
      </c>
    </row>
    <row r="61">
      <c r="A61" s="58" t="n">
        <v>1901</v>
      </c>
      <c r="B61" s="47">
        <f>L60</f>
        <v/>
      </c>
      <c r="C61" s="62">
        <f>Paths!D61</f>
        <v/>
      </c>
      <c r="D61" s="47">
        <f>B61*Paths!C61</f>
        <v/>
      </c>
      <c r="E61" s="47">
        <f>Paths!E61*IF($A61&gt;=1896,mig_scale,1)</f>
        <v/>
      </c>
      <c r="F61" s="47">
        <f>Paths!F61*IF($A61&gt;=1896,mig_scale,1)</f>
        <v/>
      </c>
      <c r="G61" s="47">
        <f>Paths!G61*IF($A61&gt;=1896,mig_scale,1)</f>
        <v/>
      </c>
      <c r="H61" s="47">
        <f>Paths!H61*IF($A61&gt;=1896,mig_scale,1)</f>
        <v/>
      </c>
      <c r="I61" s="47">
        <f>E61*Paths!I61+(F61+G61+H61)*dep_asia</f>
        <v/>
      </c>
      <c r="J61" s="62">
        <f>Labour!AL61</f>
        <v/>
      </c>
      <c r="K61" s="47">
        <f>SUM(E61:H61)-I61+J61</f>
        <v/>
      </c>
      <c r="L61" s="47">
        <f>B61+C61+D61+K61</f>
        <v/>
      </c>
      <c r="M61" s="63">
        <f>IF(B61&gt;0,L61/B61-1,0)</f>
        <v/>
      </c>
      <c r="N61" s="47">
        <f>N60*(1+Paths!C61)+F61*(1-dep_asia)</f>
        <v/>
      </c>
      <c r="O61" s="47">
        <f>O60*(1+Paths!C61)+G61*(1-dep_asia)</f>
        <v/>
      </c>
      <c r="P61" s="47">
        <f>P60*(1+Paths!C61)+H61*(1-dep_asia)</f>
        <v/>
      </c>
      <c r="Q61" s="47">
        <f>Q60*(1+Paths!C61)+Labour!AK61*gw_asian</f>
        <v/>
      </c>
      <c r="R61" s="47">
        <f>R60*(1+Paths!C61)+Labour!AF61*family_mult</f>
        <v/>
      </c>
      <c r="S61" s="63">
        <f>(N61+O61+P61+Q61+R61)/L61</f>
        <v/>
      </c>
      <c r="T61" s="47">
        <f>SUM(E61:H61)*Paths!J61</f>
        <v/>
      </c>
      <c r="U61" s="62">
        <f>Paths!K61</f>
        <v/>
      </c>
      <c r="V61" s="47">
        <f>IF(Gulf!E61=1,Gulf!B61,0)</f>
        <v/>
      </c>
      <c r="W61" s="47">
        <f>L61+V61</f>
        <v/>
      </c>
      <c r="X61" s="47">
        <f>W61+Labour!L61</f>
        <v/>
      </c>
    </row>
    <row r="62">
      <c r="A62" s="58" t="n">
        <v>1902</v>
      </c>
      <c r="B62" s="47">
        <f>L61</f>
        <v/>
      </c>
      <c r="C62" s="62">
        <f>Paths!D62</f>
        <v/>
      </c>
      <c r="D62" s="47">
        <f>B62*Paths!C62</f>
        <v/>
      </c>
      <c r="E62" s="47">
        <f>Paths!E62*IF($A62&gt;=1896,mig_scale,1)</f>
        <v/>
      </c>
      <c r="F62" s="47">
        <f>Paths!F62*IF($A62&gt;=1896,mig_scale,1)</f>
        <v/>
      </c>
      <c r="G62" s="47">
        <f>Paths!G62*IF($A62&gt;=1896,mig_scale,1)</f>
        <v/>
      </c>
      <c r="H62" s="47">
        <f>Paths!H62*IF($A62&gt;=1896,mig_scale,1)</f>
        <v/>
      </c>
      <c r="I62" s="47">
        <f>E62*Paths!I62+(F62+G62+H62)*dep_asia</f>
        <v/>
      </c>
      <c r="J62" s="62">
        <f>Labour!AL62</f>
        <v/>
      </c>
      <c r="K62" s="47">
        <f>SUM(E62:H62)-I62+J62</f>
        <v/>
      </c>
      <c r="L62" s="47">
        <f>B62+C62+D62+K62</f>
        <v/>
      </c>
      <c r="M62" s="63">
        <f>IF(B62&gt;0,L62/B62-1,0)</f>
        <v/>
      </c>
      <c r="N62" s="47">
        <f>N61*(1+Paths!C62)+F62*(1-dep_asia)</f>
        <v/>
      </c>
      <c r="O62" s="47">
        <f>O61*(1+Paths!C62)+G62*(1-dep_asia)</f>
        <v/>
      </c>
      <c r="P62" s="47">
        <f>P61*(1+Paths!C62)+H62*(1-dep_asia)</f>
        <v/>
      </c>
      <c r="Q62" s="47">
        <f>Q61*(1+Paths!C62)+Labour!AK62*gw_asian</f>
        <v/>
      </c>
      <c r="R62" s="47">
        <f>R61*(1+Paths!C62)+Labour!AF62*family_mult</f>
        <v/>
      </c>
      <c r="S62" s="63">
        <f>(N62+O62+P62+Q62+R62)/L62</f>
        <v/>
      </c>
      <c r="T62" s="47">
        <f>SUM(E62:H62)*Paths!J62</f>
        <v/>
      </c>
      <c r="U62" s="62">
        <f>Paths!K62</f>
        <v/>
      </c>
      <c r="V62" s="47">
        <f>IF(Gulf!E62=1,Gulf!B62,0)</f>
        <v/>
      </c>
      <c r="W62" s="47">
        <f>L62+V62</f>
        <v/>
      </c>
      <c r="X62" s="47">
        <f>W62+Labour!L62</f>
        <v/>
      </c>
    </row>
    <row r="63">
      <c r="A63" s="58" t="n">
        <v>1903</v>
      </c>
      <c r="B63" s="47">
        <f>L62</f>
        <v/>
      </c>
      <c r="C63" s="62">
        <f>Paths!D63</f>
        <v/>
      </c>
      <c r="D63" s="47">
        <f>B63*Paths!C63</f>
        <v/>
      </c>
      <c r="E63" s="47">
        <f>Paths!E63*IF($A63&gt;=1896,mig_scale,1)</f>
        <v/>
      </c>
      <c r="F63" s="47">
        <f>Paths!F63*IF($A63&gt;=1896,mig_scale,1)</f>
        <v/>
      </c>
      <c r="G63" s="47">
        <f>Paths!G63*IF($A63&gt;=1896,mig_scale,1)</f>
        <v/>
      </c>
      <c r="H63" s="47">
        <f>Paths!H63*IF($A63&gt;=1896,mig_scale,1)</f>
        <v/>
      </c>
      <c r="I63" s="47">
        <f>E63*Paths!I63+(F63+G63+H63)*dep_asia</f>
        <v/>
      </c>
      <c r="J63" s="62">
        <f>Labour!AL63</f>
        <v/>
      </c>
      <c r="K63" s="47">
        <f>SUM(E63:H63)-I63+J63</f>
        <v/>
      </c>
      <c r="L63" s="47">
        <f>B63+C63+D63+K63</f>
        <v/>
      </c>
      <c r="M63" s="63">
        <f>IF(B63&gt;0,L63/B63-1,0)</f>
        <v/>
      </c>
      <c r="N63" s="47">
        <f>N62*(1+Paths!C63)+F63*(1-dep_asia)</f>
        <v/>
      </c>
      <c r="O63" s="47">
        <f>O62*(1+Paths!C63)+G63*(1-dep_asia)</f>
        <v/>
      </c>
      <c r="P63" s="47">
        <f>P62*(1+Paths!C63)+H63*(1-dep_asia)</f>
        <v/>
      </c>
      <c r="Q63" s="47">
        <f>Q62*(1+Paths!C63)+Labour!AK63*gw_asian</f>
        <v/>
      </c>
      <c r="R63" s="47">
        <f>R62*(1+Paths!C63)+Labour!AF63*family_mult</f>
        <v/>
      </c>
      <c r="S63" s="63">
        <f>(N63+O63+P63+Q63+R63)/L63</f>
        <v/>
      </c>
      <c r="T63" s="47">
        <f>SUM(E63:H63)*Paths!J63</f>
        <v/>
      </c>
      <c r="U63" s="62">
        <f>Paths!K63</f>
        <v/>
      </c>
      <c r="V63" s="47">
        <f>IF(Gulf!E63=1,Gulf!B63,0)</f>
        <v/>
      </c>
      <c r="W63" s="47">
        <f>L63+V63</f>
        <v/>
      </c>
      <c r="X63" s="47">
        <f>W63+Labour!L63</f>
        <v/>
      </c>
    </row>
    <row r="64">
      <c r="A64" s="58" t="n">
        <v>1904</v>
      </c>
      <c r="B64" s="47">
        <f>L63</f>
        <v/>
      </c>
      <c r="C64" s="62">
        <f>Paths!D64</f>
        <v/>
      </c>
      <c r="D64" s="47">
        <f>B64*Paths!C64</f>
        <v/>
      </c>
      <c r="E64" s="47">
        <f>Paths!E64*IF($A64&gt;=1896,mig_scale,1)</f>
        <v/>
      </c>
      <c r="F64" s="47">
        <f>Paths!F64*IF($A64&gt;=1896,mig_scale,1)</f>
        <v/>
      </c>
      <c r="G64" s="47">
        <f>Paths!G64*IF($A64&gt;=1896,mig_scale,1)</f>
        <v/>
      </c>
      <c r="H64" s="47">
        <f>Paths!H64*IF($A64&gt;=1896,mig_scale,1)</f>
        <v/>
      </c>
      <c r="I64" s="47">
        <f>E64*Paths!I64+(F64+G64+H64)*dep_asia</f>
        <v/>
      </c>
      <c r="J64" s="62">
        <f>Labour!AL64</f>
        <v/>
      </c>
      <c r="K64" s="47">
        <f>SUM(E64:H64)-I64+J64</f>
        <v/>
      </c>
      <c r="L64" s="47">
        <f>B64+C64+D64+K64</f>
        <v/>
      </c>
      <c r="M64" s="63">
        <f>IF(B64&gt;0,L64/B64-1,0)</f>
        <v/>
      </c>
      <c r="N64" s="47">
        <f>N63*(1+Paths!C64)+F64*(1-dep_asia)</f>
        <v/>
      </c>
      <c r="O64" s="47">
        <f>O63*(1+Paths!C64)+G64*(1-dep_asia)</f>
        <v/>
      </c>
      <c r="P64" s="47">
        <f>P63*(1+Paths!C64)+H64*(1-dep_asia)</f>
        <v/>
      </c>
      <c r="Q64" s="47">
        <f>Q63*(1+Paths!C64)+Labour!AK64*gw_asian</f>
        <v/>
      </c>
      <c r="R64" s="47">
        <f>R63*(1+Paths!C64)+Labour!AF64*family_mult</f>
        <v/>
      </c>
      <c r="S64" s="63">
        <f>(N64+O64+P64+Q64+R64)/L64</f>
        <v/>
      </c>
      <c r="T64" s="47">
        <f>SUM(E64:H64)*Paths!J64</f>
        <v/>
      </c>
      <c r="U64" s="62">
        <f>Paths!K64</f>
        <v/>
      </c>
      <c r="V64" s="47">
        <f>IF(Gulf!E64=1,Gulf!B64,0)</f>
        <v/>
      </c>
      <c r="W64" s="47">
        <f>L64+V64</f>
        <v/>
      </c>
      <c r="X64" s="47">
        <f>W64+Labour!L64</f>
        <v/>
      </c>
    </row>
    <row r="65">
      <c r="A65" s="58" t="n">
        <v>1905</v>
      </c>
      <c r="B65" s="47">
        <f>L64</f>
        <v/>
      </c>
      <c r="C65" s="62">
        <f>Paths!D65</f>
        <v/>
      </c>
      <c r="D65" s="47">
        <f>B65*Paths!C65</f>
        <v/>
      </c>
      <c r="E65" s="47">
        <f>Paths!E65*IF($A65&gt;=1896,mig_scale,1)</f>
        <v/>
      </c>
      <c r="F65" s="47">
        <f>Paths!F65*IF($A65&gt;=1896,mig_scale,1)</f>
        <v/>
      </c>
      <c r="G65" s="47">
        <f>Paths!G65*IF($A65&gt;=1896,mig_scale,1)</f>
        <v/>
      </c>
      <c r="H65" s="47">
        <f>Paths!H65*IF($A65&gt;=1896,mig_scale,1)</f>
        <v/>
      </c>
      <c r="I65" s="47">
        <f>E65*Paths!I65+(F65+G65+H65)*dep_asia</f>
        <v/>
      </c>
      <c r="J65" s="62">
        <f>Labour!AL65</f>
        <v/>
      </c>
      <c r="K65" s="47">
        <f>SUM(E65:H65)-I65+J65</f>
        <v/>
      </c>
      <c r="L65" s="47">
        <f>B65+C65+D65+K65</f>
        <v/>
      </c>
      <c r="M65" s="63">
        <f>IF(B65&gt;0,L65/B65-1,0)</f>
        <v/>
      </c>
      <c r="N65" s="47">
        <f>N64*(1+Paths!C65)+F65*(1-dep_asia)</f>
        <v/>
      </c>
      <c r="O65" s="47">
        <f>O64*(1+Paths!C65)+G65*(1-dep_asia)</f>
        <v/>
      </c>
      <c r="P65" s="47">
        <f>P64*(1+Paths!C65)+H65*(1-dep_asia)</f>
        <v/>
      </c>
      <c r="Q65" s="47">
        <f>Q64*(1+Paths!C65)+Labour!AK65*gw_asian</f>
        <v/>
      </c>
      <c r="R65" s="47">
        <f>R64*(1+Paths!C65)+Labour!AF65*family_mult</f>
        <v/>
      </c>
      <c r="S65" s="63">
        <f>(N65+O65+P65+Q65+R65)/L65</f>
        <v/>
      </c>
      <c r="T65" s="47">
        <f>SUM(E65:H65)*Paths!J65</f>
        <v/>
      </c>
      <c r="U65" s="62">
        <f>Paths!K65</f>
        <v/>
      </c>
      <c r="V65" s="47">
        <f>IF(Gulf!E65=1,Gulf!B65,0)</f>
        <v/>
      </c>
      <c r="W65" s="47">
        <f>L65+V65</f>
        <v/>
      </c>
      <c r="X65" s="47">
        <f>W65+Labour!L65</f>
        <v/>
      </c>
    </row>
    <row r="66">
      <c r="A66" s="58" t="n">
        <v>1906</v>
      </c>
      <c r="B66" s="47">
        <f>L65</f>
        <v/>
      </c>
      <c r="C66" s="62">
        <f>Paths!D66</f>
        <v/>
      </c>
      <c r="D66" s="47">
        <f>B66*Paths!C66</f>
        <v/>
      </c>
      <c r="E66" s="47">
        <f>Paths!E66*IF($A66&gt;=1896,mig_scale,1)</f>
        <v/>
      </c>
      <c r="F66" s="47">
        <f>Paths!F66*IF($A66&gt;=1896,mig_scale,1)</f>
        <v/>
      </c>
      <c r="G66" s="47">
        <f>Paths!G66*IF($A66&gt;=1896,mig_scale,1)</f>
        <v/>
      </c>
      <c r="H66" s="47">
        <f>Paths!H66*IF($A66&gt;=1896,mig_scale,1)</f>
        <v/>
      </c>
      <c r="I66" s="47">
        <f>E66*Paths!I66+(F66+G66+H66)*dep_asia</f>
        <v/>
      </c>
      <c r="J66" s="62">
        <f>Labour!AL66</f>
        <v/>
      </c>
      <c r="K66" s="47">
        <f>SUM(E66:H66)-I66+J66</f>
        <v/>
      </c>
      <c r="L66" s="47">
        <f>B66+C66+D66+K66</f>
        <v/>
      </c>
      <c r="M66" s="63">
        <f>IF(B66&gt;0,L66/B66-1,0)</f>
        <v/>
      </c>
      <c r="N66" s="47">
        <f>N65*(1+Paths!C66)+F66*(1-dep_asia)</f>
        <v/>
      </c>
      <c r="O66" s="47">
        <f>O65*(1+Paths!C66)+G66*(1-dep_asia)</f>
        <v/>
      </c>
      <c r="P66" s="47">
        <f>P65*(1+Paths!C66)+H66*(1-dep_asia)</f>
        <v/>
      </c>
      <c r="Q66" s="47">
        <f>Q65*(1+Paths!C66)+Labour!AK66*gw_asian</f>
        <v/>
      </c>
      <c r="R66" s="47">
        <f>R65*(1+Paths!C66)+Labour!AF66*family_mult</f>
        <v/>
      </c>
      <c r="S66" s="63">
        <f>(N66+O66+P66+Q66+R66)/L66</f>
        <v/>
      </c>
      <c r="T66" s="47">
        <f>SUM(E66:H66)*Paths!J66</f>
        <v/>
      </c>
      <c r="U66" s="62">
        <f>Paths!K66</f>
        <v/>
      </c>
      <c r="V66" s="47">
        <f>IF(Gulf!E66=1,Gulf!B66,0)</f>
        <v/>
      </c>
      <c r="W66" s="47">
        <f>L66+V66</f>
        <v/>
      </c>
      <c r="X66" s="47">
        <f>W66+Labour!L66</f>
        <v/>
      </c>
    </row>
    <row r="67">
      <c r="A67" s="58" t="n">
        <v>1907</v>
      </c>
      <c r="B67" s="47">
        <f>L66</f>
        <v/>
      </c>
      <c r="C67" s="62">
        <f>Paths!D67</f>
        <v/>
      </c>
      <c r="D67" s="47">
        <f>B67*Paths!C67</f>
        <v/>
      </c>
      <c r="E67" s="47">
        <f>Paths!E67*IF($A67&gt;=1896,mig_scale,1)</f>
        <v/>
      </c>
      <c r="F67" s="47">
        <f>Paths!F67*IF($A67&gt;=1896,mig_scale,1)</f>
        <v/>
      </c>
      <c r="G67" s="47">
        <f>Paths!G67*IF($A67&gt;=1896,mig_scale,1)</f>
        <v/>
      </c>
      <c r="H67" s="47">
        <f>Paths!H67*IF($A67&gt;=1896,mig_scale,1)</f>
        <v/>
      </c>
      <c r="I67" s="47">
        <f>E67*Paths!I67+(F67+G67+H67)*dep_asia</f>
        <v/>
      </c>
      <c r="J67" s="62">
        <f>Labour!AL67</f>
        <v/>
      </c>
      <c r="K67" s="47">
        <f>SUM(E67:H67)-I67+J67</f>
        <v/>
      </c>
      <c r="L67" s="47">
        <f>B67+C67+D67+K67</f>
        <v/>
      </c>
      <c r="M67" s="63">
        <f>IF(B67&gt;0,L67/B67-1,0)</f>
        <v/>
      </c>
      <c r="N67" s="47">
        <f>N66*(1+Paths!C67)+F67*(1-dep_asia)</f>
        <v/>
      </c>
      <c r="O67" s="47">
        <f>O66*(1+Paths!C67)+G67*(1-dep_asia)</f>
        <v/>
      </c>
      <c r="P67" s="47">
        <f>P66*(1+Paths!C67)+H67*(1-dep_asia)</f>
        <v/>
      </c>
      <c r="Q67" s="47">
        <f>Q66*(1+Paths!C67)+Labour!AK67*gw_asian</f>
        <v/>
      </c>
      <c r="R67" s="47">
        <f>R66*(1+Paths!C67)+Labour!AF67*family_mult</f>
        <v/>
      </c>
      <c r="S67" s="63">
        <f>(N67+O67+P67+Q67+R67)/L67</f>
        <v/>
      </c>
      <c r="T67" s="47">
        <f>SUM(E67:H67)*Paths!J67</f>
        <v/>
      </c>
      <c r="U67" s="62">
        <f>Paths!K67</f>
        <v/>
      </c>
      <c r="V67" s="47">
        <f>IF(Gulf!E67=1,Gulf!B67,0)</f>
        <v/>
      </c>
      <c r="W67" s="47">
        <f>L67+V67</f>
        <v/>
      </c>
      <c r="X67" s="47">
        <f>W67+Labour!L67</f>
        <v/>
      </c>
    </row>
    <row r="68">
      <c r="A68" s="58" t="n">
        <v>1908</v>
      </c>
      <c r="B68" s="47">
        <f>L67</f>
        <v/>
      </c>
      <c r="C68" s="62">
        <f>Paths!D68</f>
        <v/>
      </c>
      <c r="D68" s="47">
        <f>B68*Paths!C68</f>
        <v/>
      </c>
      <c r="E68" s="47">
        <f>Paths!E68*IF($A68&gt;=1896,mig_scale,1)</f>
        <v/>
      </c>
      <c r="F68" s="47">
        <f>Paths!F68*IF($A68&gt;=1896,mig_scale,1)</f>
        <v/>
      </c>
      <c r="G68" s="47">
        <f>Paths!G68*IF($A68&gt;=1896,mig_scale,1)</f>
        <v/>
      </c>
      <c r="H68" s="47">
        <f>Paths!H68*IF($A68&gt;=1896,mig_scale,1)</f>
        <v/>
      </c>
      <c r="I68" s="47">
        <f>E68*Paths!I68+(F68+G68+H68)*dep_asia</f>
        <v/>
      </c>
      <c r="J68" s="62">
        <f>Labour!AL68</f>
        <v/>
      </c>
      <c r="K68" s="47">
        <f>SUM(E68:H68)-I68+J68</f>
        <v/>
      </c>
      <c r="L68" s="47">
        <f>B68+C68+D68+K68</f>
        <v/>
      </c>
      <c r="M68" s="63">
        <f>IF(B68&gt;0,L68/B68-1,0)</f>
        <v/>
      </c>
      <c r="N68" s="47">
        <f>N67*(1+Paths!C68)+F68*(1-dep_asia)</f>
        <v/>
      </c>
      <c r="O68" s="47">
        <f>O67*(1+Paths!C68)+G68*(1-dep_asia)</f>
        <v/>
      </c>
      <c r="P68" s="47">
        <f>P67*(1+Paths!C68)+H68*(1-dep_asia)</f>
        <v/>
      </c>
      <c r="Q68" s="47">
        <f>Q67*(1+Paths!C68)+Labour!AK68*gw_asian</f>
        <v/>
      </c>
      <c r="R68" s="47">
        <f>R67*(1+Paths!C68)+Labour!AF68*family_mult</f>
        <v/>
      </c>
      <c r="S68" s="63">
        <f>(N68+O68+P68+Q68+R68)/L68</f>
        <v/>
      </c>
      <c r="T68" s="47">
        <f>SUM(E68:H68)*Paths!J68</f>
        <v/>
      </c>
      <c r="U68" s="62">
        <f>Paths!K68</f>
        <v/>
      </c>
      <c r="V68" s="47">
        <f>IF(Gulf!E68=1,Gulf!B68,0)</f>
        <v/>
      </c>
      <c r="W68" s="47">
        <f>L68+V68</f>
        <v/>
      </c>
      <c r="X68" s="47">
        <f>W68+Labour!L68</f>
        <v/>
      </c>
    </row>
    <row r="69">
      <c r="A69" s="58" t="n">
        <v>1909</v>
      </c>
      <c r="B69" s="47">
        <f>L68</f>
        <v/>
      </c>
      <c r="C69" s="62">
        <f>Paths!D69</f>
        <v/>
      </c>
      <c r="D69" s="47">
        <f>B69*Paths!C69</f>
        <v/>
      </c>
      <c r="E69" s="47">
        <f>Paths!E69*IF($A69&gt;=1896,mig_scale,1)</f>
        <v/>
      </c>
      <c r="F69" s="47">
        <f>Paths!F69*IF($A69&gt;=1896,mig_scale,1)</f>
        <v/>
      </c>
      <c r="G69" s="47">
        <f>Paths!G69*IF($A69&gt;=1896,mig_scale,1)</f>
        <v/>
      </c>
      <c r="H69" s="47">
        <f>Paths!H69*IF($A69&gt;=1896,mig_scale,1)</f>
        <v/>
      </c>
      <c r="I69" s="47">
        <f>E69*Paths!I69+(F69+G69+H69)*dep_asia</f>
        <v/>
      </c>
      <c r="J69" s="62">
        <f>Labour!AL69</f>
        <v/>
      </c>
      <c r="K69" s="47">
        <f>SUM(E69:H69)-I69+J69</f>
        <v/>
      </c>
      <c r="L69" s="47">
        <f>B69+C69+D69+K69</f>
        <v/>
      </c>
      <c r="M69" s="63">
        <f>IF(B69&gt;0,L69/B69-1,0)</f>
        <v/>
      </c>
      <c r="N69" s="47">
        <f>N68*(1+Paths!C69)+F69*(1-dep_asia)</f>
        <v/>
      </c>
      <c r="O69" s="47">
        <f>O68*(1+Paths!C69)+G69*(1-dep_asia)</f>
        <v/>
      </c>
      <c r="P69" s="47">
        <f>P68*(1+Paths!C69)+H69*(1-dep_asia)</f>
        <v/>
      </c>
      <c r="Q69" s="47">
        <f>Q68*(1+Paths!C69)+Labour!AK69*gw_asian</f>
        <v/>
      </c>
      <c r="R69" s="47">
        <f>R68*(1+Paths!C69)+Labour!AF69*family_mult</f>
        <v/>
      </c>
      <c r="S69" s="63">
        <f>(N69+O69+P69+Q69+R69)/L69</f>
        <v/>
      </c>
      <c r="T69" s="47">
        <f>SUM(E69:H69)*Paths!J69</f>
        <v/>
      </c>
      <c r="U69" s="62">
        <f>Paths!K69</f>
        <v/>
      </c>
      <c r="V69" s="47">
        <f>IF(Gulf!E69=1,Gulf!B69,0)</f>
        <v/>
      </c>
      <c r="W69" s="47">
        <f>L69+V69</f>
        <v/>
      </c>
      <c r="X69" s="47">
        <f>W69+Labour!L69</f>
        <v/>
      </c>
    </row>
    <row r="70">
      <c r="A70" s="58" t="n">
        <v>1910</v>
      </c>
      <c r="B70" s="47">
        <f>L69</f>
        <v/>
      </c>
      <c r="C70" s="62">
        <f>Paths!D70</f>
        <v/>
      </c>
      <c r="D70" s="47">
        <f>B70*Paths!C70</f>
        <v/>
      </c>
      <c r="E70" s="47">
        <f>Paths!E70*IF($A70&gt;=1896,mig_scale,1)</f>
        <v/>
      </c>
      <c r="F70" s="47">
        <f>Paths!F70*IF($A70&gt;=1896,mig_scale,1)</f>
        <v/>
      </c>
      <c r="G70" s="47">
        <f>Paths!G70*IF($A70&gt;=1896,mig_scale,1)</f>
        <v/>
      </c>
      <c r="H70" s="47">
        <f>Paths!H70*IF($A70&gt;=1896,mig_scale,1)</f>
        <v/>
      </c>
      <c r="I70" s="47">
        <f>E70*Paths!I70+(F70+G70+H70)*dep_asia</f>
        <v/>
      </c>
      <c r="J70" s="62">
        <f>Labour!AL70</f>
        <v/>
      </c>
      <c r="K70" s="47">
        <f>SUM(E70:H70)-I70+J70</f>
        <v/>
      </c>
      <c r="L70" s="47">
        <f>B70+C70+D70+K70</f>
        <v/>
      </c>
      <c r="M70" s="63">
        <f>IF(B70&gt;0,L70/B70-1,0)</f>
        <v/>
      </c>
      <c r="N70" s="47">
        <f>N69*(1+Paths!C70)+F70*(1-dep_asia)</f>
        <v/>
      </c>
      <c r="O70" s="47">
        <f>O69*(1+Paths!C70)+G70*(1-dep_asia)</f>
        <v/>
      </c>
      <c r="P70" s="47">
        <f>P69*(1+Paths!C70)+H70*(1-dep_asia)</f>
        <v/>
      </c>
      <c r="Q70" s="47">
        <f>Q69*(1+Paths!C70)+Labour!AK70*gw_asian</f>
        <v/>
      </c>
      <c r="R70" s="47">
        <f>R69*(1+Paths!C70)+Labour!AF70*family_mult</f>
        <v/>
      </c>
      <c r="S70" s="63">
        <f>(N70+O70+P70+Q70+R70)/L70</f>
        <v/>
      </c>
      <c r="T70" s="47">
        <f>SUM(E70:H70)*Paths!J70</f>
        <v/>
      </c>
      <c r="U70" s="62">
        <f>Paths!K70</f>
        <v/>
      </c>
      <c r="V70" s="47">
        <f>IF(Gulf!E70=1,Gulf!B70,0)</f>
        <v/>
      </c>
      <c r="W70" s="47">
        <f>L70+V70</f>
        <v/>
      </c>
      <c r="X70" s="47">
        <f>W70+Labour!L70</f>
        <v/>
      </c>
    </row>
    <row r="71">
      <c r="A71" s="58" t="n">
        <v>1911</v>
      </c>
      <c r="B71" s="47">
        <f>L70</f>
        <v/>
      </c>
      <c r="C71" s="62">
        <f>Paths!D71</f>
        <v/>
      </c>
      <c r="D71" s="47">
        <f>B71*Paths!C71</f>
        <v/>
      </c>
      <c r="E71" s="47">
        <f>Paths!E71*IF($A71&gt;=1896,mig_scale,1)</f>
        <v/>
      </c>
      <c r="F71" s="47">
        <f>Paths!F71*IF($A71&gt;=1896,mig_scale,1)</f>
        <v/>
      </c>
      <c r="G71" s="47">
        <f>Paths!G71*IF($A71&gt;=1896,mig_scale,1)</f>
        <v/>
      </c>
      <c r="H71" s="47">
        <f>Paths!H71*IF($A71&gt;=1896,mig_scale,1)</f>
        <v/>
      </c>
      <c r="I71" s="47">
        <f>E71*Paths!I71+(F71+G71+H71)*dep_asia</f>
        <v/>
      </c>
      <c r="J71" s="62">
        <f>Labour!AL71</f>
        <v/>
      </c>
      <c r="K71" s="47">
        <f>SUM(E71:H71)-I71+J71</f>
        <v/>
      </c>
      <c r="L71" s="47">
        <f>B71+C71+D71+K71</f>
        <v/>
      </c>
      <c r="M71" s="63">
        <f>IF(B71&gt;0,L71/B71-1,0)</f>
        <v/>
      </c>
      <c r="N71" s="47">
        <f>N70*(1+Paths!C71)+F71*(1-dep_asia)</f>
        <v/>
      </c>
      <c r="O71" s="47">
        <f>O70*(1+Paths!C71)+G71*(1-dep_asia)</f>
        <v/>
      </c>
      <c r="P71" s="47">
        <f>P70*(1+Paths!C71)+H71*(1-dep_asia)</f>
        <v/>
      </c>
      <c r="Q71" s="47">
        <f>Q70*(1+Paths!C71)+Labour!AK71*gw_asian</f>
        <v/>
      </c>
      <c r="R71" s="47">
        <f>R70*(1+Paths!C71)+Labour!AF71*family_mult</f>
        <v/>
      </c>
      <c r="S71" s="63">
        <f>(N71+O71+P71+Q71+R71)/L71</f>
        <v/>
      </c>
      <c r="T71" s="47">
        <f>SUM(E71:H71)*Paths!J71</f>
        <v/>
      </c>
      <c r="U71" s="62">
        <f>Paths!K71</f>
        <v/>
      </c>
      <c r="V71" s="47">
        <f>IF(Gulf!E71=1,Gulf!B71,0)</f>
        <v/>
      </c>
      <c r="W71" s="47">
        <f>L71+V71</f>
        <v/>
      </c>
      <c r="X71" s="47">
        <f>W71+Labour!L71</f>
        <v/>
      </c>
    </row>
    <row r="72">
      <c r="A72" s="58" t="n">
        <v>1912</v>
      </c>
      <c r="B72" s="47">
        <f>L71</f>
        <v/>
      </c>
      <c r="C72" s="62">
        <f>Paths!D72</f>
        <v/>
      </c>
      <c r="D72" s="47">
        <f>B72*Paths!C72</f>
        <v/>
      </c>
      <c r="E72" s="47">
        <f>Paths!E72*IF($A72&gt;=1896,mig_scale,1)</f>
        <v/>
      </c>
      <c r="F72" s="47">
        <f>Paths!F72*IF($A72&gt;=1896,mig_scale,1)</f>
        <v/>
      </c>
      <c r="G72" s="47">
        <f>Paths!G72*IF($A72&gt;=1896,mig_scale,1)</f>
        <v/>
      </c>
      <c r="H72" s="47">
        <f>Paths!H72*IF($A72&gt;=1896,mig_scale,1)</f>
        <v/>
      </c>
      <c r="I72" s="47">
        <f>E72*Paths!I72+(F72+G72+H72)*dep_asia</f>
        <v/>
      </c>
      <c r="J72" s="62">
        <f>Labour!AL72</f>
        <v/>
      </c>
      <c r="K72" s="47">
        <f>SUM(E72:H72)-I72+J72</f>
        <v/>
      </c>
      <c r="L72" s="47">
        <f>B72+C72+D72+K72</f>
        <v/>
      </c>
      <c r="M72" s="63">
        <f>IF(B72&gt;0,L72/B72-1,0)</f>
        <v/>
      </c>
      <c r="N72" s="47">
        <f>N71*(1+Paths!C72)+F72*(1-dep_asia)</f>
        <v/>
      </c>
      <c r="O72" s="47">
        <f>O71*(1+Paths!C72)+G72*(1-dep_asia)</f>
        <v/>
      </c>
      <c r="P72" s="47">
        <f>P71*(1+Paths!C72)+H72*(1-dep_asia)</f>
        <v/>
      </c>
      <c r="Q72" s="47">
        <f>Q71*(1+Paths!C72)+Labour!AK72*gw_asian</f>
        <v/>
      </c>
      <c r="R72" s="47">
        <f>R71*(1+Paths!C72)+Labour!AF72*family_mult</f>
        <v/>
      </c>
      <c r="S72" s="63">
        <f>(N72+O72+P72+Q72+R72)/L72</f>
        <v/>
      </c>
      <c r="T72" s="47">
        <f>SUM(E72:H72)*Paths!J72</f>
        <v/>
      </c>
      <c r="U72" s="62">
        <f>Paths!K72</f>
        <v/>
      </c>
      <c r="V72" s="47">
        <f>IF(Gulf!E72=1,Gulf!B72,0)</f>
        <v/>
      </c>
      <c r="W72" s="47">
        <f>L72+V72</f>
        <v/>
      </c>
      <c r="X72" s="47">
        <f>W72+Labour!L72</f>
        <v/>
      </c>
    </row>
    <row r="73">
      <c r="A73" s="58" t="n">
        <v>1913</v>
      </c>
      <c r="B73" s="47">
        <f>L72</f>
        <v/>
      </c>
      <c r="C73" s="62">
        <f>Paths!D73</f>
        <v/>
      </c>
      <c r="D73" s="47">
        <f>B73*Paths!C73</f>
        <v/>
      </c>
      <c r="E73" s="47">
        <f>Paths!E73*IF($A73&gt;=1896,mig_scale,1)</f>
        <v/>
      </c>
      <c r="F73" s="47">
        <f>Paths!F73*IF($A73&gt;=1896,mig_scale,1)</f>
        <v/>
      </c>
      <c r="G73" s="47">
        <f>Paths!G73*IF($A73&gt;=1896,mig_scale,1)</f>
        <v/>
      </c>
      <c r="H73" s="47">
        <f>Paths!H73*IF($A73&gt;=1896,mig_scale,1)</f>
        <v/>
      </c>
      <c r="I73" s="47">
        <f>E73*Paths!I73+(F73+G73+H73)*dep_asia</f>
        <v/>
      </c>
      <c r="J73" s="62">
        <f>Labour!AL73</f>
        <v/>
      </c>
      <c r="K73" s="47">
        <f>SUM(E73:H73)-I73+J73</f>
        <v/>
      </c>
      <c r="L73" s="47">
        <f>B73+C73+D73+K73</f>
        <v/>
      </c>
      <c r="M73" s="63">
        <f>IF(B73&gt;0,L73/B73-1,0)</f>
        <v/>
      </c>
      <c r="N73" s="47">
        <f>N72*(1+Paths!C73)+F73*(1-dep_asia)</f>
        <v/>
      </c>
      <c r="O73" s="47">
        <f>O72*(1+Paths!C73)+G73*(1-dep_asia)</f>
        <v/>
      </c>
      <c r="P73" s="47">
        <f>P72*(1+Paths!C73)+H73*(1-dep_asia)</f>
        <v/>
      </c>
      <c r="Q73" s="47">
        <f>Q72*(1+Paths!C73)+Labour!AK73*gw_asian</f>
        <v/>
      </c>
      <c r="R73" s="47">
        <f>R72*(1+Paths!C73)+Labour!AF73*family_mult</f>
        <v/>
      </c>
      <c r="S73" s="63">
        <f>(N73+O73+P73+Q73+R73)/L73</f>
        <v/>
      </c>
      <c r="T73" s="47">
        <f>SUM(E73:H73)*Paths!J73</f>
        <v/>
      </c>
      <c r="U73" s="62">
        <f>Paths!K73</f>
        <v/>
      </c>
      <c r="V73" s="47">
        <f>IF(Gulf!E73=1,Gulf!B73,0)</f>
        <v/>
      </c>
      <c r="W73" s="47">
        <f>L73+V73</f>
        <v/>
      </c>
      <c r="X73" s="47">
        <f>W73+Labour!L73</f>
        <v/>
      </c>
    </row>
    <row r="74">
      <c r="A74" s="61" t="n">
        <v>1914</v>
      </c>
      <c r="B74" s="47">
        <f>L73</f>
        <v/>
      </c>
      <c r="C74" s="62">
        <f>Paths!D74</f>
        <v/>
      </c>
      <c r="D74" s="47">
        <f>B74*Paths!C74</f>
        <v/>
      </c>
      <c r="E74" s="47">
        <f>Paths!E74*IF($A74&gt;=1896,mig_scale,1)</f>
        <v/>
      </c>
      <c r="F74" s="47">
        <f>Paths!F74*IF($A74&gt;=1896,mig_scale,1)</f>
        <v/>
      </c>
      <c r="G74" s="47">
        <f>Paths!G74*IF($A74&gt;=1896,mig_scale,1)</f>
        <v/>
      </c>
      <c r="H74" s="47">
        <f>Paths!H74*IF($A74&gt;=1896,mig_scale,1)</f>
        <v/>
      </c>
      <c r="I74" s="47">
        <f>E74*Paths!I74+(F74+G74+H74)*dep_asia</f>
        <v/>
      </c>
      <c r="J74" s="62">
        <f>Labour!AL74</f>
        <v/>
      </c>
      <c r="K74" s="47">
        <f>SUM(E74:H74)-I74+J74</f>
        <v/>
      </c>
      <c r="L74" s="47">
        <f>B74+C74+D74+K74</f>
        <v/>
      </c>
      <c r="M74" s="63">
        <f>IF(B74&gt;0,L74/B74-1,0)</f>
        <v/>
      </c>
      <c r="N74" s="47">
        <f>N73*(1+Paths!C74)+F74*(1-dep_asia)</f>
        <v/>
      </c>
      <c r="O74" s="47">
        <f>O73*(1+Paths!C74)+G74*(1-dep_asia)</f>
        <v/>
      </c>
      <c r="P74" s="47">
        <f>P73*(1+Paths!C74)+H74*(1-dep_asia)</f>
        <v/>
      </c>
      <c r="Q74" s="47">
        <f>Q73*(1+Paths!C74)+Labour!AK74*gw_asian</f>
        <v/>
      </c>
      <c r="R74" s="47">
        <f>R73*(1+Paths!C74)+Labour!AF74*family_mult</f>
        <v/>
      </c>
      <c r="S74" s="63">
        <f>(N74+O74+P74+Q74+R74)/L74</f>
        <v/>
      </c>
      <c r="T74" s="47">
        <f>SUM(E74:H74)*Paths!J74</f>
        <v/>
      </c>
      <c r="U74" s="62">
        <f>Paths!K74</f>
        <v/>
      </c>
      <c r="V74" s="47">
        <f>IF(Gulf!E74=1,Gulf!B74,0)</f>
        <v/>
      </c>
      <c r="W74" s="47">
        <f>L74+V74</f>
        <v/>
      </c>
      <c r="X74" s="47">
        <f>W74+Labour!L74</f>
        <v/>
      </c>
    </row>
    <row r="75">
      <c r="A75" s="61" t="n">
        <v>1915</v>
      </c>
      <c r="B75" s="47">
        <f>L74</f>
        <v/>
      </c>
      <c r="C75" s="62">
        <f>Paths!D75</f>
        <v/>
      </c>
      <c r="D75" s="47">
        <f>B75*Paths!C75</f>
        <v/>
      </c>
      <c r="E75" s="47">
        <f>Paths!E75*IF($A75&gt;=1896,mig_scale,1)</f>
        <v/>
      </c>
      <c r="F75" s="47">
        <f>Paths!F75*IF($A75&gt;=1896,mig_scale,1)</f>
        <v/>
      </c>
      <c r="G75" s="47">
        <f>Paths!G75*IF($A75&gt;=1896,mig_scale,1)</f>
        <v/>
      </c>
      <c r="H75" s="47">
        <f>Paths!H75*IF($A75&gt;=1896,mig_scale,1)</f>
        <v/>
      </c>
      <c r="I75" s="47">
        <f>E75*Paths!I75+(F75+G75+H75)*dep_asia</f>
        <v/>
      </c>
      <c r="J75" s="62">
        <f>Labour!AL75</f>
        <v/>
      </c>
      <c r="K75" s="47">
        <f>SUM(E75:H75)-I75+J75</f>
        <v/>
      </c>
      <c r="L75" s="47">
        <f>B75+C75+D75+K75</f>
        <v/>
      </c>
      <c r="M75" s="63">
        <f>IF(B75&gt;0,L75/B75-1,0)</f>
        <v/>
      </c>
      <c r="N75" s="47">
        <f>N74*(1+Paths!C75)+F75*(1-dep_asia)</f>
        <v/>
      </c>
      <c r="O75" s="47">
        <f>O74*(1+Paths!C75)+G75*(1-dep_asia)</f>
        <v/>
      </c>
      <c r="P75" s="47">
        <f>P74*(1+Paths!C75)+H75*(1-dep_asia)</f>
        <v/>
      </c>
      <c r="Q75" s="47">
        <f>Q74*(1+Paths!C75)+Labour!AK75*gw_asian</f>
        <v/>
      </c>
      <c r="R75" s="47">
        <f>R74*(1+Paths!C75)+Labour!AF75*family_mult</f>
        <v/>
      </c>
      <c r="S75" s="63">
        <f>(N75+O75+P75+Q75+R75)/L75</f>
        <v/>
      </c>
      <c r="T75" s="47">
        <f>SUM(E75:H75)*Paths!J75</f>
        <v/>
      </c>
      <c r="U75" s="62">
        <f>Paths!K75</f>
        <v/>
      </c>
      <c r="V75" s="47">
        <f>IF(Gulf!E75=1,Gulf!B75,0)</f>
        <v/>
      </c>
      <c r="W75" s="47">
        <f>L75+V75</f>
        <v/>
      </c>
      <c r="X75" s="47">
        <f>W75+Labour!L75</f>
        <v/>
      </c>
    </row>
    <row r="76">
      <c r="A76" s="61" t="n">
        <v>1916</v>
      </c>
      <c r="B76" s="47">
        <f>L75</f>
        <v/>
      </c>
      <c r="C76" s="62">
        <f>Paths!D76</f>
        <v/>
      </c>
      <c r="D76" s="47">
        <f>B76*Paths!C76</f>
        <v/>
      </c>
      <c r="E76" s="47">
        <f>Paths!E76*IF($A76&gt;=1896,mig_scale,1)</f>
        <v/>
      </c>
      <c r="F76" s="47">
        <f>Paths!F76*IF($A76&gt;=1896,mig_scale,1)</f>
        <v/>
      </c>
      <c r="G76" s="47">
        <f>Paths!G76*IF($A76&gt;=1896,mig_scale,1)</f>
        <v/>
      </c>
      <c r="H76" s="47">
        <f>Paths!H76*IF($A76&gt;=1896,mig_scale,1)</f>
        <v/>
      </c>
      <c r="I76" s="47">
        <f>E76*Paths!I76+(F76+G76+H76)*dep_asia</f>
        <v/>
      </c>
      <c r="J76" s="62">
        <f>Labour!AL76</f>
        <v/>
      </c>
      <c r="K76" s="47">
        <f>SUM(E76:H76)-I76+J76</f>
        <v/>
      </c>
      <c r="L76" s="47">
        <f>B76+C76+D76+K76</f>
        <v/>
      </c>
      <c r="M76" s="63">
        <f>IF(B76&gt;0,L76/B76-1,0)</f>
        <v/>
      </c>
      <c r="N76" s="47">
        <f>N75*(1+Paths!C76)+F76*(1-dep_asia)</f>
        <v/>
      </c>
      <c r="O76" s="47">
        <f>O75*(1+Paths!C76)+G76*(1-dep_asia)</f>
        <v/>
      </c>
      <c r="P76" s="47">
        <f>P75*(1+Paths!C76)+H76*(1-dep_asia)</f>
        <v/>
      </c>
      <c r="Q76" s="47">
        <f>Q75*(1+Paths!C76)+Labour!AK76*gw_asian</f>
        <v/>
      </c>
      <c r="R76" s="47">
        <f>R75*(1+Paths!C76)+Labour!AF76*family_mult</f>
        <v/>
      </c>
      <c r="S76" s="63">
        <f>(N76+O76+P76+Q76+R76)/L76</f>
        <v/>
      </c>
      <c r="T76" s="47">
        <f>SUM(E76:H76)*Paths!J76</f>
        <v/>
      </c>
      <c r="U76" s="62">
        <f>Paths!K76</f>
        <v/>
      </c>
      <c r="V76" s="47">
        <f>IF(Gulf!E76=1,Gulf!B76,0)</f>
        <v/>
      </c>
      <c r="W76" s="47">
        <f>L76+V76</f>
        <v/>
      </c>
      <c r="X76" s="47">
        <f>W76+Labour!L76</f>
        <v/>
      </c>
    </row>
    <row r="77">
      <c r="A77" s="61" t="n">
        <v>1917</v>
      </c>
      <c r="B77" s="47">
        <f>L76</f>
        <v/>
      </c>
      <c r="C77" s="62">
        <f>Paths!D77</f>
        <v/>
      </c>
      <c r="D77" s="47">
        <f>B77*Paths!C77</f>
        <v/>
      </c>
      <c r="E77" s="47">
        <f>Paths!E77*IF($A77&gt;=1896,mig_scale,1)</f>
        <v/>
      </c>
      <c r="F77" s="47">
        <f>Paths!F77*IF($A77&gt;=1896,mig_scale,1)</f>
        <v/>
      </c>
      <c r="G77" s="47">
        <f>Paths!G77*IF($A77&gt;=1896,mig_scale,1)</f>
        <v/>
      </c>
      <c r="H77" s="47">
        <f>Paths!H77*IF($A77&gt;=1896,mig_scale,1)</f>
        <v/>
      </c>
      <c r="I77" s="47">
        <f>E77*Paths!I77+(F77+G77+H77)*dep_asia</f>
        <v/>
      </c>
      <c r="J77" s="62">
        <f>Labour!AL77</f>
        <v/>
      </c>
      <c r="K77" s="47">
        <f>SUM(E77:H77)-I77+J77</f>
        <v/>
      </c>
      <c r="L77" s="47">
        <f>B77+C77+D77+K77</f>
        <v/>
      </c>
      <c r="M77" s="63">
        <f>IF(B77&gt;0,L77/B77-1,0)</f>
        <v/>
      </c>
      <c r="N77" s="47">
        <f>N76*(1+Paths!C77)+F77*(1-dep_asia)</f>
        <v/>
      </c>
      <c r="O77" s="47">
        <f>O76*(1+Paths!C77)+G77*(1-dep_asia)</f>
        <v/>
      </c>
      <c r="P77" s="47">
        <f>P76*(1+Paths!C77)+H77*(1-dep_asia)</f>
        <v/>
      </c>
      <c r="Q77" s="47">
        <f>Q76*(1+Paths!C77)+Labour!AK77*gw_asian</f>
        <v/>
      </c>
      <c r="R77" s="47">
        <f>R76*(1+Paths!C77)+Labour!AF77*family_mult</f>
        <v/>
      </c>
      <c r="S77" s="63">
        <f>(N77+O77+P77+Q77+R77)/L77</f>
        <v/>
      </c>
      <c r="T77" s="47">
        <f>SUM(E77:H77)*Paths!J77</f>
        <v/>
      </c>
      <c r="U77" s="62">
        <f>Paths!K77</f>
        <v/>
      </c>
      <c r="V77" s="47">
        <f>IF(Gulf!E77=1,Gulf!B77,0)</f>
        <v/>
      </c>
      <c r="W77" s="47">
        <f>L77+V77</f>
        <v/>
      </c>
      <c r="X77" s="47">
        <f>W77+Labour!L77</f>
        <v/>
      </c>
    </row>
    <row r="78">
      <c r="A78" s="61" t="n">
        <v>1918</v>
      </c>
      <c r="B78" s="47">
        <f>L77</f>
        <v/>
      </c>
      <c r="C78" s="62">
        <f>Paths!D78</f>
        <v/>
      </c>
      <c r="D78" s="47">
        <f>B78*Paths!C78</f>
        <v/>
      </c>
      <c r="E78" s="47">
        <f>Paths!E78*IF($A78&gt;=1896,mig_scale,1)</f>
        <v/>
      </c>
      <c r="F78" s="47">
        <f>Paths!F78*IF($A78&gt;=1896,mig_scale,1)</f>
        <v/>
      </c>
      <c r="G78" s="47">
        <f>Paths!G78*IF($A78&gt;=1896,mig_scale,1)</f>
        <v/>
      </c>
      <c r="H78" s="47">
        <f>Paths!H78*IF($A78&gt;=1896,mig_scale,1)</f>
        <v/>
      </c>
      <c r="I78" s="47">
        <f>E78*Paths!I78+(F78+G78+H78)*dep_asia</f>
        <v/>
      </c>
      <c r="J78" s="62">
        <f>Labour!AL78</f>
        <v/>
      </c>
      <c r="K78" s="47">
        <f>SUM(E78:H78)-I78+J78</f>
        <v/>
      </c>
      <c r="L78" s="47">
        <f>B78+C78+D78+K78</f>
        <v/>
      </c>
      <c r="M78" s="63">
        <f>IF(B78&gt;0,L78/B78-1,0)</f>
        <v/>
      </c>
      <c r="N78" s="47">
        <f>N77*(1+Paths!C78)+F78*(1-dep_asia)</f>
        <v/>
      </c>
      <c r="O78" s="47">
        <f>O77*(1+Paths!C78)+G78*(1-dep_asia)</f>
        <v/>
      </c>
      <c r="P78" s="47">
        <f>P77*(1+Paths!C78)+H78*(1-dep_asia)</f>
        <v/>
      </c>
      <c r="Q78" s="47">
        <f>Q77*(1+Paths!C78)+Labour!AK78*gw_asian</f>
        <v/>
      </c>
      <c r="R78" s="47">
        <f>R77*(1+Paths!C78)+Labour!AF78*family_mult</f>
        <v/>
      </c>
      <c r="S78" s="63">
        <f>(N78+O78+P78+Q78+R78)/L78</f>
        <v/>
      </c>
      <c r="T78" s="47">
        <f>SUM(E78:H78)*Paths!J78</f>
        <v/>
      </c>
      <c r="U78" s="62">
        <f>Paths!K78</f>
        <v/>
      </c>
      <c r="V78" s="47">
        <f>IF(Gulf!E78=1,Gulf!B78,0)</f>
        <v/>
      </c>
      <c r="W78" s="47">
        <f>L78+V78</f>
        <v/>
      </c>
      <c r="X78" s="47">
        <f>W78+Labour!L78</f>
        <v/>
      </c>
    </row>
    <row r="79">
      <c r="A79" s="61" t="n">
        <v>1919</v>
      </c>
      <c r="B79" s="47">
        <f>L78</f>
        <v/>
      </c>
      <c r="C79" s="62">
        <f>Paths!D79</f>
        <v/>
      </c>
      <c r="D79" s="47">
        <f>B79*Paths!C79</f>
        <v/>
      </c>
      <c r="E79" s="47">
        <f>Paths!E79*IF($A79&gt;=1896,mig_scale,1)</f>
        <v/>
      </c>
      <c r="F79" s="47">
        <f>Paths!F79*IF($A79&gt;=1896,mig_scale,1)</f>
        <v/>
      </c>
      <c r="G79" s="47">
        <f>Paths!G79*IF($A79&gt;=1896,mig_scale,1)</f>
        <v/>
      </c>
      <c r="H79" s="47">
        <f>Paths!H79*IF($A79&gt;=1896,mig_scale,1)</f>
        <v/>
      </c>
      <c r="I79" s="47">
        <f>E79*Paths!I79+(F79+G79+H79)*dep_asia</f>
        <v/>
      </c>
      <c r="J79" s="62">
        <f>Labour!AL79</f>
        <v/>
      </c>
      <c r="K79" s="47">
        <f>SUM(E79:H79)-I79+J79</f>
        <v/>
      </c>
      <c r="L79" s="47">
        <f>B79+C79+D79+K79</f>
        <v/>
      </c>
      <c r="M79" s="63">
        <f>IF(B79&gt;0,L79/B79-1,0)</f>
        <v/>
      </c>
      <c r="N79" s="47">
        <f>N78*(1+Paths!C79)+F79*(1-dep_asia)</f>
        <v/>
      </c>
      <c r="O79" s="47">
        <f>O78*(1+Paths!C79)+G79*(1-dep_asia)</f>
        <v/>
      </c>
      <c r="P79" s="47">
        <f>P78*(1+Paths!C79)+H79*(1-dep_asia)</f>
        <v/>
      </c>
      <c r="Q79" s="47">
        <f>Q78*(1+Paths!C79)+Labour!AK79*gw_asian</f>
        <v/>
      </c>
      <c r="R79" s="47">
        <f>R78*(1+Paths!C79)+Labour!AF79*family_mult</f>
        <v/>
      </c>
      <c r="S79" s="63">
        <f>(N79+O79+P79+Q79+R79)/L79</f>
        <v/>
      </c>
      <c r="T79" s="47">
        <f>SUM(E79:H79)*Paths!J79</f>
        <v/>
      </c>
      <c r="U79" s="62">
        <f>Paths!K79</f>
        <v/>
      </c>
      <c r="V79" s="47">
        <f>IF(Gulf!E79=1,Gulf!B79,0)</f>
        <v/>
      </c>
      <c r="W79" s="47">
        <f>L79+V79</f>
        <v/>
      </c>
      <c r="X79" s="47">
        <f>W79+Labour!L79</f>
        <v/>
      </c>
    </row>
    <row r="80">
      <c r="A80" s="61" t="n">
        <v>1920</v>
      </c>
      <c r="B80" s="47">
        <f>L79</f>
        <v/>
      </c>
      <c r="C80" s="62">
        <f>Paths!D80</f>
        <v/>
      </c>
      <c r="D80" s="47">
        <f>B80*Paths!C80</f>
        <v/>
      </c>
      <c r="E80" s="47">
        <f>Paths!E80*IF($A80&gt;=1896,mig_scale,1)</f>
        <v/>
      </c>
      <c r="F80" s="47">
        <f>Paths!F80*IF($A80&gt;=1896,mig_scale,1)</f>
        <v/>
      </c>
      <c r="G80" s="47">
        <f>Paths!G80*IF($A80&gt;=1896,mig_scale,1)</f>
        <v/>
      </c>
      <c r="H80" s="47">
        <f>Paths!H80*IF($A80&gt;=1896,mig_scale,1)</f>
        <v/>
      </c>
      <c r="I80" s="47">
        <f>E80*Paths!I80+(F80+G80+H80)*dep_asia</f>
        <v/>
      </c>
      <c r="J80" s="62">
        <f>Labour!AL80</f>
        <v/>
      </c>
      <c r="K80" s="47">
        <f>SUM(E80:H80)-I80+J80</f>
        <v/>
      </c>
      <c r="L80" s="47">
        <f>B80+C80+D80+K80</f>
        <v/>
      </c>
      <c r="M80" s="63">
        <f>IF(B80&gt;0,L80/B80-1,0)</f>
        <v/>
      </c>
      <c r="N80" s="47">
        <f>N79*(1+Paths!C80)+F80*(1-dep_asia)</f>
        <v/>
      </c>
      <c r="O80" s="47">
        <f>O79*(1+Paths!C80)+G80*(1-dep_asia)</f>
        <v/>
      </c>
      <c r="P80" s="47">
        <f>P79*(1+Paths!C80)+H80*(1-dep_asia)</f>
        <v/>
      </c>
      <c r="Q80" s="47">
        <f>Q79*(1+Paths!C80)+Labour!AK80*gw_asian</f>
        <v/>
      </c>
      <c r="R80" s="47">
        <f>R79*(1+Paths!C80)+Labour!AF80*family_mult</f>
        <v/>
      </c>
      <c r="S80" s="63">
        <f>(N80+O80+P80+Q80+R80)/L80</f>
        <v/>
      </c>
      <c r="T80" s="47">
        <f>SUM(E80:H80)*Paths!J80</f>
        <v/>
      </c>
      <c r="U80" s="62">
        <f>Paths!K80</f>
        <v/>
      </c>
      <c r="V80" s="47">
        <f>IF(Gulf!E80=1,Gulf!B80,0)</f>
        <v/>
      </c>
      <c r="W80" s="47">
        <f>L80+V80</f>
        <v/>
      </c>
      <c r="X80" s="47">
        <f>W80+Labour!L80</f>
        <v/>
      </c>
    </row>
    <row r="81">
      <c r="A81" s="61" t="n">
        <v>1921</v>
      </c>
      <c r="B81" s="47">
        <f>L80</f>
        <v/>
      </c>
      <c r="C81" s="62">
        <f>Paths!D81</f>
        <v/>
      </c>
      <c r="D81" s="47">
        <f>B81*Paths!C81</f>
        <v/>
      </c>
      <c r="E81" s="47">
        <f>Paths!E81*IF($A81&gt;=1896,mig_scale,1)</f>
        <v/>
      </c>
      <c r="F81" s="47">
        <f>Paths!F81*IF($A81&gt;=1896,mig_scale,1)</f>
        <v/>
      </c>
      <c r="G81" s="47">
        <f>Paths!G81*IF($A81&gt;=1896,mig_scale,1)</f>
        <v/>
      </c>
      <c r="H81" s="47">
        <f>Paths!H81*IF($A81&gt;=1896,mig_scale,1)</f>
        <v/>
      </c>
      <c r="I81" s="47">
        <f>E81*Paths!I81+(F81+G81+H81)*dep_asia</f>
        <v/>
      </c>
      <c r="J81" s="62">
        <f>Labour!AL81</f>
        <v/>
      </c>
      <c r="K81" s="47">
        <f>SUM(E81:H81)-I81+J81</f>
        <v/>
      </c>
      <c r="L81" s="47">
        <f>B81+C81+D81+K81</f>
        <v/>
      </c>
      <c r="M81" s="63">
        <f>IF(B81&gt;0,L81/B81-1,0)</f>
        <v/>
      </c>
      <c r="N81" s="47">
        <f>N80*(1+Paths!C81)+F81*(1-dep_asia)</f>
        <v/>
      </c>
      <c r="O81" s="47">
        <f>O80*(1+Paths!C81)+G81*(1-dep_asia)</f>
        <v/>
      </c>
      <c r="P81" s="47">
        <f>P80*(1+Paths!C81)+H81*(1-dep_asia)</f>
        <v/>
      </c>
      <c r="Q81" s="47">
        <f>Q80*(1+Paths!C81)+Labour!AK81*gw_asian</f>
        <v/>
      </c>
      <c r="R81" s="47">
        <f>R80*(1+Paths!C81)+Labour!AF81*family_mult</f>
        <v/>
      </c>
      <c r="S81" s="63">
        <f>(N81+O81+P81+Q81+R81)/L81</f>
        <v/>
      </c>
      <c r="T81" s="47">
        <f>SUM(E81:H81)*Paths!J81</f>
        <v/>
      </c>
      <c r="U81" s="62">
        <f>Paths!K81</f>
        <v/>
      </c>
      <c r="V81" s="47">
        <f>IF(Gulf!E81=1,Gulf!B81,0)</f>
        <v/>
      </c>
      <c r="W81" s="47">
        <f>L81+V81</f>
        <v/>
      </c>
      <c r="X81" s="47">
        <f>W81+Labour!L81</f>
        <v/>
      </c>
    </row>
    <row r="82">
      <c r="A82" s="61" t="n">
        <v>1922</v>
      </c>
      <c r="B82" s="47">
        <f>L81</f>
        <v/>
      </c>
      <c r="C82" s="62">
        <f>Paths!D82</f>
        <v/>
      </c>
      <c r="D82" s="47">
        <f>B82*Paths!C82</f>
        <v/>
      </c>
      <c r="E82" s="47">
        <f>Paths!E82*IF($A82&gt;=1896,mig_scale,1)</f>
        <v/>
      </c>
      <c r="F82" s="47">
        <f>Paths!F82*IF($A82&gt;=1896,mig_scale,1)</f>
        <v/>
      </c>
      <c r="G82" s="47">
        <f>Paths!G82*IF($A82&gt;=1896,mig_scale,1)</f>
        <v/>
      </c>
      <c r="H82" s="47">
        <f>Paths!H82*IF($A82&gt;=1896,mig_scale,1)</f>
        <v/>
      </c>
      <c r="I82" s="47">
        <f>E82*Paths!I82+(F82+G82+H82)*dep_asia</f>
        <v/>
      </c>
      <c r="J82" s="62">
        <f>Labour!AL82</f>
        <v/>
      </c>
      <c r="K82" s="47">
        <f>SUM(E82:H82)-I82+J82</f>
        <v/>
      </c>
      <c r="L82" s="47">
        <f>B82+C82+D82+K82</f>
        <v/>
      </c>
      <c r="M82" s="63">
        <f>IF(B82&gt;0,L82/B82-1,0)</f>
        <v/>
      </c>
      <c r="N82" s="47">
        <f>N81*(1+Paths!C82)+F82*(1-dep_asia)</f>
        <v/>
      </c>
      <c r="O82" s="47">
        <f>O81*(1+Paths!C82)+G82*(1-dep_asia)</f>
        <v/>
      </c>
      <c r="P82" s="47">
        <f>P81*(1+Paths!C82)+H82*(1-dep_asia)</f>
        <v/>
      </c>
      <c r="Q82" s="47">
        <f>Q81*(1+Paths!C82)+Labour!AK82*gw_asian</f>
        <v/>
      </c>
      <c r="R82" s="47">
        <f>R81*(1+Paths!C82)+Labour!AF82*family_mult</f>
        <v/>
      </c>
      <c r="S82" s="63">
        <f>(N82+O82+P82+Q82+R82)/L82</f>
        <v/>
      </c>
      <c r="T82" s="47">
        <f>SUM(E82:H82)*Paths!J82</f>
        <v/>
      </c>
      <c r="U82" s="62">
        <f>Paths!K82</f>
        <v/>
      </c>
      <c r="V82" s="47">
        <f>IF(Gulf!E82=1,Gulf!B82,0)</f>
        <v/>
      </c>
      <c r="W82" s="47">
        <f>L82+V82</f>
        <v/>
      </c>
      <c r="X82" s="47">
        <f>W82+Labour!L82</f>
        <v/>
      </c>
    </row>
    <row r="83">
      <c r="A83" s="58" t="n">
        <v>1923</v>
      </c>
      <c r="B83" s="47">
        <f>L82</f>
        <v/>
      </c>
      <c r="C83" s="62">
        <f>Paths!D83</f>
        <v/>
      </c>
      <c r="D83" s="47">
        <f>B83*Paths!C83</f>
        <v/>
      </c>
      <c r="E83" s="47">
        <f>Paths!E83*IF($A83&gt;=1896,mig_scale,1)</f>
        <v/>
      </c>
      <c r="F83" s="47">
        <f>Paths!F83*IF($A83&gt;=1896,mig_scale,1)</f>
        <v/>
      </c>
      <c r="G83" s="47">
        <f>Paths!G83*IF($A83&gt;=1896,mig_scale,1)</f>
        <v/>
      </c>
      <c r="H83" s="47">
        <f>Paths!H83*IF($A83&gt;=1896,mig_scale,1)</f>
        <v/>
      </c>
      <c r="I83" s="47">
        <f>E83*Paths!I83+(F83+G83+H83)*dep_asia</f>
        <v/>
      </c>
      <c r="J83" s="62">
        <f>Labour!AL83</f>
        <v/>
      </c>
      <c r="K83" s="47">
        <f>SUM(E83:H83)-I83+J83</f>
        <v/>
      </c>
      <c r="L83" s="47">
        <f>B83+C83+D83+K83</f>
        <v/>
      </c>
      <c r="M83" s="63">
        <f>IF(B83&gt;0,L83/B83-1,0)</f>
        <v/>
      </c>
      <c r="N83" s="47">
        <f>N82*(1+Paths!C83)+F83*(1-dep_asia)</f>
        <v/>
      </c>
      <c r="O83" s="47">
        <f>O82*(1+Paths!C83)+G83*(1-dep_asia)</f>
        <v/>
      </c>
      <c r="P83" s="47">
        <f>P82*(1+Paths!C83)+H83*(1-dep_asia)</f>
        <v/>
      </c>
      <c r="Q83" s="47">
        <f>Q82*(1+Paths!C83)+Labour!AK83*gw_asian</f>
        <v/>
      </c>
      <c r="R83" s="47">
        <f>R82*(1+Paths!C83)+Labour!AF83*family_mult</f>
        <v/>
      </c>
      <c r="S83" s="63">
        <f>(N83+O83+P83+Q83+R83)/L83</f>
        <v/>
      </c>
      <c r="T83" s="47">
        <f>SUM(E83:H83)*Paths!J83</f>
        <v/>
      </c>
      <c r="U83" s="62">
        <f>Paths!K83</f>
        <v/>
      </c>
      <c r="V83" s="47">
        <f>IF(Gulf!E83=1,Gulf!B83,0)</f>
        <v/>
      </c>
      <c r="W83" s="47">
        <f>L83+V83</f>
        <v/>
      </c>
      <c r="X83" s="47">
        <f>W83+Labour!L83</f>
        <v/>
      </c>
    </row>
    <row r="84">
      <c r="A84" s="58" t="n">
        <v>1924</v>
      </c>
      <c r="B84" s="47">
        <f>L83</f>
        <v/>
      </c>
      <c r="C84" s="62">
        <f>Paths!D84</f>
        <v/>
      </c>
      <c r="D84" s="47">
        <f>B84*Paths!C84</f>
        <v/>
      </c>
      <c r="E84" s="47">
        <f>Paths!E84*IF($A84&gt;=1896,mig_scale,1)</f>
        <v/>
      </c>
      <c r="F84" s="47">
        <f>Paths!F84*IF($A84&gt;=1896,mig_scale,1)</f>
        <v/>
      </c>
      <c r="G84" s="47">
        <f>Paths!G84*IF($A84&gt;=1896,mig_scale,1)</f>
        <v/>
      </c>
      <c r="H84" s="47">
        <f>Paths!H84*IF($A84&gt;=1896,mig_scale,1)</f>
        <v/>
      </c>
      <c r="I84" s="47">
        <f>E84*Paths!I84+(F84+G84+H84)*dep_asia</f>
        <v/>
      </c>
      <c r="J84" s="62">
        <f>Labour!AL84</f>
        <v/>
      </c>
      <c r="K84" s="47">
        <f>SUM(E84:H84)-I84+J84</f>
        <v/>
      </c>
      <c r="L84" s="47">
        <f>B84+C84+D84+K84</f>
        <v/>
      </c>
      <c r="M84" s="63">
        <f>IF(B84&gt;0,L84/B84-1,0)</f>
        <v/>
      </c>
      <c r="N84" s="47">
        <f>N83*(1+Paths!C84)+F84*(1-dep_asia)</f>
        <v/>
      </c>
      <c r="O84" s="47">
        <f>O83*(1+Paths!C84)+G84*(1-dep_asia)</f>
        <v/>
      </c>
      <c r="P84" s="47">
        <f>P83*(1+Paths!C84)+H84*(1-dep_asia)</f>
        <v/>
      </c>
      <c r="Q84" s="47">
        <f>Q83*(1+Paths!C84)+Labour!AK84*gw_asian</f>
        <v/>
      </c>
      <c r="R84" s="47">
        <f>R83*(1+Paths!C84)+Labour!AF84*family_mult</f>
        <v/>
      </c>
      <c r="S84" s="63">
        <f>(N84+O84+P84+Q84+R84)/L84</f>
        <v/>
      </c>
      <c r="T84" s="47">
        <f>SUM(E84:H84)*Paths!J84</f>
        <v/>
      </c>
      <c r="U84" s="62">
        <f>Paths!K84</f>
        <v/>
      </c>
      <c r="V84" s="47">
        <f>IF(Gulf!E84=1,Gulf!B84,0)</f>
        <v/>
      </c>
      <c r="W84" s="47">
        <f>L84+V84</f>
        <v/>
      </c>
      <c r="X84" s="47">
        <f>W84+Labour!L84</f>
        <v/>
      </c>
    </row>
    <row r="85">
      <c r="A85" s="58" t="n">
        <v>1925</v>
      </c>
      <c r="B85" s="47">
        <f>L84</f>
        <v/>
      </c>
      <c r="C85" s="62">
        <f>Paths!D85</f>
        <v/>
      </c>
      <c r="D85" s="47">
        <f>B85*Paths!C85</f>
        <v/>
      </c>
      <c r="E85" s="47">
        <f>Paths!E85*IF($A85&gt;=1896,mig_scale,1)</f>
        <v/>
      </c>
      <c r="F85" s="47">
        <f>Paths!F85*IF($A85&gt;=1896,mig_scale,1)</f>
        <v/>
      </c>
      <c r="G85" s="47">
        <f>Paths!G85*IF($A85&gt;=1896,mig_scale,1)</f>
        <v/>
      </c>
      <c r="H85" s="47">
        <f>Paths!H85*IF($A85&gt;=1896,mig_scale,1)</f>
        <v/>
      </c>
      <c r="I85" s="47">
        <f>E85*Paths!I85+(F85+G85+H85)*dep_asia</f>
        <v/>
      </c>
      <c r="J85" s="62">
        <f>Labour!AL85</f>
        <v/>
      </c>
      <c r="K85" s="47">
        <f>SUM(E85:H85)-I85+J85</f>
        <v/>
      </c>
      <c r="L85" s="47">
        <f>B85+C85+D85+K85</f>
        <v/>
      </c>
      <c r="M85" s="63">
        <f>IF(B85&gt;0,L85/B85-1,0)</f>
        <v/>
      </c>
      <c r="N85" s="47">
        <f>N84*(1+Paths!C85)+F85*(1-dep_asia)</f>
        <v/>
      </c>
      <c r="O85" s="47">
        <f>O84*(1+Paths!C85)+G85*(1-dep_asia)</f>
        <v/>
      </c>
      <c r="P85" s="47">
        <f>P84*(1+Paths!C85)+H85*(1-dep_asia)</f>
        <v/>
      </c>
      <c r="Q85" s="47">
        <f>Q84*(1+Paths!C85)+Labour!AK85*gw_asian</f>
        <v/>
      </c>
      <c r="R85" s="47">
        <f>R84*(1+Paths!C85)+Labour!AF85*family_mult</f>
        <v/>
      </c>
      <c r="S85" s="63">
        <f>(N85+O85+P85+Q85+R85)/L85</f>
        <v/>
      </c>
      <c r="T85" s="47">
        <f>SUM(E85:H85)*Paths!J85</f>
        <v/>
      </c>
      <c r="U85" s="62">
        <f>Paths!K85</f>
        <v/>
      </c>
      <c r="V85" s="47">
        <f>IF(Gulf!E85=1,Gulf!B85,0)</f>
        <v/>
      </c>
      <c r="W85" s="47">
        <f>L85+V85</f>
        <v/>
      </c>
      <c r="X85" s="47">
        <f>W85+Labour!L85</f>
        <v/>
      </c>
    </row>
    <row r="86">
      <c r="A86" s="58" t="n">
        <v>1926</v>
      </c>
      <c r="B86" s="47">
        <f>L85</f>
        <v/>
      </c>
      <c r="C86" s="62">
        <f>Paths!D86</f>
        <v/>
      </c>
      <c r="D86" s="47">
        <f>B86*Paths!C86</f>
        <v/>
      </c>
      <c r="E86" s="47">
        <f>Paths!E86*IF($A86&gt;=1896,mig_scale,1)</f>
        <v/>
      </c>
      <c r="F86" s="47">
        <f>Paths!F86*IF($A86&gt;=1896,mig_scale,1)</f>
        <v/>
      </c>
      <c r="G86" s="47">
        <f>Paths!G86*IF($A86&gt;=1896,mig_scale,1)</f>
        <v/>
      </c>
      <c r="H86" s="47">
        <f>Paths!H86*IF($A86&gt;=1896,mig_scale,1)</f>
        <v/>
      </c>
      <c r="I86" s="47">
        <f>E86*Paths!I86+(F86+G86+H86)*dep_asia</f>
        <v/>
      </c>
      <c r="J86" s="62">
        <f>Labour!AL86</f>
        <v/>
      </c>
      <c r="K86" s="47">
        <f>SUM(E86:H86)-I86+J86</f>
        <v/>
      </c>
      <c r="L86" s="47">
        <f>B86+C86+D86+K86</f>
        <v/>
      </c>
      <c r="M86" s="63">
        <f>IF(B86&gt;0,L86/B86-1,0)</f>
        <v/>
      </c>
      <c r="N86" s="47">
        <f>N85*(1+Paths!C86)+F86*(1-dep_asia)</f>
        <v/>
      </c>
      <c r="O86" s="47">
        <f>O85*(1+Paths!C86)+G86*(1-dep_asia)</f>
        <v/>
      </c>
      <c r="P86" s="47">
        <f>P85*(1+Paths!C86)+H86*(1-dep_asia)</f>
        <v/>
      </c>
      <c r="Q86" s="47">
        <f>Q85*(1+Paths!C86)+Labour!AK86*gw_asian</f>
        <v/>
      </c>
      <c r="R86" s="47">
        <f>R85*(1+Paths!C86)+Labour!AF86*family_mult</f>
        <v/>
      </c>
      <c r="S86" s="63">
        <f>(N86+O86+P86+Q86+R86)/L86</f>
        <v/>
      </c>
      <c r="T86" s="47">
        <f>SUM(E86:H86)*Paths!J86</f>
        <v/>
      </c>
      <c r="U86" s="62">
        <f>Paths!K86</f>
        <v/>
      </c>
      <c r="V86" s="47">
        <f>IF(Gulf!E86=1,Gulf!B86,0)</f>
        <v/>
      </c>
      <c r="W86" s="47">
        <f>L86+V86</f>
        <v/>
      </c>
      <c r="X86" s="47">
        <f>W86+Labour!L86</f>
        <v/>
      </c>
    </row>
    <row r="87">
      <c r="A87" s="58" t="n">
        <v>1927</v>
      </c>
      <c r="B87" s="47">
        <f>L86</f>
        <v/>
      </c>
      <c r="C87" s="62">
        <f>Paths!D87</f>
        <v/>
      </c>
      <c r="D87" s="47">
        <f>B87*Paths!C87</f>
        <v/>
      </c>
      <c r="E87" s="47">
        <f>Paths!E87*IF($A87&gt;=1896,mig_scale,1)</f>
        <v/>
      </c>
      <c r="F87" s="47">
        <f>Paths!F87*IF($A87&gt;=1896,mig_scale,1)</f>
        <v/>
      </c>
      <c r="G87" s="47">
        <f>Paths!G87*IF($A87&gt;=1896,mig_scale,1)</f>
        <v/>
      </c>
      <c r="H87" s="47">
        <f>Paths!H87*IF($A87&gt;=1896,mig_scale,1)</f>
        <v/>
      </c>
      <c r="I87" s="47">
        <f>E87*Paths!I87+(F87+G87+H87)*dep_asia</f>
        <v/>
      </c>
      <c r="J87" s="62">
        <f>Labour!AL87</f>
        <v/>
      </c>
      <c r="K87" s="47">
        <f>SUM(E87:H87)-I87+J87</f>
        <v/>
      </c>
      <c r="L87" s="47">
        <f>B87+C87+D87+K87</f>
        <v/>
      </c>
      <c r="M87" s="63">
        <f>IF(B87&gt;0,L87/B87-1,0)</f>
        <v/>
      </c>
      <c r="N87" s="47">
        <f>N86*(1+Paths!C87)+F87*(1-dep_asia)</f>
        <v/>
      </c>
      <c r="O87" s="47">
        <f>O86*(1+Paths!C87)+G87*(1-dep_asia)</f>
        <v/>
      </c>
      <c r="P87" s="47">
        <f>P86*(1+Paths!C87)+H87*(1-dep_asia)</f>
        <v/>
      </c>
      <c r="Q87" s="47">
        <f>Q86*(1+Paths!C87)+Labour!AK87*gw_asian</f>
        <v/>
      </c>
      <c r="R87" s="47">
        <f>R86*(1+Paths!C87)+Labour!AF87*family_mult</f>
        <v/>
      </c>
      <c r="S87" s="63">
        <f>(N87+O87+P87+Q87+R87)/L87</f>
        <v/>
      </c>
      <c r="T87" s="47">
        <f>SUM(E87:H87)*Paths!J87</f>
        <v/>
      </c>
      <c r="U87" s="62">
        <f>Paths!K87</f>
        <v/>
      </c>
      <c r="V87" s="47">
        <f>IF(Gulf!E87=1,Gulf!B87,0)</f>
        <v/>
      </c>
      <c r="W87" s="47">
        <f>L87+V87</f>
        <v/>
      </c>
      <c r="X87" s="47">
        <f>W87+Labour!L87</f>
        <v/>
      </c>
    </row>
    <row r="88">
      <c r="A88" s="58" t="n">
        <v>1928</v>
      </c>
      <c r="B88" s="47">
        <f>L87</f>
        <v/>
      </c>
      <c r="C88" s="62">
        <f>Paths!D88</f>
        <v/>
      </c>
      <c r="D88" s="47">
        <f>B88*Paths!C88</f>
        <v/>
      </c>
      <c r="E88" s="47">
        <f>Paths!E88*IF($A88&gt;=1896,mig_scale,1)</f>
        <v/>
      </c>
      <c r="F88" s="47">
        <f>Paths!F88*IF($A88&gt;=1896,mig_scale,1)</f>
        <v/>
      </c>
      <c r="G88" s="47">
        <f>Paths!G88*IF($A88&gt;=1896,mig_scale,1)</f>
        <v/>
      </c>
      <c r="H88" s="47">
        <f>Paths!H88*IF($A88&gt;=1896,mig_scale,1)</f>
        <v/>
      </c>
      <c r="I88" s="47">
        <f>E88*Paths!I88+(F88+G88+H88)*dep_asia</f>
        <v/>
      </c>
      <c r="J88" s="62">
        <f>Labour!AL88</f>
        <v/>
      </c>
      <c r="K88" s="47">
        <f>SUM(E88:H88)-I88+J88</f>
        <v/>
      </c>
      <c r="L88" s="47">
        <f>B88+C88+D88+K88</f>
        <v/>
      </c>
      <c r="M88" s="63">
        <f>IF(B88&gt;0,L88/B88-1,0)</f>
        <v/>
      </c>
      <c r="N88" s="47">
        <f>N87*(1+Paths!C88)+F88*(1-dep_asia)</f>
        <v/>
      </c>
      <c r="O88" s="47">
        <f>O87*(1+Paths!C88)+G88*(1-dep_asia)</f>
        <v/>
      </c>
      <c r="P88" s="47">
        <f>P87*(1+Paths!C88)+H88*(1-dep_asia)</f>
        <v/>
      </c>
      <c r="Q88" s="47">
        <f>Q87*(1+Paths!C88)+Labour!AK88*gw_asian</f>
        <v/>
      </c>
      <c r="R88" s="47">
        <f>R87*(1+Paths!C88)+Labour!AF88*family_mult</f>
        <v/>
      </c>
      <c r="S88" s="63">
        <f>(N88+O88+P88+Q88+R88)/L88</f>
        <v/>
      </c>
      <c r="T88" s="47">
        <f>SUM(E88:H88)*Paths!J88</f>
        <v/>
      </c>
      <c r="U88" s="62">
        <f>Paths!K88</f>
        <v/>
      </c>
      <c r="V88" s="47">
        <f>IF(Gulf!E88=1,Gulf!B88,0)</f>
        <v/>
      </c>
      <c r="W88" s="47">
        <f>L88+V88</f>
        <v/>
      </c>
      <c r="X88" s="47">
        <f>W88+Labour!L88</f>
        <v/>
      </c>
    </row>
    <row r="89">
      <c r="A89" s="58" t="n">
        <v>1929</v>
      </c>
      <c r="B89" s="47">
        <f>L88</f>
        <v/>
      </c>
      <c r="C89" s="62">
        <f>Paths!D89</f>
        <v/>
      </c>
      <c r="D89" s="47">
        <f>B89*Paths!C89</f>
        <v/>
      </c>
      <c r="E89" s="47">
        <f>Paths!E89*IF($A89&gt;=1896,mig_scale,1)</f>
        <v/>
      </c>
      <c r="F89" s="47">
        <f>Paths!F89*IF($A89&gt;=1896,mig_scale,1)</f>
        <v/>
      </c>
      <c r="G89" s="47">
        <f>Paths!G89*IF($A89&gt;=1896,mig_scale,1)</f>
        <v/>
      </c>
      <c r="H89" s="47">
        <f>Paths!H89*IF($A89&gt;=1896,mig_scale,1)</f>
        <v/>
      </c>
      <c r="I89" s="47">
        <f>E89*Paths!I89+(F89+G89+H89)*dep_asia</f>
        <v/>
      </c>
      <c r="J89" s="62">
        <f>Labour!AL89</f>
        <v/>
      </c>
      <c r="K89" s="47">
        <f>SUM(E89:H89)-I89+J89</f>
        <v/>
      </c>
      <c r="L89" s="47">
        <f>B89+C89+D89+K89</f>
        <v/>
      </c>
      <c r="M89" s="63">
        <f>IF(B89&gt;0,L89/B89-1,0)</f>
        <v/>
      </c>
      <c r="N89" s="47">
        <f>N88*(1+Paths!C89)+F89*(1-dep_asia)</f>
        <v/>
      </c>
      <c r="O89" s="47">
        <f>O88*(1+Paths!C89)+G89*(1-dep_asia)</f>
        <v/>
      </c>
      <c r="P89" s="47">
        <f>P88*(1+Paths!C89)+H89*(1-dep_asia)</f>
        <v/>
      </c>
      <c r="Q89" s="47">
        <f>Q88*(1+Paths!C89)+Labour!AK89*gw_asian</f>
        <v/>
      </c>
      <c r="R89" s="47">
        <f>R88*(1+Paths!C89)+Labour!AF89*family_mult</f>
        <v/>
      </c>
      <c r="S89" s="63">
        <f>(N89+O89+P89+Q89+R89)/L89</f>
        <v/>
      </c>
      <c r="T89" s="47">
        <f>SUM(E89:H89)*Paths!J89</f>
        <v/>
      </c>
      <c r="U89" s="62">
        <f>Paths!K89</f>
        <v/>
      </c>
      <c r="V89" s="47">
        <f>IF(Gulf!E89=1,Gulf!B89,0)</f>
        <v/>
      </c>
      <c r="W89" s="47">
        <f>L89+V89</f>
        <v/>
      </c>
      <c r="X89" s="47">
        <f>W89+Labour!L89</f>
        <v/>
      </c>
    </row>
    <row r="90">
      <c r="A90" s="58" t="n">
        <v>1930</v>
      </c>
      <c r="B90" s="47">
        <f>L89</f>
        <v/>
      </c>
      <c r="C90" s="62">
        <f>Paths!D90</f>
        <v/>
      </c>
      <c r="D90" s="47">
        <f>B90*Paths!C90</f>
        <v/>
      </c>
      <c r="E90" s="47">
        <f>Paths!E90*IF($A90&gt;=1896,mig_scale,1)</f>
        <v/>
      </c>
      <c r="F90" s="47">
        <f>Paths!F90*IF($A90&gt;=1896,mig_scale,1)</f>
        <v/>
      </c>
      <c r="G90" s="47">
        <f>Paths!G90*IF($A90&gt;=1896,mig_scale,1)</f>
        <v/>
      </c>
      <c r="H90" s="47">
        <f>Paths!H90*IF($A90&gt;=1896,mig_scale,1)</f>
        <v/>
      </c>
      <c r="I90" s="47">
        <f>E90*Paths!I90+(F90+G90+H90)*dep_asia</f>
        <v/>
      </c>
      <c r="J90" s="62">
        <f>Labour!AL90</f>
        <v/>
      </c>
      <c r="K90" s="47">
        <f>SUM(E90:H90)-I90+J90</f>
        <v/>
      </c>
      <c r="L90" s="47">
        <f>B90+C90+D90+K90</f>
        <v/>
      </c>
      <c r="M90" s="63">
        <f>IF(B90&gt;0,L90/B90-1,0)</f>
        <v/>
      </c>
      <c r="N90" s="47">
        <f>N89*(1+Paths!C90)+F90*(1-dep_asia)</f>
        <v/>
      </c>
      <c r="O90" s="47">
        <f>O89*(1+Paths!C90)+G90*(1-dep_asia)</f>
        <v/>
      </c>
      <c r="P90" s="47">
        <f>P89*(1+Paths!C90)+H90*(1-dep_asia)</f>
        <v/>
      </c>
      <c r="Q90" s="47">
        <f>Q89*(1+Paths!C90)+Labour!AK90*gw_asian</f>
        <v/>
      </c>
      <c r="R90" s="47">
        <f>R89*(1+Paths!C90)+Labour!AF90*family_mult</f>
        <v/>
      </c>
      <c r="S90" s="63">
        <f>(N90+O90+P90+Q90+R90)/L90</f>
        <v/>
      </c>
      <c r="T90" s="47">
        <f>SUM(E90:H90)*Paths!J90</f>
        <v/>
      </c>
      <c r="U90" s="62">
        <f>Paths!K90</f>
        <v/>
      </c>
      <c r="V90" s="47">
        <f>IF(Gulf!E90=1,Gulf!B90,0)</f>
        <v/>
      </c>
      <c r="W90" s="47">
        <f>L90+V90</f>
        <v/>
      </c>
      <c r="X90" s="47">
        <f>W90+Labour!L90</f>
        <v/>
      </c>
    </row>
    <row r="91">
      <c r="A91" s="58" t="n">
        <v>1931</v>
      </c>
      <c r="B91" s="47">
        <f>L90</f>
        <v/>
      </c>
      <c r="C91" s="62">
        <f>Paths!D91</f>
        <v/>
      </c>
      <c r="D91" s="47">
        <f>B91*Paths!C91</f>
        <v/>
      </c>
      <c r="E91" s="47">
        <f>Paths!E91*IF($A91&gt;=1896,mig_scale,1)</f>
        <v/>
      </c>
      <c r="F91" s="47">
        <f>Paths!F91*IF($A91&gt;=1896,mig_scale,1)</f>
        <v/>
      </c>
      <c r="G91" s="47">
        <f>Paths!G91*IF($A91&gt;=1896,mig_scale,1)</f>
        <v/>
      </c>
      <c r="H91" s="47">
        <f>Paths!H91*IF($A91&gt;=1896,mig_scale,1)</f>
        <v/>
      </c>
      <c r="I91" s="47">
        <f>E91*Paths!I91+(F91+G91+H91)*dep_asia</f>
        <v/>
      </c>
      <c r="J91" s="62">
        <f>Labour!AL91</f>
        <v/>
      </c>
      <c r="K91" s="47">
        <f>SUM(E91:H91)-I91+J91</f>
        <v/>
      </c>
      <c r="L91" s="47">
        <f>B91+C91+D91+K91</f>
        <v/>
      </c>
      <c r="M91" s="63">
        <f>IF(B91&gt;0,L91/B91-1,0)</f>
        <v/>
      </c>
      <c r="N91" s="47">
        <f>N90*(1+Paths!C91)+F91*(1-dep_asia)</f>
        <v/>
      </c>
      <c r="O91" s="47">
        <f>O90*(1+Paths!C91)+G91*(1-dep_asia)</f>
        <v/>
      </c>
      <c r="P91" s="47">
        <f>P90*(1+Paths!C91)+H91*(1-dep_asia)</f>
        <v/>
      </c>
      <c r="Q91" s="47">
        <f>Q90*(1+Paths!C91)+Labour!AK91*gw_asian</f>
        <v/>
      </c>
      <c r="R91" s="47">
        <f>R90*(1+Paths!C91)+Labour!AF91*family_mult</f>
        <v/>
      </c>
      <c r="S91" s="63">
        <f>(N91+O91+P91+Q91+R91)/L91</f>
        <v/>
      </c>
      <c r="T91" s="47">
        <f>SUM(E91:H91)*Paths!J91</f>
        <v/>
      </c>
      <c r="U91" s="62">
        <f>Paths!K91</f>
        <v/>
      </c>
      <c r="V91" s="47">
        <f>IF(Gulf!E91=1,Gulf!B91,0)</f>
        <v/>
      </c>
      <c r="W91" s="47">
        <f>L91+V91</f>
        <v/>
      </c>
      <c r="X91" s="47">
        <f>W91+Labour!L91</f>
        <v/>
      </c>
    </row>
    <row r="92">
      <c r="A92" s="58" t="n">
        <v>1932</v>
      </c>
      <c r="B92" s="47">
        <f>L91</f>
        <v/>
      </c>
      <c r="C92" s="62">
        <f>Paths!D92</f>
        <v/>
      </c>
      <c r="D92" s="47">
        <f>B92*Paths!C92</f>
        <v/>
      </c>
      <c r="E92" s="47">
        <f>Paths!E92*IF($A92&gt;=1896,mig_scale,1)</f>
        <v/>
      </c>
      <c r="F92" s="47">
        <f>Paths!F92*IF($A92&gt;=1896,mig_scale,1)</f>
        <v/>
      </c>
      <c r="G92" s="47">
        <f>Paths!G92*IF($A92&gt;=1896,mig_scale,1)</f>
        <v/>
      </c>
      <c r="H92" s="47">
        <f>Paths!H92*IF($A92&gt;=1896,mig_scale,1)</f>
        <v/>
      </c>
      <c r="I92" s="47">
        <f>E92*Paths!I92+(F92+G92+H92)*dep_asia</f>
        <v/>
      </c>
      <c r="J92" s="62">
        <f>Labour!AL92</f>
        <v/>
      </c>
      <c r="K92" s="47">
        <f>SUM(E92:H92)-I92+J92</f>
        <v/>
      </c>
      <c r="L92" s="47">
        <f>B92+C92+D92+K92</f>
        <v/>
      </c>
      <c r="M92" s="63">
        <f>IF(B92&gt;0,L92/B92-1,0)</f>
        <v/>
      </c>
      <c r="N92" s="47">
        <f>N91*(1+Paths!C92)+F92*(1-dep_asia)</f>
        <v/>
      </c>
      <c r="O92" s="47">
        <f>O91*(1+Paths!C92)+G92*(1-dep_asia)</f>
        <v/>
      </c>
      <c r="P92" s="47">
        <f>P91*(1+Paths!C92)+H92*(1-dep_asia)</f>
        <v/>
      </c>
      <c r="Q92" s="47">
        <f>Q91*(1+Paths!C92)+Labour!AK92*gw_asian</f>
        <v/>
      </c>
      <c r="R92" s="47">
        <f>R91*(1+Paths!C92)+Labour!AF92*family_mult</f>
        <v/>
      </c>
      <c r="S92" s="63">
        <f>(N92+O92+P92+Q92+R92)/L92</f>
        <v/>
      </c>
      <c r="T92" s="47">
        <f>SUM(E92:H92)*Paths!J92</f>
        <v/>
      </c>
      <c r="U92" s="62">
        <f>Paths!K92</f>
        <v/>
      </c>
      <c r="V92" s="47">
        <f>IF(Gulf!E92=1,Gulf!B92,0)</f>
        <v/>
      </c>
      <c r="W92" s="47">
        <f>L92+V92</f>
        <v/>
      </c>
      <c r="X92" s="47">
        <f>W92+Labour!L92</f>
        <v/>
      </c>
    </row>
  </sheetData>
  <mergeCells count="6">
    <mergeCell ref="L4:M4"/>
    <mergeCell ref="B4:D4"/>
    <mergeCell ref="E4:K4"/>
    <mergeCell ref="V4:X4"/>
    <mergeCell ref="N4:S4"/>
    <mergeCell ref="T4:U4"/>
  </mergeCell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fitToPage="1"/>
  </sheetPr>
  <dimension ref="A1:S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s>
  <sheetData>
    <row r="1">
      <c r="A1" s="18" t="inlineStr">
        <is>
          <t>Economy</t>
        </is>
      </c>
    </row>
    <row r="2">
      <c r="A2" s="2" t="inlineStr">
        <is>
          <t>GDP = residents × real output per resident × slump factor × prices, plus mining and oil and the national champions.</t>
        </is>
      </c>
    </row>
    <row r="3">
      <c r="A3" s="19" t="inlineStr">
        <is>
          <t>Years run down the page. Blue = input you can change · black = formula · green = link to another sheet. Hover a column heading for its definition.</t>
        </is>
      </c>
    </row>
    <row r="4">
      <c r="B4" s="56" t="inlineStr">
        <is>
          <t>Inputs</t>
        </is>
      </c>
      <c r="I4" s="56" t="inlineStr">
        <is>
          <t>GDP</t>
        </is>
      </c>
      <c r="Q4" s="56" t="inlineStr">
        <is>
          <t>Benchmark</t>
        </is>
      </c>
    </row>
    <row r="5" ht="54" customHeight="1">
      <c r="A5" s="57" t="inlineStr">
        <is>
          <t>Year</t>
        </is>
      </c>
      <c r="B5" s="6" t="inlineStr">
        <is>
          <t>Average residents</t>
        </is>
      </c>
      <c r="C5" s="6" t="inlineStr">
        <is>
          <t>Real growth per resident, before the Development Fund</t>
        </is>
      </c>
      <c r="D5" s="6" t="inlineStr">
        <is>
          <t>Extra growth from the Development Fund</t>
        </is>
      </c>
      <c r="E5" s="6" t="inlineStr">
        <is>
          <t>Real growth per resident</t>
        </is>
      </c>
      <c r="F5" s="6" t="inlineStr">
        <is>
          <t>Real non-mining output per resident (1913 $)</t>
        </is>
      </c>
      <c r="G5" s="6" t="inlineStr">
        <is>
          <t>Output vs trend</t>
        </is>
      </c>
      <c r="H5" s="6" t="inlineStr">
        <is>
          <t>Price level</t>
        </is>
      </c>
      <c r="I5" s="6" t="inlineStr">
        <is>
          <t>Output raised by the extra talent</t>
        </is>
      </c>
      <c r="J5" s="6" t="inlineStr">
        <is>
          <t>Non-mining GDP ($m)</t>
        </is>
      </c>
      <c r="K5" s="6" t="inlineStr">
        <is>
          <t>Mining &amp; oil ($m)</t>
        </is>
      </c>
      <c r="L5" s="6" t="inlineStr">
        <is>
          <t>Guest workers' output ($m)</t>
        </is>
      </c>
      <c r="M5" s="6" t="inlineStr">
        <is>
          <t>National champions, extra ($m)</t>
        </is>
      </c>
      <c r="N5" s="6" t="inlineStr">
        <is>
          <t>Gulf Republic ($m, once a member)</t>
        </is>
      </c>
      <c r="O5" s="6" t="inlineStr">
        <is>
          <t>Core GDP ($m)</t>
        </is>
      </c>
      <c r="P5" s="6" t="inlineStr">
        <is>
          <t>GDP per person present ($)</t>
        </is>
      </c>
      <c r="Q5" s="6" t="inlineStr">
        <is>
          <t>US GDP per person, historical ($)</t>
        </is>
      </c>
      <c r="R5" s="6" t="inlineStr">
        <is>
          <t>Pacifica / US per person</t>
        </is>
      </c>
      <c r="S5" s="6" t="inlineStr">
        <is>
          <t>Real GDP (1913 $m)</t>
        </is>
      </c>
    </row>
    <row r="6">
      <c r="A6" s="58" t="n">
        <v>1846</v>
      </c>
      <c r="B6" s="47">
        <f>(People!B6+People!L6)/2</f>
        <v/>
      </c>
      <c r="C6" s="63">
        <f>Paths!L6*IF($A6&gt;=1896,prod_factor,1)</f>
        <v/>
      </c>
      <c r="D6" s="64">
        <f>0</f>
        <v/>
      </c>
      <c r="E6" s="63">
        <f>C6+D6</f>
        <v/>
      </c>
      <c r="F6" s="47">
        <f>real_pc_1846</f>
        <v/>
      </c>
      <c r="G6" s="65">
        <f>1-(1-Paths!M6)*IF($A6&gt;=1930,dep_severity,1)</f>
        <v/>
      </c>
      <c r="H6" s="65">
        <f>IF($A6&gt;=1930,Paths!B$89+(Paths!B6-Paths!B$89)*slump_price,Paths!B6)</f>
        <v/>
      </c>
      <c r="I6" s="66">
        <f>Labour!AO6</f>
        <v/>
      </c>
      <c r="J6" s="47">
        <f>B6*F6*(1+I6)*G6*H6/1000000</f>
        <v/>
      </c>
      <c r="K6" s="62">
        <f>Resources!O6</f>
        <v/>
      </c>
      <c r="L6" s="47">
        <f>Labour!L6*gw_rel*J6/Labour!B6</f>
        <v/>
      </c>
      <c r="M6" s="62">
        <f>Champions!AQ6</f>
        <v/>
      </c>
      <c r="N6" s="47">
        <f>IF(Gulf!E6=1,Gulf!D6,0)</f>
        <v/>
      </c>
      <c r="O6" s="47">
        <f>J6+K6+L6+M6+N6</f>
        <v/>
      </c>
      <c r="P6" s="47">
        <f>O6*1000000/(B6+People!V6+Labour!L6)</f>
        <v/>
      </c>
      <c r="Q6" s="45" t="n">
        <v>95</v>
      </c>
      <c r="R6" s="67">
        <f>P6/Q6</f>
        <v/>
      </c>
      <c r="S6" s="47">
        <f>O6/H6</f>
        <v/>
      </c>
    </row>
    <row r="7">
      <c r="A7" s="58" t="n">
        <v>1847</v>
      </c>
      <c r="B7" s="47">
        <f>(People!B7+People!L7)/2</f>
        <v/>
      </c>
      <c r="C7" s="63">
        <f>Paths!L7*IF($A7&gt;=1896,prod_factor,1)</f>
        <v/>
      </c>
      <c r="D7" s="64">
        <f>IF(O6&gt;0,MIN(dev_cap,dev_return*'Debt &amp; cash'!N6/O6),0)</f>
        <v/>
      </c>
      <c r="E7" s="63">
        <f>C7+D7</f>
        <v/>
      </c>
      <c r="F7" s="47">
        <f>F6*(1+E7)</f>
        <v/>
      </c>
      <c r="G7" s="65">
        <f>1-(1-Paths!M7)*IF($A7&gt;=1930,dep_severity,1)</f>
        <v/>
      </c>
      <c r="H7" s="65">
        <f>IF($A7&gt;=1930,Paths!B$89+(Paths!B7-Paths!B$89)*slump_price,Paths!B7)</f>
        <v/>
      </c>
      <c r="I7" s="66">
        <f>Labour!AO7</f>
        <v/>
      </c>
      <c r="J7" s="47">
        <f>B7*F7*(1+I7)*G7*H7/1000000</f>
        <v/>
      </c>
      <c r="K7" s="62">
        <f>Resources!O7</f>
        <v/>
      </c>
      <c r="L7" s="47">
        <f>Labour!L7*gw_rel*J7/Labour!B7</f>
        <v/>
      </c>
      <c r="M7" s="62">
        <f>Champions!AQ7</f>
        <v/>
      </c>
      <c r="N7" s="47">
        <f>IF(Gulf!E7=1,Gulf!D7,0)</f>
        <v/>
      </c>
      <c r="O7" s="47">
        <f>J7+K7+L7+M7+N7</f>
        <v/>
      </c>
      <c r="P7" s="47">
        <f>O7*1000000/(B7+People!V7+Labour!L7)</f>
        <v/>
      </c>
      <c r="Q7" s="45" t="n">
        <v>98</v>
      </c>
      <c r="R7" s="67">
        <f>P7/Q7</f>
        <v/>
      </c>
      <c r="S7" s="47">
        <f>O7/H7</f>
        <v/>
      </c>
    </row>
    <row r="8">
      <c r="A8" s="58" t="n">
        <v>1848</v>
      </c>
      <c r="B8" s="47">
        <f>(People!B8+People!L8)/2</f>
        <v/>
      </c>
      <c r="C8" s="63">
        <f>Paths!L8*IF($A8&gt;=1896,prod_factor,1)</f>
        <v/>
      </c>
      <c r="D8" s="64">
        <f>IF(O7&gt;0,MIN(dev_cap,dev_return*'Debt &amp; cash'!N7/O7),0)</f>
        <v/>
      </c>
      <c r="E8" s="63">
        <f>C8+D8</f>
        <v/>
      </c>
      <c r="F8" s="47">
        <f>F7*(1+E8)</f>
        <v/>
      </c>
      <c r="G8" s="65">
        <f>1-(1-Paths!M8)*IF($A8&gt;=1930,dep_severity,1)</f>
        <v/>
      </c>
      <c r="H8" s="65">
        <f>IF($A8&gt;=1930,Paths!B$89+(Paths!B8-Paths!B$89)*slump_price,Paths!B8)</f>
        <v/>
      </c>
      <c r="I8" s="66">
        <f>Labour!AO8</f>
        <v/>
      </c>
      <c r="J8" s="47">
        <f>B8*F8*(1+I8)*G8*H8/1000000</f>
        <v/>
      </c>
      <c r="K8" s="62">
        <f>Resources!O8</f>
        <v/>
      </c>
      <c r="L8" s="47">
        <f>Labour!L8*gw_rel*J8/Labour!B8</f>
        <v/>
      </c>
      <c r="M8" s="62">
        <f>Champions!AQ8</f>
        <v/>
      </c>
      <c r="N8" s="47">
        <f>IF(Gulf!E8=1,Gulf!D8,0)</f>
        <v/>
      </c>
      <c r="O8" s="47">
        <f>J8+K8+L8+M8+N8</f>
        <v/>
      </c>
      <c r="P8" s="47">
        <f>O8*1000000/(B8+People!V8+Labour!L8)</f>
        <v/>
      </c>
      <c r="Q8" s="45" t="n">
        <v>100</v>
      </c>
      <c r="R8" s="67">
        <f>P8/Q8</f>
        <v/>
      </c>
      <c r="S8" s="47">
        <f>O8/H8</f>
        <v/>
      </c>
    </row>
    <row r="9">
      <c r="A9" s="58" t="n">
        <v>1849</v>
      </c>
      <c r="B9" s="47">
        <f>(People!B9+People!L9)/2</f>
        <v/>
      </c>
      <c r="C9" s="63">
        <f>Paths!L9*IF($A9&gt;=1896,prod_factor,1)</f>
        <v/>
      </c>
      <c r="D9" s="64">
        <f>IF(O8&gt;0,MIN(dev_cap,dev_return*'Debt &amp; cash'!N8/O8),0)</f>
        <v/>
      </c>
      <c r="E9" s="63">
        <f>C9+D9</f>
        <v/>
      </c>
      <c r="F9" s="47">
        <f>F8*(1+E9)</f>
        <v/>
      </c>
      <c r="G9" s="65">
        <f>1-(1-Paths!M9)*IF($A9&gt;=1930,dep_severity,1)</f>
        <v/>
      </c>
      <c r="H9" s="65">
        <f>IF($A9&gt;=1930,Paths!B$89+(Paths!B9-Paths!B$89)*slump_price,Paths!B9)</f>
        <v/>
      </c>
      <c r="I9" s="66">
        <f>Labour!AO9</f>
        <v/>
      </c>
      <c r="J9" s="47">
        <f>B9*F9*(1+I9)*G9*H9/1000000</f>
        <v/>
      </c>
      <c r="K9" s="62">
        <f>Resources!O9</f>
        <v/>
      </c>
      <c r="L9" s="47">
        <f>Labour!L9*gw_rel*J9/Labour!B9</f>
        <v/>
      </c>
      <c r="M9" s="62">
        <f>Champions!AQ9</f>
        <v/>
      </c>
      <c r="N9" s="47">
        <f>IF(Gulf!E9=1,Gulf!D9,0)</f>
        <v/>
      </c>
      <c r="O9" s="47">
        <f>J9+K9+L9+M9+N9</f>
        <v/>
      </c>
      <c r="P9" s="47">
        <f>O9*1000000/(B9+People!V9+Labour!L9)</f>
        <v/>
      </c>
      <c r="Q9" s="45" t="n">
        <v>102</v>
      </c>
      <c r="R9" s="67">
        <f>P9/Q9</f>
        <v/>
      </c>
      <c r="S9" s="47">
        <f>O9/H9</f>
        <v/>
      </c>
    </row>
    <row r="10">
      <c r="A10" s="58" t="n">
        <v>1850</v>
      </c>
      <c r="B10" s="47">
        <f>(People!B10+People!L10)/2</f>
        <v/>
      </c>
      <c r="C10" s="63">
        <f>Paths!L10*IF($A10&gt;=1896,prod_factor,1)</f>
        <v/>
      </c>
      <c r="D10" s="64">
        <f>IF(O9&gt;0,MIN(dev_cap,dev_return*'Debt &amp; cash'!N9/O9),0)</f>
        <v/>
      </c>
      <c r="E10" s="63">
        <f>C10+D10</f>
        <v/>
      </c>
      <c r="F10" s="47">
        <f>F9*(1+E10)</f>
        <v/>
      </c>
      <c r="G10" s="65">
        <f>1-(1-Paths!M10)*IF($A10&gt;=1930,dep_severity,1)</f>
        <v/>
      </c>
      <c r="H10" s="65">
        <f>IF($A10&gt;=1930,Paths!B$89+(Paths!B10-Paths!B$89)*slump_price,Paths!B10)</f>
        <v/>
      </c>
      <c r="I10" s="66">
        <f>Labour!AO10</f>
        <v/>
      </c>
      <c r="J10" s="47">
        <f>B10*F10*(1+I10)*G10*H10/1000000</f>
        <v/>
      </c>
      <c r="K10" s="62">
        <f>Resources!O10</f>
        <v/>
      </c>
      <c r="L10" s="47">
        <f>Labour!L10*gw_rel*J10/Labour!B10</f>
        <v/>
      </c>
      <c r="M10" s="62">
        <f>Champions!AQ10</f>
        <v/>
      </c>
      <c r="N10" s="47">
        <f>IF(Gulf!E10=1,Gulf!D10,0)</f>
        <v/>
      </c>
      <c r="O10" s="47">
        <f>J10+K10+L10+M10+N10</f>
        <v/>
      </c>
      <c r="P10" s="47">
        <f>O10*1000000/(B10+People!V10+Labour!L10)</f>
        <v/>
      </c>
      <c r="Q10" s="45" t="n">
        <v>105</v>
      </c>
      <c r="R10" s="67">
        <f>P10/Q10</f>
        <v/>
      </c>
      <c r="S10" s="47">
        <f>O10/H10</f>
        <v/>
      </c>
    </row>
    <row r="11">
      <c r="A11" s="58" t="n">
        <v>1851</v>
      </c>
      <c r="B11" s="47">
        <f>(People!B11+People!L11)/2</f>
        <v/>
      </c>
      <c r="C11" s="63">
        <f>Paths!L11*IF($A11&gt;=1896,prod_factor,1)</f>
        <v/>
      </c>
      <c r="D11" s="64">
        <f>IF(O10&gt;0,MIN(dev_cap,dev_return*'Debt &amp; cash'!N10/O10),0)</f>
        <v/>
      </c>
      <c r="E11" s="63">
        <f>C11+D11</f>
        <v/>
      </c>
      <c r="F11" s="47">
        <f>F10*(1+E11)</f>
        <v/>
      </c>
      <c r="G11" s="65">
        <f>1-(1-Paths!M11)*IF($A11&gt;=1930,dep_severity,1)</f>
        <v/>
      </c>
      <c r="H11" s="65">
        <f>IF($A11&gt;=1930,Paths!B$89+(Paths!B11-Paths!B$89)*slump_price,Paths!B11)</f>
        <v/>
      </c>
      <c r="I11" s="66">
        <f>Labour!AO11</f>
        <v/>
      </c>
      <c r="J11" s="47">
        <f>B11*F11*(1+I11)*G11*H11/1000000</f>
        <v/>
      </c>
      <c r="K11" s="62">
        <f>Resources!O11</f>
        <v/>
      </c>
      <c r="L11" s="47">
        <f>Labour!L11*gw_rel*J11/Labour!B11</f>
        <v/>
      </c>
      <c r="M11" s="62">
        <f>Champions!AQ11</f>
        <v/>
      </c>
      <c r="N11" s="47">
        <f>IF(Gulf!E11=1,Gulf!D11,0)</f>
        <v/>
      </c>
      <c r="O11" s="47">
        <f>J11+K11+L11+M11+N11</f>
        <v/>
      </c>
      <c r="P11" s="47">
        <f>O11*1000000/(B11+People!V11+Labour!L11)</f>
        <v/>
      </c>
      <c r="Q11" s="45" t="n">
        <v>109</v>
      </c>
      <c r="R11" s="67">
        <f>P11/Q11</f>
        <v/>
      </c>
      <c r="S11" s="47">
        <f>O11/H11</f>
        <v/>
      </c>
    </row>
    <row r="12">
      <c r="A12" s="58" t="n">
        <v>1852</v>
      </c>
      <c r="B12" s="47">
        <f>(People!B12+People!L12)/2</f>
        <v/>
      </c>
      <c r="C12" s="63">
        <f>Paths!L12*IF($A12&gt;=1896,prod_factor,1)</f>
        <v/>
      </c>
      <c r="D12" s="64">
        <f>IF(O11&gt;0,MIN(dev_cap,dev_return*'Debt &amp; cash'!N11/O11),0)</f>
        <v/>
      </c>
      <c r="E12" s="63">
        <f>C12+D12</f>
        <v/>
      </c>
      <c r="F12" s="47">
        <f>F11*(1+E12)</f>
        <v/>
      </c>
      <c r="G12" s="65">
        <f>1-(1-Paths!M12)*IF($A12&gt;=1930,dep_severity,1)</f>
        <v/>
      </c>
      <c r="H12" s="65">
        <f>IF($A12&gt;=1930,Paths!B$89+(Paths!B12-Paths!B$89)*slump_price,Paths!B12)</f>
        <v/>
      </c>
      <c r="I12" s="66">
        <f>Labour!AO12</f>
        <v/>
      </c>
      <c r="J12" s="47">
        <f>B12*F12*(1+I12)*G12*H12/1000000</f>
        <v/>
      </c>
      <c r="K12" s="62">
        <f>Resources!O12</f>
        <v/>
      </c>
      <c r="L12" s="47">
        <f>Labour!L12*gw_rel*J12/Labour!B12</f>
        <v/>
      </c>
      <c r="M12" s="62">
        <f>Champions!AQ12</f>
        <v/>
      </c>
      <c r="N12" s="47">
        <f>IF(Gulf!E12=1,Gulf!D12,0)</f>
        <v/>
      </c>
      <c r="O12" s="47">
        <f>J12+K12+L12+M12+N12</f>
        <v/>
      </c>
      <c r="P12" s="47">
        <f>O12*1000000/(B12+People!V12+Labour!L12)</f>
        <v/>
      </c>
      <c r="Q12" s="45" t="n">
        <v>113</v>
      </c>
      <c r="R12" s="67">
        <f>P12/Q12</f>
        <v/>
      </c>
      <c r="S12" s="47">
        <f>O12/H12</f>
        <v/>
      </c>
    </row>
    <row r="13">
      <c r="A13" s="58" t="n">
        <v>1853</v>
      </c>
      <c r="B13" s="47">
        <f>(People!B13+People!L13)/2</f>
        <v/>
      </c>
      <c r="C13" s="63">
        <f>Paths!L13*IF($A13&gt;=1896,prod_factor,1)</f>
        <v/>
      </c>
      <c r="D13" s="64">
        <f>IF(O12&gt;0,MIN(dev_cap,dev_return*'Debt &amp; cash'!N12/O12),0)</f>
        <v/>
      </c>
      <c r="E13" s="63">
        <f>C13+D13</f>
        <v/>
      </c>
      <c r="F13" s="47">
        <f>F12*(1+E13)</f>
        <v/>
      </c>
      <c r="G13" s="65">
        <f>1-(1-Paths!M13)*IF($A13&gt;=1930,dep_severity,1)</f>
        <v/>
      </c>
      <c r="H13" s="65">
        <f>IF($A13&gt;=1930,Paths!B$89+(Paths!B13-Paths!B$89)*slump_price,Paths!B13)</f>
        <v/>
      </c>
      <c r="I13" s="66">
        <f>Labour!AO13</f>
        <v/>
      </c>
      <c r="J13" s="47">
        <f>B13*F13*(1+I13)*G13*H13/1000000</f>
        <v/>
      </c>
      <c r="K13" s="62">
        <f>Resources!O13</f>
        <v/>
      </c>
      <c r="L13" s="47">
        <f>Labour!L13*gw_rel*J13/Labour!B13</f>
        <v/>
      </c>
      <c r="M13" s="62">
        <f>Champions!AQ13</f>
        <v/>
      </c>
      <c r="N13" s="47">
        <f>IF(Gulf!E13=1,Gulf!D13,0)</f>
        <v/>
      </c>
      <c r="O13" s="47">
        <f>J13+K13+L13+M13+N13</f>
        <v/>
      </c>
      <c r="P13" s="47">
        <f>O13*1000000/(B13+People!V13+Labour!L13)</f>
        <v/>
      </c>
      <c r="Q13" s="45" t="n">
        <v>117</v>
      </c>
      <c r="R13" s="67">
        <f>P13/Q13</f>
        <v/>
      </c>
      <c r="S13" s="47">
        <f>O13/H13</f>
        <v/>
      </c>
    </row>
    <row r="14">
      <c r="A14" s="58" t="n">
        <v>1854</v>
      </c>
      <c r="B14" s="47">
        <f>(People!B14+People!L14)/2</f>
        <v/>
      </c>
      <c r="C14" s="63">
        <f>Paths!L14*IF($A14&gt;=1896,prod_factor,1)</f>
        <v/>
      </c>
      <c r="D14" s="64">
        <f>IF(O13&gt;0,MIN(dev_cap,dev_return*'Debt &amp; cash'!N13/O13),0)</f>
        <v/>
      </c>
      <c r="E14" s="63">
        <f>C14+D14</f>
        <v/>
      </c>
      <c r="F14" s="47">
        <f>F13*(1+E14)</f>
        <v/>
      </c>
      <c r="G14" s="65">
        <f>1-(1-Paths!M14)*IF($A14&gt;=1930,dep_severity,1)</f>
        <v/>
      </c>
      <c r="H14" s="65">
        <f>IF($A14&gt;=1930,Paths!B$89+(Paths!B14-Paths!B$89)*slump_price,Paths!B14)</f>
        <v/>
      </c>
      <c r="I14" s="66">
        <f>Labour!AO14</f>
        <v/>
      </c>
      <c r="J14" s="47">
        <f>B14*F14*(1+I14)*G14*H14/1000000</f>
        <v/>
      </c>
      <c r="K14" s="62">
        <f>Resources!O14</f>
        <v/>
      </c>
      <c r="L14" s="47">
        <f>Labour!L14*gw_rel*J14/Labour!B14</f>
        <v/>
      </c>
      <c r="M14" s="62">
        <f>Champions!AQ14</f>
        <v/>
      </c>
      <c r="N14" s="47">
        <f>IF(Gulf!E14=1,Gulf!D14,0)</f>
        <v/>
      </c>
      <c r="O14" s="47">
        <f>J14+K14+L14+M14+N14</f>
        <v/>
      </c>
      <c r="P14" s="47">
        <f>O14*1000000/(B14+People!V14+Labour!L14)</f>
        <v/>
      </c>
      <c r="Q14" s="45" t="n">
        <v>121</v>
      </c>
      <c r="R14" s="67">
        <f>P14/Q14</f>
        <v/>
      </c>
      <c r="S14" s="47">
        <f>O14/H14</f>
        <v/>
      </c>
    </row>
    <row r="15">
      <c r="A15" s="58" t="n">
        <v>1855</v>
      </c>
      <c r="B15" s="47">
        <f>(People!B15+People!L15)/2</f>
        <v/>
      </c>
      <c r="C15" s="63">
        <f>Paths!L15*IF($A15&gt;=1896,prod_factor,1)</f>
        <v/>
      </c>
      <c r="D15" s="64">
        <f>IF(O14&gt;0,MIN(dev_cap,dev_return*'Debt &amp; cash'!N14/O14),0)</f>
        <v/>
      </c>
      <c r="E15" s="63">
        <f>C15+D15</f>
        <v/>
      </c>
      <c r="F15" s="47">
        <f>F14*(1+E15)</f>
        <v/>
      </c>
      <c r="G15" s="65">
        <f>1-(1-Paths!M15)*IF($A15&gt;=1930,dep_severity,1)</f>
        <v/>
      </c>
      <c r="H15" s="65">
        <f>IF($A15&gt;=1930,Paths!B$89+(Paths!B15-Paths!B$89)*slump_price,Paths!B15)</f>
        <v/>
      </c>
      <c r="I15" s="66">
        <f>Labour!AO15</f>
        <v/>
      </c>
      <c r="J15" s="47">
        <f>B15*F15*(1+I15)*G15*H15/1000000</f>
        <v/>
      </c>
      <c r="K15" s="62">
        <f>Resources!O15</f>
        <v/>
      </c>
      <c r="L15" s="47">
        <f>Labour!L15*gw_rel*J15/Labour!B15</f>
        <v/>
      </c>
      <c r="M15" s="62">
        <f>Champions!AQ15</f>
        <v/>
      </c>
      <c r="N15" s="47">
        <f>IF(Gulf!E15=1,Gulf!D15,0)</f>
        <v/>
      </c>
      <c r="O15" s="47">
        <f>J15+K15+L15+M15+N15</f>
        <v/>
      </c>
      <c r="P15" s="47">
        <f>O15*1000000/(B15+People!V15+Labour!L15)</f>
        <v/>
      </c>
      <c r="Q15" s="45" t="n">
        <v>125</v>
      </c>
      <c r="R15" s="67">
        <f>P15/Q15</f>
        <v/>
      </c>
      <c r="S15" s="47">
        <f>O15/H15</f>
        <v/>
      </c>
    </row>
    <row r="16">
      <c r="A16" s="58" t="n">
        <v>1856</v>
      </c>
      <c r="B16" s="47">
        <f>(People!B16+People!L16)/2</f>
        <v/>
      </c>
      <c r="C16" s="63">
        <f>Paths!L16*IF($A16&gt;=1896,prod_factor,1)</f>
        <v/>
      </c>
      <c r="D16" s="64">
        <f>IF(O15&gt;0,MIN(dev_cap,dev_return*'Debt &amp; cash'!N15/O15),0)</f>
        <v/>
      </c>
      <c r="E16" s="63">
        <f>C16+D16</f>
        <v/>
      </c>
      <c r="F16" s="47">
        <f>F15*(1+E16)</f>
        <v/>
      </c>
      <c r="G16" s="65">
        <f>1-(1-Paths!M16)*IF($A16&gt;=1930,dep_severity,1)</f>
        <v/>
      </c>
      <c r="H16" s="65">
        <f>IF($A16&gt;=1930,Paths!B$89+(Paths!B16-Paths!B$89)*slump_price,Paths!B16)</f>
        <v/>
      </c>
      <c r="I16" s="66">
        <f>Labour!AO16</f>
        <v/>
      </c>
      <c r="J16" s="47">
        <f>B16*F16*(1+I16)*G16*H16/1000000</f>
        <v/>
      </c>
      <c r="K16" s="62">
        <f>Resources!O16</f>
        <v/>
      </c>
      <c r="L16" s="47">
        <f>Labour!L16*gw_rel*J16/Labour!B16</f>
        <v/>
      </c>
      <c r="M16" s="62">
        <f>Champions!AQ16</f>
        <v/>
      </c>
      <c r="N16" s="47">
        <f>IF(Gulf!E16=1,Gulf!D16,0)</f>
        <v/>
      </c>
      <c r="O16" s="47">
        <f>J16+K16+L16+M16+N16</f>
        <v/>
      </c>
      <c r="P16" s="47">
        <f>O16*1000000/(B16+People!V16+Labour!L16)</f>
        <v/>
      </c>
      <c r="Q16" s="45" t="n">
        <v>128</v>
      </c>
      <c r="R16" s="67">
        <f>P16/Q16</f>
        <v/>
      </c>
      <c r="S16" s="47">
        <f>O16/H16</f>
        <v/>
      </c>
    </row>
    <row r="17">
      <c r="A17" s="58" t="n">
        <v>1857</v>
      </c>
      <c r="B17" s="47">
        <f>(People!B17+People!L17)/2</f>
        <v/>
      </c>
      <c r="C17" s="63">
        <f>Paths!L17*IF($A17&gt;=1896,prod_factor,1)</f>
        <v/>
      </c>
      <c r="D17" s="64">
        <f>IF(O16&gt;0,MIN(dev_cap,dev_return*'Debt &amp; cash'!N16/O16),0)</f>
        <v/>
      </c>
      <c r="E17" s="63">
        <f>C17+D17</f>
        <v/>
      </c>
      <c r="F17" s="47">
        <f>F16*(1+E17)</f>
        <v/>
      </c>
      <c r="G17" s="65">
        <f>1-(1-Paths!M17)*IF($A17&gt;=1930,dep_severity,1)</f>
        <v/>
      </c>
      <c r="H17" s="65">
        <f>IF($A17&gt;=1930,Paths!B$89+(Paths!B17-Paths!B$89)*slump_price,Paths!B17)</f>
        <v/>
      </c>
      <c r="I17" s="66">
        <f>Labour!AO17</f>
        <v/>
      </c>
      <c r="J17" s="47">
        <f>B17*F17*(1+I17)*G17*H17/1000000</f>
        <v/>
      </c>
      <c r="K17" s="62">
        <f>Resources!O17</f>
        <v/>
      </c>
      <c r="L17" s="47">
        <f>Labour!L17*gw_rel*J17/Labour!B17</f>
        <v/>
      </c>
      <c r="M17" s="62">
        <f>Champions!AQ17</f>
        <v/>
      </c>
      <c r="N17" s="47">
        <f>IF(Gulf!E17=1,Gulf!D17,0)</f>
        <v/>
      </c>
      <c r="O17" s="47">
        <f>J17+K17+L17+M17+N17</f>
        <v/>
      </c>
      <c r="P17" s="47">
        <f>O17*1000000/(B17+People!V17+Labour!L17)</f>
        <v/>
      </c>
      <c r="Q17" s="45" t="n">
        <v>131</v>
      </c>
      <c r="R17" s="67">
        <f>P17/Q17</f>
        <v/>
      </c>
      <c r="S17" s="47">
        <f>O17/H17</f>
        <v/>
      </c>
    </row>
    <row r="18">
      <c r="A18" s="58" t="n">
        <v>1858</v>
      </c>
      <c r="B18" s="47">
        <f>(People!B18+People!L18)/2</f>
        <v/>
      </c>
      <c r="C18" s="63">
        <f>Paths!L18*IF($A18&gt;=1896,prod_factor,1)</f>
        <v/>
      </c>
      <c r="D18" s="64">
        <f>IF(O17&gt;0,MIN(dev_cap,dev_return*'Debt &amp; cash'!N17/O17),0)</f>
        <v/>
      </c>
      <c r="E18" s="63">
        <f>C18+D18</f>
        <v/>
      </c>
      <c r="F18" s="47">
        <f>F17*(1+E18)</f>
        <v/>
      </c>
      <c r="G18" s="65">
        <f>1-(1-Paths!M18)*IF($A18&gt;=1930,dep_severity,1)</f>
        <v/>
      </c>
      <c r="H18" s="65">
        <f>IF($A18&gt;=1930,Paths!B$89+(Paths!B18-Paths!B$89)*slump_price,Paths!B18)</f>
        <v/>
      </c>
      <c r="I18" s="66">
        <f>Labour!AO18</f>
        <v/>
      </c>
      <c r="J18" s="47">
        <f>B18*F18*(1+I18)*G18*H18/1000000</f>
        <v/>
      </c>
      <c r="K18" s="62">
        <f>Resources!O18</f>
        <v/>
      </c>
      <c r="L18" s="47">
        <f>Labour!L18*gw_rel*J18/Labour!B18</f>
        <v/>
      </c>
      <c r="M18" s="62">
        <f>Champions!AQ18</f>
        <v/>
      </c>
      <c r="N18" s="47">
        <f>IF(Gulf!E18=1,Gulf!D18,0)</f>
        <v/>
      </c>
      <c r="O18" s="47">
        <f>J18+K18+L18+M18+N18</f>
        <v/>
      </c>
      <c r="P18" s="47">
        <f>O18*1000000/(B18+People!V18+Labour!L18)</f>
        <v/>
      </c>
      <c r="Q18" s="45" t="n">
        <v>134</v>
      </c>
      <c r="R18" s="67">
        <f>P18/Q18</f>
        <v/>
      </c>
      <c r="S18" s="47">
        <f>O18/H18</f>
        <v/>
      </c>
    </row>
    <row r="19">
      <c r="A19" s="58" t="n">
        <v>1859</v>
      </c>
      <c r="B19" s="47">
        <f>(People!B19+People!L19)/2</f>
        <v/>
      </c>
      <c r="C19" s="63">
        <f>Paths!L19*IF($A19&gt;=1896,prod_factor,1)</f>
        <v/>
      </c>
      <c r="D19" s="64">
        <f>IF(O18&gt;0,MIN(dev_cap,dev_return*'Debt &amp; cash'!N18/O18),0)</f>
        <v/>
      </c>
      <c r="E19" s="63">
        <f>C19+D19</f>
        <v/>
      </c>
      <c r="F19" s="47">
        <f>F18*(1+E19)</f>
        <v/>
      </c>
      <c r="G19" s="65">
        <f>1-(1-Paths!M19)*IF($A19&gt;=1930,dep_severity,1)</f>
        <v/>
      </c>
      <c r="H19" s="65">
        <f>IF($A19&gt;=1930,Paths!B$89+(Paths!B19-Paths!B$89)*slump_price,Paths!B19)</f>
        <v/>
      </c>
      <c r="I19" s="66">
        <f>Labour!AO19</f>
        <v/>
      </c>
      <c r="J19" s="47">
        <f>B19*F19*(1+I19)*G19*H19/1000000</f>
        <v/>
      </c>
      <c r="K19" s="62">
        <f>Resources!O19</f>
        <v/>
      </c>
      <c r="L19" s="47">
        <f>Labour!L19*gw_rel*J19/Labour!B19</f>
        <v/>
      </c>
      <c r="M19" s="62">
        <f>Champions!AQ19</f>
        <v/>
      </c>
      <c r="N19" s="47">
        <f>IF(Gulf!E19=1,Gulf!D19,0)</f>
        <v/>
      </c>
      <c r="O19" s="47">
        <f>J19+K19+L19+M19+N19</f>
        <v/>
      </c>
      <c r="P19" s="47">
        <f>O19*1000000/(B19+People!V19+Labour!L19)</f>
        <v/>
      </c>
      <c r="Q19" s="45" t="n">
        <v>137</v>
      </c>
      <c r="R19" s="67">
        <f>P19/Q19</f>
        <v/>
      </c>
      <c r="S19" s="47">
        <f>O19/H19</f>
        <v/>
      </c>
    </row>
    <row r="20">
      <c r="A20" s="58" t="n">
        <v>1860</v>
      </c>
      <c r="B20" s="47">
        <f>(People!B20+People!L20)/2</f>
        <v/>
      </c>
      <c r="C20" s="63">
        <f>Paths!L20*IF($A20&gt;=1896,prod_factor,1)</f>
        <v/>
      </c>
      <c r="D20" s="64">
        <f>IF(O19&gt;0,MIN(dev_cap,dev_return*'Debt &amp; cash'!N19/O19),0)</f>
        <v/>
      </c>
      <c r="E20" s="63">
        <f>C20+D20</f>
        <v/>
      </c>
      <c r="F20" s="47">
        <f>F19*(1+E20)</f>
        <v/>
      </c>
      <c r="G20" s="65">
        <f>1-(1-Paths!M20)*IF($A20&gt;=1930,dep_severity,1)</f>
        <v/>
      </c>
      <c r="H20" s="65">
        <f>IF($A20&gt;=1930,Paths!B$89+(Paths!B20-Paths!B$89)*slump_price,Paths!B20)</f>
        <v/>
      </c>
      <c r="I20" s="66">
        <f>Labour!AO20</f>
        <v/>
      </c>
      <c r="J20" s="47">
        <f>B20*F20*(1+I20)*G20*H20/1000000</f>
        <v/>
      </c>
      <c r="K20" s="62">
        <f>Resources!O20</f>
        <v/>
      </c>
      <c r="L20" s="47">
        <f>Labour!L20*gw_rel*J20/Labour!B20</f>
        <v/>
      </c>
      <c r="M20" s="62">
        <f>Champions!AQ20</f>
        <v/>
      </c>
      <c r="N20" s="47">
        <f>IF(Gulf!E20=1,Gulf!D20,0)</f>
        <v/>
      </c>
      <c r="O20" s="47">
        <f>J20+K20+L20+M20+N20</f>
        <v/>
      </c>
      <c r="P20" s="47">
        <f>O20*1000000/(B20+People!V20+Labour!L20)</f>
        <v/>
      </c>
      <c r="Q20" s="45" t="n">
        <v>140</v>
      </c>
      <c r="R20" s="67">
        <f>P20/Q20</f>
        <v/>
      </c>
      <c r="S20" s="47">
        <f>O20/H20</f>
        <v/>
      </c>
    </row>
    <row r="21">
      <c r="A21" s="61" t="n">
        <v>1861</v>
      </c>
      <c r="B21" s="47">
        <f>(People!B21+People!L21)/2</f>
        <v/>
      </c>
      <c r="C21" s="63">
        <f>Paths!L21*IF($A21&gt;=1896,prod_factor,1)</f>
        <v/>
      </c>
      <c r="D21" s="64">
        <f>IF(O20&gt;0,MIN(dev_cap,dev_return*'Debt &amp; cash'!N20/O20),0)</f>
        <v/>
      </c>
      <c r="E21" s="63">
        <f>C21+D21</f>
        <v/>
      </c>
      <c r="F21" s="47">
        <f>F20*(1+E21)</f>
        <v/>
      </c>
      <c r="G21" s="65">
        <f>1-(1-Paths!M21)*IF($A21&gt;=1930,dep_severity,1)</f>
        <v/>
      </c>
      <c r="H21" s="65">
        <f>IF($A21&gt;=1930,Paths!B$89+(Paths!B21-Paths!B$89)*slump_price,Paths!B21)</f>
        <v/>
      </c>
      <c r="I21" s="66">
        <f>Labour!AO21</f>
        <v/>
      </c>
      <c r="J21" s="47">
        <f>B21*F21*(1+I21)*G21*H21/1000000</f>
        <v/>
      </c>
      <c r="K21" s="62">
        <f>Resources!O21</f>
        <v/>
      </c>
      <c r="L21" s="47">
        <f>Labour!L21*gw_rel*J21/Labour!B21</f>
        <v/>
      </c>
      <c r="M21" s="62">
        <f>Champions!AQ21</f>
        <v/>
      </c>
      <c r="N21" s="47">
        <f>IF(Gulf!E21=1,Gulf!D21,0)</f>
        <v/>
      </c>
      <c r="O21" s="47">
        <f>J21+K21+L21+M21+N21</f>
        <v/>
      </c>
      <c r="P21" s="47">
        <f>O21*1000000/(B21+People!V21+Labour!L21)</f>
        <v/>
      </c>
      <c r="Q21" s="45" t="n">
        <v>142</v>
      </c>
      <c r="R21" s="67">
        <f>P21/Q21</f>
        <v/>
      </c>
      <c r="S21" s="47">
        <f>O21/H21</f>
        <v/>
      </c>
    </row>
    <row r="22">
      <c r="A22" s="61" t="n">
        <v>1862</v>
      </c>
      <c r="B22" s="47">
        <f>(People!B22+People!L22)/2</f>
        <v/>
      </c>
      <c r="C22" s="63">
        <f>Paths!L22*IF($A22&gt;=1896,prod_factor,1)</f>
        <v/>
      </c>
      <c r="D22" s="64">
        <f>IF(O21&gt;0,MIN(dev_cap,dev_return*'Debt &amp; cash'!N21/O21),0)</f>
        <v/>
      </c>
      <c r="E22" s="63">
        <f>C22+D22</f>
        <v/>
      </c>
      <c r="F22" s="47">
        <f>F21*(1+E22)</f>
        <v/>
      </c>
      <c r="G22" s="65">
        <f>1-(1-Paths!M22)*IF($A22&gt;=1930,dep_severity,1)</f>
        <v/>
      </c>
      <c r="H22" s="65">
        <f>IF($A22&gt;=1930,Paths!B$89+(Paths!B22-Paths!B$89)*slump_price,Paths!B22)</f>
        <v/>
      </c>
      <c r="I22" s="66">
        <f>Labour!AO22</f>
        <v/>
      </c>
      <c r="J22" s="47">
        <f>B22*F22*(1+I22)*G22*H22/1000000</f>
        <v/>
      </c>
      <c r="K22" s="62">
        <f>Resources!O22</f>
        <v/>
      </c>
      <c r="L22" s="47">
        <f>Labour!L22*gw_rel*J22/Labour!B22</f>
        <v/>
      </c>
      <c r="M22" s="62">
        <f>Champions!AQ22</f>
        <v/>
      </c>
      <c r="N22" s="47">
        <f>IF(Gulf!E22=1,Gulf!D22,0)</f>
        <v/>
      </c>
      <c r="O22" s="47">
        <f>J22+K22+L22+M22+N22</f>
        <v/>
      </c>
      <c r="P22" s="47">
        <f>O22*1000000/(B22+People!V22+Labour!L22)</f>
        <v/>
      </c>
      <c r="Q22" s="45" t="n">
        <v>144</v>
      </c>
      <c r="R22" s="67">
        <f>P22/Q22</f>
        <v/>
      </c>
      <c r="S22" s="47">
        <f>O22/H22</f>
        <v/>
      </c>
    </row>
    <row r="23">
      <c r="A23" s="61" t="n">
        <v>1863</v>
      </c>
      <c r="B23" s="47">
        <f>(People!B23+People!L23)/2</f>
        <v/>
      </c>
      <c r="C23" s="63">
        <f>Paths!L23*IF($A23&gt;=1896,prod_factor,1)</f>
        <v/>
      </c>
      <c r="D23" s="64">
        <f>IF(O22&gt;0,MIN(dev_cap,dev_return*'Debt &amp; cash'!N22/O22),0)</f>
        <v/>
      </c>
      <c r="E23" s="63">
        <f>C23+D23</f>
        <v/>
      </c>
      <c r="F23" s="47">
        <f>F22*(1+E23)</f>
        <v/>
      </c>
      <c r="G23" s="65">
        <f>1-(1-Paths!M23)*IF($A23&gt;=1930,dep_severity,1)</f>
        <v/>
      </c>
      <c r="H23" s="65">
        <f>IF($A23&gt;=1930,Paths!B$89+(Paths!B23-Paths!B$89)*slump_price,Paths!B23)</f>
        <v/>
      </c>
      <c r="I23" s="66">
        <f>Labour!AO23</f>
        <v/>
      </c>
      <c r="J23" s="47">
        <f>B23*F23*(1+I23)*G23*H23/1000000</f>
        <v/>
      </c>
      <c r="K23" s="62">
        <f>Resources!O23</f>
        <v/>
      </c>
      <c r="L23" s="47">
        <f>Labour!L23*gw_rel*J23/Labour!B23</f>
        <v/>
      </c>
      <c r="M23" s="62">
        <f>Champions!AQ23</f>
        <v/>
      </c>
      <c r="N23" s="47">
        <f>IF(Gulf!E23=1,Gulf!D23,0)</f>
        <v/>
      </c>
      <c r="O23" s="47">
        <f>J23+K23+L23+M23+N23</f>
        <v/>
      </c>
      <c r="P23" s="47">
        <f>O23*1000000/(B23+People!V23+Labour!L23)</f>
        <v/>
      </c>
      <c r="Q23" s="45" t="n">
        <v>146</v>
      </c>
      <c r="R23" s="67">
        <f>P23/Q23</f>
        <v/>
      </c>
      <c r="S23" s="47">
        <f>O23/H23</f>
        <v/>
      </c>
    </row>
    <row r="24">
      <c r="A24" s="61" t="n">
        <v>1864</v>
      </c>
      <c r="B24" s="47">
        <f>(People!B24+People!L24)/2</f>
        <v/>
      </c>
      <c r="C24" s="63">
        <f>Paths!L24*IF($A24&gt;=1896,prod_factor,1)</f>
        <v/>
      </c>
      <c r="D24" s="64">
        <f>IF(O23&gt;0,MIN(dev_cap,dev_return*'Debt &amp; cash'!N23/O23),0)</f>
        <v/>
      </c>
      <c r="E24" s="63">
        <f>C24+D24</f>
        <v/>
      </c>
      <c r="F24" s="47">
        <f>F23*(1+E24)</f>
        <v/>
      </c>
      <c r="G24" s="65">
        <f>1-(1-Paths!M24)*IF($A24&gt;=1930,dep_severity,1)</f>
        <v/>
      </c>
      <c r="H24" s="65">
        <f>IF($A24&gt;=1930,Paths!B$89+(Paths!B24-Paths!B$89)*slump_price,Paths!B24)</f>
        <v/>
      </c>
      <c r="I24" s="66">
        <f>Labour!AO24</f>
        <v/>
      </c>
      <c r="J24" s="47">
        <f>B24*F24*(1+I24)*G24*H24/1000000</f>
        <v/>
      </c>
      <c r="K24" s="62">
        <f>Resources!O24</f>
        <v/>
      </c>
      <c r="L24" s="47">
        <f>Labour!L24*gw_rel*J24/Labour!B24</f>
        <v/>
      </c>
      <c r="M24" s="62">
        <f>Champions!AQ24</f>
        <v/>
      </c>
      <c r="N24" s="47">
        <f>IF(Gulf!E24=1,Gulf!D24,0)</f>
        <v/>
      </c>
      <c r="O24" s="47">
        <f>J24+K24+L24+M24+N24</f>
        <v/>
      </c>
      <c r="P24" s="47">
        <f>O24*1000000/(B24+People!V24+Labour!L24)</f>
        <v/>
      </c>
      <c r="Q24" s="45" t="n">
        <v>148</v>
      </c>
      <c r="R24" s="67">
        <f>P24/Q24</f>
        <v/>
      </c>
      <c r="S24" s="47">
        <f>O24/H24</f>
        <v/>
      </c>
    </row>
    <row r="25">
      <c r="A25" s="61" t="n">
        <v>1865</v>
      </c>
      <c r="B25" s="47">
        <f>(People!B25+People!L25)/2</f>
        <v/>
      </c>
      <c r="C25" s="63">
        <f>Paths!L25*IF($A25&gt;=1896,prod_factor,1)</f>
        <v/>
      </c>
      <c r="D25" s="64">
        <f>IF(O24&gt;0,MIN(dev_cap,dev_return*'Debt &amp; cash'!N24/O24),0)</f>
        <v/>
      </c>
      <c r="E25" s="63">
        <f>C25+D25</f>
        <v/>
      </c>
      <c r="F25" s="47">
        <f>F24*(1+E25)</f>
        <v/>
      </c>
      <c r="G25" s="65">
        <f>1-(1-Paths!M25)*IF($A25&gt;=1930,dep_severity,1)</f>
        <v/>
      </c>
      <c r="H25" s="65">
        <f>IF($A25&gt;=1930,Paths!B$89+(Paths!B25-Paths!B$89)*slump_price,Paths!B25)</f>
        <v/>
      </c>
      <c r="I25" s="66">
        <f>Labour!AO25</f>
        <v/>
      </c>
      <c r="J25" s="47">
        <f>B25*F25*(1+I25)*G25*H25/1000000</f>
        <v/>
      </c>
      <c r="K25" s="62">
        <f>Resources!O25</f>
        <v/>
      </c>
      <c r="L25" s="47">
        <f>Labour!L25*gw_rel*J25/Labour!B25</f>
        <v/>
      </c>
      <c r="M25" s="62">
        <f>Champions!AQ25</f>
        <v/>
      </c>
      <c r="N25" s="47">
        <f>IF(Gulf!E25=1,Gulf!D25,0)</f>
        <v/>
      </c>
      <c r="O25" s="47">
        <f>J25+K25+L25+M25+N25</f>
        <v/>
      </c>
      <c r="P25" s="47">
        <f>O25*1000000/(B25+People!V25+Labour!L25)</f>
        <v/>
      </c>
      <c r="Q25" s="45" t="n">
        <v>150</v>
      </c>
      <c r="R25" s="67">
        <f>P25/Q25</f>
        <v/>
      </c>
      <c r="S25" s="47">
        <f>O25/H25</f>
        <v/>
      </c>
    </row>
    <row r="26">
      <c r="A26" s="58" t="n">
        <v>1866</v>
      </c>
      <c r="B26" s="47">
        <f>(People!B26+People!L26)/2</f>
        <v/>
      </c>
      <c r="C26" s="63">
        <f>Paths!L26*IF($A26&gt;=1896,prod_factor,1)</f>
        <v/>
      </c>
      <c r="D26" s="64">
        <f>IF(O25&gt;0,MIN(dev_cap,dev_return*'Debt &amp; cash'!N25/O25),0)</f>
        <v/>
      </c>
      <c r="E26" s="63">
        <f>C26+D26</f>
        <v/>
      </c>
      <c r="F26" s="47">
        <f>F25*(1+E26)</f>
        <v/>
      </c>
      <c r="G26" s="65">
        <f>1-(1-Paths!M26)*IF($A26&gt;=1930,dep_severity,1)</f>
        <v/>
      </c>
      <c r="H26" s="65">
        <f>IF($A26&gt;=1930,Paths!B$89+(Paths!B26-Paths!B$89)*slump_price,Paths!B26)</f>
        <v/>
      </c>
      <c r="I26" s="66">
        <f>Labour!AO26</f>
        <v/>
      </c>
      <c r="J26" s="47">
        <f>B26*F26*(1+I26)*G26*H26/1000000</f>
        <v/>
      </c>
      <c r="K26" s="62">
        <f>Resources!O26</f>
        <v/>
      </c>
      <c r="L26" s="47">
        <f>Labour!L26*gw_rel*J26/Labour!B26</f>
        <v/>
      </c>
      <c r="M26" s="62">
        <f>Champions!AQ26</f>
        <v/>
      </c>
      <c r="N26" s="47">
        <f>IF(Gulf!E26=1,Gulf!D26,0)</f>
        <v/>
      </c>
      <c r="O26" s="47">
        <f>J26+K26+L26+M26+N26</f>
        <v/>
      </c>
      <c r="P26" s="47">
        <f>O26*1000000/(B26+People!V26+Labour!L26)</f>
        <v/>
      </c>
      <c r="Q26" s="45" t="n">
        <v>154</v>
      </c>
      <c r="R26" s="67">
        <f>P26/Q26</f>
        <v/>
      </c>
      <c r="S26" s="47">
        <f>O26/H26</f>
        <v/>
      </c>
    </row>
    <row r="27">
      <c r="A27" s="58" t="n">
        <v>1867</v>
      </c>
      <c r="B27" s="47">
        <f>(People!B27+People!L27)/2</f>
        <v/>
      </c>
      <c r="C27" s="63">
        <f>Paths!L27*IF($A27&gt;=1896,prod_factor,1)</f>
        <v/>
      </c>
      <c r="D27" s="64">
        <f>IF(O26&gt;0,MIN(dev_cap,dev_return*'Debt &amp; cash'!N26/O26),0)</f>
        <v/>
      </c>
      <c r="E27" s="63">
        <f>C27+D27</f>
        <v/>
      </c>
      <c r="F27" s="47">
        <f>F26*(1+E27)</f>
        <v/>
      </c>
      <c r="G27" s="65">
        <f>1-(1-Paths!M27)*IF($A27&gt;=1930,dep_severity,1)</f>
        <v/>
      </c>
      <c r="H27" s="65">
        <f>IF($A27&gt;=1930,Paths!B$89+(Paths!B27-Paths!B$89)*slump_price,Paths!B27)</f>
        <v/>
      </c>
      <c r="I27" s="66">
        <f>Labour!AO27</f>
        <v/>
      </c>
      <c r="J27" s="47">
        <f>B27*F27*(1+I27)*G27*H27/1000000</f>
        <v/>
      </c>
      <c r="K27" s="62">
        <f>Resources!O27</f>
        <v/>
      </c>
      <c r="L27" s="47">
        <f>Labour!L27*gw_rel*J27/Labour!B27</f>
        <v/>
      </c>
      <c r="M27" s="62">
        <f>Champions!AQ27</f>
        <v/>
      </c>
      <c r="N27" s="47">
        <f>IF(Gulf!E27=1,Gulf!D27,0)</f>
        <v/>
      </c>
      <c r="O27" s="47">
        <f>J27+K27+L27+M27+N27</f>
        <v/>
      </c>
      <c r="P27" s="47">
        <f>O27*1000000/(B27+People!V27+Labour!L27)</f>
        <v/>
      </c>
      <c r="Q27" s="45" t="n">
        <v>159</v>
      </c>
      <c r="R27" s="67">
        <f>P27/Q27</f>
        <v/>
      </c>
      <c r="S27" s="47">
        <f>O27/H27</f>
        <v/>
      </c>
    </row>
    <row r="28">
      <c r="A28" s="58" t="n">
        <v>1868</v>
      </c>
      <c r="B28" s="47">
        <f>(People!B28+People!L28)/2</f>
        <v/>
      </c>
      <c r="C28" s="63">
        <f>Paths!L28*IF($A28&gt;=1896,prod_factor,1)</f>
        <v/>
      </c>
      <c r="D28" s="64">
        <f>IF(O27&gt;0,MIN(dev_cap,dev_return*'Debt &amp; cash'!N27/O27),0)</f>
        <v/>
      </c>
      <c r="E28" s="63">
        <f>C28+D28</f>
        <v/>
      </c>
      <c r="F28" s="47">
        <f>F27*(1+E28)</f>
        <v/>
      </c>
      <c r="G28" s="65">
        <f>1-(1-Paths!M28)*IF($A28&gt;=1930,dep_severity,1)</f>
        <v/>
      </c>
      <c r="H28" s="65">
        <f>IF($A28&gt;=1930,Paths!B$89+(Paths!B28-Paths!B$89)*slump_price,Paths!B28)</f>
        <v/>
      </c>
      <c r="I28" s="66">
        <f>Labour!AO28</f>
        <v/>
      </c>
      <c r="J28" s="47">
        <f>B28*F28*(1+I28)*G28*H28/1000000</f>
        <v/>
      </c>
      <c r="K28" s="62">
        <f>Resources!O28</f>
        <v/>
      </c>
      <c r="L28" s="47">
        <f>Labour!L28*gw_rel*J28/Labour!B28</f>
        <v/>
      </c>
      <c r="M28" s="62">
        <f>Champions!AQ28</f>
        <v/>
      </c>
      <c r="N28" s="47">
        <f>IF(Gulf!E28=1,Gulf!D28,0)</f>
        <v/>
      </c>
      <c r="O28" s="47">
        <f>J28+K28+L28+M28+N28</f>
        <v/>
      </c>
      <c r="P28" s="47">
        <f>O28*1000000/(B28+People!V28+Labour!L28)</f>
        <v/>
      </c>
      <c r="Q28" s="45" t="n">
        <v>163</v>
      </c>
      <c r="R28" s="67">
        <f>P28/Q28</f>
        <v/>
      </c>
      <c r="S28" s="47">
        <f>O28/H28</f>
        <v/>
      </c>
    </row>
    <row r="29">
      <c r="A29" s="58" t="n">
        <v>1869</v>
      </c>
      <c r="B29" s="47">
        <f>(People!B29+People!L29)/2</f>
        <v/>
      </c>
      <c r="C29" s="63">
        <f>Paths!L29*IF($A29&gt;=1896,prod_factor,1)</f>
        <v/>
      </c>
      <c r="D29" s="64">
        <f>IF(O28&gt;0,MIN(dev_cap,dev_return*'Debt &amp; cash'!N28/O28),0)</f>
        <v/>
      </c>
      <c r="E29" s="63">
        <f>C29+D29</f>
        <v/>
      </c>
      <c r="F29" s="47">
        <f>F28*(1+E29)</f>
        <v/>
      </c>
      <c r="G29" s="65">
        <f>1-(1-Paths!M29)*IF($A29&gt;=1930,dep_severity,1)</f>
        <v/>
      </c>
      <c r="H29" s="65">
        <f>IF($A29&gt;=1930,Paths!B$89+(Paths!B29-Paths!B$89)*slump_price,Paths!B29)</f>
        <v/>
      </c>
      <c r="I29" s="66">
        <f>Labour!AO29</f>
        <v/>
      </c>
      <c r="J29" s="47">
        <f>B29*F29*(1+I29)*G29*H29/1000000</f>
        <v/>
      </c>
      <c r="K29" s="62">
        <f>Resources!O29</f>
        <v/>
      </c>
      <c r="L29" s="47">
        <f>Labour!L29*gw_rel*J29/Labour!B29</f>
        <v/>
      </c>
      <c r="M29" s="62">
        <f>Champions!AQ29</f>
        <v/>
      </c>
      <c r="N29" s="47">
        <f>IF(Gulf!E29=1,Gulf!D29,0)</f>
        <v/>
      </c>
      <c r="O29" s="47">
        <f>J29+K29+L29+M29+N29</f>
        <v/>
      </c>
      <c r="P29" s="47">
        <f>O29*1000000/(B29+People!V29+Labour!L29)</f>
        <v/>
      </c>
      <c r="Q29" s="45" t="n">
        <v>168</v>
      </c>
      <c r="R29" s="67">
        <f>P29/Q29</f>
        <v/>
      </c>
      <c r="S29" s="47">
        <f>O29/H29</f>
        <v/>
      </c>
    </row>
    <row r="30">
      <c r="A30" s="61" t="n">
        <v>1870</v>
      </c>
      <c r="B30" s="47">
        <f>(People!B30+People!L30)/2</f>
        <v/>
      </c>
      <c r="C30" s="63">
        <f>Paths!L30*IF($A30&gt;=1896,prod_factor,1)</f>
        <v/>
      </c>
      <c r="D30" s="64">
        <f>IF(O29&gt;0,MIN(dev_cap,dev_return*'Debt &amp; cash'!N29/O29),0)</f>
        <v/>
      </c>
      <c r="E30" s="63">
        <f>C30+D30</f>
        <v/>
      </c>
      <c r="F30" s="47">
        <f>F29*(1+E30)</f>
        <v/>
      </c>
      <c r="G30" s="65">
        <f>1-(1-Paths!M30)*IF($A30&gt;=1930,dep_severity,1)</f>
        <v/>
      </c>
      <c r="H30" s="65">
        <f>IF($A30&gt;=1930,Paths!B$89+(Paths!B30-Paths!B$89)*slump_price,Paths!B30)</f>
        <v/>
      </c>
      <c r="I30" s="66">
        <f>Labour!AO30</f>
        <v/>
      </c>
      <c r="J30" s="47">
        <f>B30*F30*(1+I30)*G30*H30/1000000</f>
        <v/>
      </c>
      <c r="K30" s="62">
        <f>Resources!O30</f>
        <v/>
      </c>
      <c r="L30" s="47">
        <f>Labour!L30*gw_rel*J30/Labour!B30</f>
        <v/>
      </c>
      <c r="M30" s="62">
        <f>Champions!AQ30</f>
        <v/>
      </c>
      <c r="N30" s="47">
        <f>IF(Gulf!E30=1,Gulf!D30,0)</f>
        <v/>
      </c>
      <c r="O30" s="47">
        <f>J30+K30+L30+M30+N30</f>
        <v/>
      </c>
      <c r="P30" s="47">
        <f>O30*1000000/(B30+People!V30+Labour!L30)</f>
        <v/>
      </c>
      <c r="Q30" s="45" t="n">
        <v>172</v>
      </c>
      <c r="R30" s="67">
        <f>P30/Q30</f>
        <v/>
      </c>
      <c r="S30" s="47">
        <f>O30/H30</f>
        <v/>
      </c>
    </row>
    <row r="31">
      <c r="A31" s="61" t="n">
        <v>1871</v>
      </c>
      <c r="B31" s="47">
        <f>(People!B31+People!L31)/2</f>
        <v/>
      </c>
      <c r="C31" s="63">
        <f>Paths!L31*IF($A31&gt;=1896,prod_factor,1)</f>
        <v/>
      </c>
      <c r="D31" s="64">
        <f>IF(O30&gt;0,MIN(dev_cap,dev_return*'Debt &amp; cash'!N30/O30),0)</f>
        <v/>
      </c>
      <c r="E31" s="63">
        <f>C31+D31</f>
        <v/>
      </c>
      <c r="F31" s="47">
        <f>F30*(1+E31)</f>
        <v/>
      </c>
      <c r="G31" s="65">
        <f>1-(1-Paths!M31)*IF($A31&gt;=1930,dep_severity,1)</f>
        <v/>
      </c>
      <c r="H31" s="65">
        <f>IF($A31&gt;=1930,Paths!B$89+(Paths!B31-Paths!B$89)*slump_price,Paths!B31)</f>
        <v/>
      </c>
      <c r="I31" s="66">
        <f>Labour!AO31</f>
        <v/>
      </c>
      <c r="J31" s="47">
        <f>B31*F31*(1+I31)*G31*H31/1000000</f>
        <v/>
      </c>
      <c r="K31" s="62">
        <f>Resources!O31</f>
        <v/>
      </c>
      <c r="L31" s="47">
        <f>Labour!L31*gw_rel*J31/Labour!B31</f>
        <v/>
      </c>
      <c r="M31" s="62">
        <f>Champions!AQ31</f>
        <v/>
      </c>
      <c r="N31" s="47">
        <f>IF(Gulf!E31=1,Gulf!D31,0)</f>
        <v/>
      </c>
      <c r="O31" s="47">
        <f>J31+K31+L31+M31+N31</f>
        <v/>
      </c>
      <c r="P31" s="47">
        <f>O31*1000000/(B31+People!V31+Labour!L31)</f>
        <v/>
      </c>
      <c r="Q31" s="45" t="n">
        <v>173</v>
      </c>
      <c r="R31" s="67">
        <f>P31/Q31</f>
        <v/>
      </c>
      <c r="S31" s="47">
        <f>O31/H31</f>
        <v/>
      </c>
    </row>
    <row r="32">
      <c r="A32" s="58" t="n">
        <v>1872</v>
      </c>
      <c r="B32" s="47">
        <f>(People!B32+People!L32)/2</f>
        <v/>
      </c>
      <c r="C32" s="63">
        <f>Paths!L32*IF($A32&gt;=1896,prod_factor,1)</f>
        <v/>
      </c>
      <c r="D32" s="64">
        <f>IF(O31&gt;0,MIN(dev_cap,dev_return*'Debt &amp; cash'!N31/O31),0)</f>
        <v/>
      </c>
      <c r="E32" s="63">
        <f>C32+D32</f>
        <v/>
      </c>
      <c r="F32" s="47">
        <f>F31*(1+E32)</f>
        <v/>
      </c>
      <c r="G32" s="65">
        <f>1-(1-Paths!M32)*IF($A32&gt;=1930,dep_severity,1)</f>
        <v/>
      </c>
      <c r="H32" s="65">
        <f>IF($A32&gt;=1930,Paths!B$89+(Paths!B32-Paths!B$89)*slump_price,Paths!B32)</f>
        <v/>
      </c>
      <c r="I32" s="66">
        <f>Labour!AO32</f>
        <v/>
      </c>
      <c r="J32" s="47">
        <f>B32*F32*(1+I32)*G32*H32/1000000</f>
        <v/>
      </c>
      <c r="K32" s="62">
        <f>Resources!O32</f>
        <v/>
      </c>
      <c r="L32" s="47">
        <f>Labour!L32*gw_rel*J32/Labour!B32</f>
        <v/>
      </c>
      <c r="M32" s="62">
        <f>Champions!AQ32</f>
        <v/>
      </c>
      <c r="N32" s="47">
        <f>IF(Gulf!E32=1,Gulf!D32,0)</f>
        <v/>
      </c>
      <c r="O32" s="47">
        <f>J32+K32+L32+M32+N32</f>
        <v/>
      </c>
      <c r="P32" s="47">
        <f>O32*1000000/(B32+People!V32+Labour!L32)</f>
        <v/>
      </c>
      <c r="Q32" s="45" t="n">
        <v>173</v>
      </c>
      <c r="R32" s="67">
        <f>P32/Q32</f>
        <v/>
      </c>
      <c r="S32" s="47">
        <f>O32/H32</f>
        <v/>
      </c>
    </row>
    <row r="33">
      <c r="A33" s="58" t="n">
        <v>1873</v>
      </c>
      <c r="B33" s="47">
        <f>(People!B33+People!L33)/2</f>
        <v/>
      </c>
      <c r="C33" s="63">
        <f>Paths!L33*IF($A33&gt;=1896,prod_factor,1)</f>
        <v/>
      </c>
      <c r="D33" s="64">
        <f>IF(O32&gt;0,MIN(dev_cap,dev_return*'Debt &amp; cash'!N32/O32),0)</f>
        <v/>
      </c>
      <c r="E33" s="63">
        <f>C33+D33</f>
        <v/>
      </c>
      <c r="F33" s="47">
        <f>F32*(1+E33)</f>
        <v/>
      </c>
      <c r="G33" s="65">
        <f>1-(1-Paths!M33)*IF($A33&gt;=1930,dep_severity,1)</f>
        <v/>
      </c>
      <c r="H33" s="65">
        <f>IF($A33&gt;=1930,Paths!B$89+(Paths!B33-Paths!B$89)*slump_price,Paths!B33)</f>
        <v/>
      </c>
      <c r="I33" s="66">
        <f>Labour!AO33</f>
        <v/>
      </c>
      <c r="J33" s="47">
        <f>B33*F33*(1+I33)*G33*H33/1000000</f>
        <v/>
      </c>
      <c r="K33" s="62">
        <f>Resources!O33</f>
        <v/>
      </c>
      <c r="L33" s="47">
        <f>Labour!L33*gw_rel*J33/Labour!B33</f>
        <v/>
      </c>
      <c r="M33" s="62">
        <f>Champions!AQ33</f>
        <v/>
      </c>
      <c r="N33" s="47">
        <f>IF(Gulf!E33=1,Gulf!D33,0)</f>
        <v/>
      </c>
      <c r="O33" s="47">
        <f>J33+K33+L33+M33+N33</f>
        <v/>
      </c>
      <c r="P33" s="47">
        <f>O33*1000000/(B33+People!V33+Labour!L33)</f>
        <v/>
      </c>
      <c r="Q33" s="45" t="n">
        <v>174</v>
      </c>
      <c r="R33" s="67">
        <f>P33/Q33</f>
        <v/>
      </c>
      <c r="S33" s="47">
        <f>O33/H33</f>
        <v/>
      </c>
    </row>
    <row r="34">
      <c r="A34" s="58" t="n">
        <v>1874</v>
      </c>
      <c r="B34" s="47">
        <f>(People!B34+People!L34)/2</f>
        <v/>
      </c>
      <c r="C34" s="63">
        <f>Paths!L34*IF($A34&gt;=1896,prod_factor,1)</f>
        <v/>
      </c>
      <c r="D34" s="64">
        <f>IF(O33&gt;0,MIN(dev_cap,dev_return*'Debt &amp; cash'!N33/O33),0)</f>
        <v/>
      </c>
      <c r="E34" s="63">
        <f>C34+D34</f>
        <v/>
      </c>
      <c r="F34" s="47">
        <f>F33*(1+E34)</f>
        <v/>
      </c>
      <c r="G34" s="65">
        <f>1-(1-Paths!M34)*IF($A34&gt;=1930,dep_severity,1)</f>
        <v/>
      </c>
      <c r="H34" s="65">
        <f>IF($A34&gt;=1930,Paths!B$89+(Paths!B34-Paths!B$89)*slump_price,Paths!B34)</f>
        <v/>
      </c>
      <c r="I34" s="66">
        <f>Labour!AO34</f>
        <v/>
      </c>
      <c r="J34" s="47">
        <f>B34*F34*(1+I34)*G34*H34/1000000</f>
        <v/>
      </c>
      <c r="K34" s="62">
        <f>Resources!O34</f>
        <v/>
      </c>
      <c r="L34" s="47">
        <f>Labour!L34*gw_rel*J34/Labour!B34</f>
        <v/>
      </c>
      <c r="M34" s="62">
        <f>Champions!AQ34</f>
        <v/>
      </c>
      <c r="N34" s="47">
        <f>IF(Gulf!E34=1,Gulf!D34,0)</f>
        <v/>
      </c>
      <c r="O34" s="47">
        <f>J34+K34+L34+M34+N34</f>
        <v/>
      </c>
      <c r="P34" s="47">
        <f>O34*1000000/(B34+People!V34+Labour!L34)</f>
        <v/>
      </c>
      <c r="Q34" s="45" t="n">
        <v>174</v>
      </c>
      <c r="R34" s="67">
        <f>P34/Q34</f>
        <v/>
      </c>
      <c r="S34" s="47">
        <f>O34/H34</f>
        <v/>
      </c>
    </row>
    <row r="35">
      <c r="A35" s="58" t="n">
        <v>1875</v>
      </c>
      <c r="B35" s="47">
        <f>(People!B35+People!L35)/2</f>
        <v/>
      </c>
      <c r="C35" s="63">
        <f>Paths!L35*IF($A35&gt;=1896,prod_factor,1)</f>
        <v/>
      </c>
      <c r="D35" s="64">
        <f>IF(O34&gt;0,MIN(dev_cap,dev_return*'Debt &amp; cash'!N34/O34),0)</f>
        <v/>
      </c>
      <c r="E35" s="63">
        <f>C35+D35</f>
        <v/>
      </c>
      <c r="F35" s="47">
        <f>F34*(1+E35)</f>
        <v/>
      </c>
      <c r="G35" s="65">
        <f>1-(1-Paths!M35)*IF($A35&gt;=1930,dep_severity,1)</f>
        <v/>
      </c>
      <c r="H35" s="65">
        <f>IF($A35&gt;=1930,Paths!B$89+(Paths!B35-Paths!B$89)*slump_price,Paths!B35)</f>
        <v/>
      </c>
      <c r="I35" s="66">
        <f>Labour!AO35</f>
        <v/>
      </c>
      <c r="J35" s="47">
        <f>B35*F35*(1+I35)*G35*H35/1000000</f>
        <v/>
      </c>
      <c r="K35" s="62">
        <f>Resources!O35</f>
        <v/>
      </c>
      <c r="L35" s="47">
        <f>Labour!L35*gw_rel*J35/Labour!B35</f>
        <v/>
      </c>
      <c r="M35" s="62">
        <f>Champions!AQ35</f>
        <v/>
      </c>
      <c r="N35" s="47">
        <f>IF(Gulf!E35=1,Gulf!D35,0)</f>
        <v/>
      </c>
      <c r="O35" s="47">
        <f>J35+K35+L35+M35+N35</f>
        <v/>
      </c>
      <c r="P35" s="47">
        <f>O35*1000000/(B35+People!V35+Labour!L35)</f>
        <v/>
      </c>
      <c r="Q35" s="45" t="n">
        <v>175</v>
      </c>
      <c r="R35" s="67">
        <f>P35/Q35</f>
        <v/>
      </c>
      <c r="S35" s="47">
        <f>O35/H35</f>
        <v/>
      </c>
    </row>
    <row r="36">
      <c r="A36" s="58" t="n">
        <v>1876</v>
      </c>
      <c r="B36" s="47">
        <f>(People!B36+People!L36)/2</f>
        <v/>
      </c>
      <c r="C36" s="63">
        <f>Paths!L36*IF($A36&gt;=1896,prod_factor,1)</f>
        <v/>
      </c>
      <c r="D36" s="64">
        <f>IF(O35&gt;0,MIN(dev_cap,dev_return*'Debt &amp; cash'!N35/O35),0)</f>
        <v/>
      </c>
      <c r="E36" s="63">
        <f>C36+D36</f>
        <v/>
      </c>
      <c r="F36" s="47">
        <f>F35*(1+E36)</f>
        <v/>
      </c>
      <c r="G36" s="65">
        <f>1-(1-Paths!M36)*IF($A36&gt;=1930,dep_severity,1)</f>
        <v/>
      </c>
      <c r="H36" s="65">
        <f>IF($A36&gt;=1930,Paths!B$89+(Paths!B36-Paths!B$89)*slump_price,Paths!B36)</f>
        <v/>
      </c>
      <c r="I36" s="66">
        <f>Labour!AO36</f>
        <v/>
      </c>
      <c r="J36" s="47">
        <f>B36*F36*(1+I36)*G36*H36/1000000</f>
        <v/>
      </c>
      <c r="K36" s="62">
        <f>Resources!O36</f>
        <v/>
      </c>
      <c r="L36" s="47">
        <f>Labour!L36*gw_rel*J36/Labour!B36</f>
        <v/>
      </c>
      <c r="M36" s="62">
        <f>Champions!AQ36</f>
        <v/>
      </c>
      <c r="N36" s="47">
        <f>IF(Gulf!E36=1,Gulf!D36,0)</f>
        <v/>
      </c>
      <c r="O36" s="47">
        <f>J36+K36+L36+M36+N36</f>
        <v/>
      </c>
      <c r="P36" s="47">
        <f>O36*1000000/(B36+People!V36+Labour!L36)</f>
        <v/>
      </c>
      <c r="Q36" s="45" t="n">
        <v>182</v>
      </c>
      <c r="R36" s="67">
        <f>P36/Q36</f>
        <v/>
      </c>
      <c r="S36" s="47">
        <f>O36/H36</f>
        <v/>
      </c>
    </row>
    <row r="37">
      <c r="A37" s="58" t="n">
        <v>1877</v>
      </c>
      <c r="B37" s="47">
        <f>(People!B37+People!L37)/2</f>
        <v/>
      </c>
      <c r="C37" s="63">
        <f>Paths!L37*IF($A37&gt;=1896,prod_factor,1)</f>
        <v/>
      </c>
      <c r="D37" s="64">
        <f>IF(O36&gt;0,MIN(dev_cap,dev_return*'Debt &amp; cash'!N36/O36),0)</f>
        <v/>
      </c>
      <c r="E37" s="63">
        <f>C37+D37</f>
        <v/>
      </c>
      <c r="F37" s="47">
        <f>F36*(1+E37)</f>
        <v/>
      </c>
      <c r="G37" s="65">
        <f>1-(1-Paths!M37)*IF($A37&gt;=1930,dep_severity,1)</f>
        <v/>
      </c>
      <c r="H37" s="65">
        <f>IF($A37&gt;=1930,Paths!B$89+(Paths!B37-Paths!B$89)*slump_price,Paths!B37)</f>
        <v/>
      </c>
      <c r="I37" s="66">
        <f>Labour!AO37</f>
        <v/>
      </c>
      <c r="J37" s="47">
        <f>B37*F37*(1+I37)*G37*H37/1000000</f>
        <v/>
      </c>
      <c r="K37" s="62">
        <f>Resources!O37</f>
        <v/>
      </c>
      <c r="L37" s="47">
        <f>Labour!L37*gw_rel*J37/Labour!B37</f>
        <v/>
      </c>
      <c r="M37" s="62">
        <f>Champions!AQ37</f>
        <v/>
      </c>
      <c r="N37" s="47">
        <f>IF(Gulf!E37=1,Gulf!D37,0)</f>
        <v/>
      </c>
      <c r="O37" s="47">
        <f>J37+K37+L37+M37+N37</f>
        <v/>
      </c>
      <c r="P37" s="47">
        <f>O37*1000000/(B37+People!V37+Labour!L37)</f>
        <v/>
      </c>
      <c r="Q37" s="45" t="n">
        <v>188</v>
      </c>
      <c r="R37" s="67">
        <f>P37/Q37</f>
        <v/>
      </c>
      <c r="S37" s="47">
        <f>O37/H37</f>
        <v/>
      </c>
    </row>
    <row r="38">
      <c r="A38" s="58" t="n">
        <v>1878</v>
      </c>
      <c r="B38" s="47">
        <f>(People!B38+People!L38)/2</f>
        <v/>
      </c>
      <c r="C38" s="63">
        <f>Paths!L38*IF($A38&gt;=1896,prod_factor,1)</f>
        <v/>
      </c>
      <c r="D38" s="64">
        <f>IF(O37&gt;0,MIN(dev_cap,dev_return*'Debt &amp; cash'!N37/O37),0)</f>
        <v/>
      </c>
      <c r="E38" s="63">
        <f>C38+D38</f>
        <v/>
      </c>
      <c r="F38" s="47">
        <f>F37*(1+E38)</f>
        <v/>
      </c>
      <c r="G38" s="65">
        <f>1-(1-Paths!M38)*IF($A38&gt;=1930,dep_severity,1)</f>
        <v/>
      </c>
      <c r="H38" s="65">
        <f>IF($A38&gt;=1930,Paths!B$89+(Paths!B38-Paths!B$89)*slump_price,Paths!B38)</f>
        <v/>
      </c>
      <c r="I38" s="66">
        <f>Labour!AO38</f>
        <v/>
      </c>
      <c r="J38" s="47">
        <f>B38*F38*(1+I38)*G38*H38/1000000</f>
        <v/>
      </c>
      <c r="K38" s="62">
        <f>Resources!O38</f>
        <v/>
      </c>
      <c r="L38" s="47">
        <f>Labour!L38*gw_rel*J38/Labour!B38</f>
        <v/>
      </c>
      <c r="M38" s="62">
        <f>Champions!AQ38</f>
        <v/>
      </c>
      <c r="N38" s="47">
        <f>IF(Gulf!E38=1,Gulf!D38,0)</f>
        <v/>
      </c>
      <c r="O38" s="47">
        <f>J38+K38+L38+M38+N38</f>
        <v/>
      </c>
      <c r="P38" s="47">
        <f>O38*1000000/(B38+People!V38+Labour!L38)</f>
        <v/>
      </c>
      <c r="Q38" s="45" t="n">
        <v>195</v>
      </c>
      <c r="R38" s="67">
        <f>P38/Q38</f>
        <v/>
      </c>
      <c r="S38" s="47">
        <f>O38/H38</f>
        <v/>
      </c>
    </row>
    <row r="39">
      <c r="A39" s="58" t="n">
        <v>1879</v>
      </c>
      <c r="B39" s="47">
        <f>(People!B39+People!L39)/2</f>
        <v/>
      </c>
      <c r="C39" s="63">
        <f>Paths!L39*IF($A39&gt;=1896,prod_factor,1)</f>
        <v/>
      </c>
      <c r="D39" s="64">
        <f>IF(O38&gt;0,MIN(dev_cap,dev_return*'Debt &amp; cash'!N38/O38),0)</f>
        <v/>
      </c>
      <c r="E39" s="63">
        <f>C39+D39</f>
        <v/>
      </c>
      <c r="F39" s="47">
        <f>F38*(1+E39)</f>
        <v/>
      </c>
      <c r="G39" s="65">
        <f>1-(1-Paths!M39)*IF($A39&gt;=1930,dep_severity,1)</f>
        <v/>
      </c>
      <c r="H39" s="65">
        <f>IF($A39&gt;=1930,Paths!B$89+(Paths!B39-Paths!B$89)*slump_price,Paths!B39)</f>
        <v/>
      </c>
      <c r="I39" s="66">
        <f>Labour!AO39</f>
        <v/>
      </c>
      <c r="J39" s="47">
        <f>B39*F39*(1+I39)*G39*H39/1000000</f>
        <v/>
      </c>
      <c r="K39" s="62">
        <f>Resources!O39</f>
        <v/>
      </c>
      <c r="L39" s="47">
        <f>Labour!L39*gw_rel*J39/Labour!B39</f>
        <v/>
      </c>
      <c r="M39" s="62">
        <f>Champions!AQ39</f>
        <v/>
      </c>
      <c r="N39" s="47">
        <f>IF(Gulf!E39=1,Gulf!D39,0)</f>
        <v/>
      </c>
      <c r="O39" s="47">
        <f>J39+K39+L39+M39+N39</f>
        <v/>
      </c>
      <c r="P39" s="47">
        <f>O39*1000000/(B39+People!V39+Labour!L39)</f>
        <v/>
      </c>
      <c r="Q39" s="45" t="n">
        <v>201</v>
      </c>
      <c r="R39" s="67">
        <f>P39/Q39</f>
        <v/>
      </c>
      <c r="S39" s="47">
        <f>O39/H39</f>
        <v/>
      </c>
    </row>
    <row r="40">
      <c r="A40" s="58" t="n">
        <v>1880</v>
      </c>
      <c r="B40" s="47">
        <f>(People!B40+People!L40)/2</f>
        <v/>
      </c>
      <c r="C40" s="63">
        <f>Paths!L40*IF($A40&gt;=1896,prod_factor,1)</f>
        <v/>
      </c>
      <c r="D40" s="64">
        <f>IF(O39&gt;0,MIN(dev_cap,dev_return*'Debt &amp; cash'!N39/O39),0)</f>
        <v/>
      </c>
      <c r="E40" s="63">
        <f>C40+D40</f>
        <v/>
      </c>
      <c r="F40" s="47">
        <f>F39*(1+E40)</f>
        <v/>
      </c>
      <c r="G40" s="65">
        <f>1-(1-Paths!M40)*IF($A40&gt;=1930,dep_severity,1)</f>
        <v/>
      </c>
      <c r="H40" s="65">
        <f>IF($A40&gt;=1930,Paths!B$89+(Paths!B40-Paths!B$89)*slump_price,Paths!B40)</f>
        <v/>
      </c>
      <c r="I40" s="66">
        <f>Labour!AO40</f>
        <v/>
      </c>
      <c r="J40" s="47">
        <f>B40*F40*(1+I40)*G40*H40/1000000</f>
        <v/>
      </c>
      <c r="K40" s="62">
        <f>Resources!O40</f>
        <v/>
      </c>
      <c r="L40" s="47">
        <f>Labour!L40*gw_rel*J40/Labour!B40</f>
        <v/>
      </c>
      <c r="M40" s="62">
        <f>Champions!AQ40</f>
        <v/>
      </c>
      <c r="N40" s="47">
        <f>IF(Gulf!E40=1,Gulf!D40,0)</f>
        <v/>
      </c>
      <c r="O40" s="47">
        <f>J40+K40+L40+M40+N40</f>
        <v/>
      </c>
      <c r="P40" s="47">
        <f>O40*1000000/(B40+People!V40+Labour!L40)</f>
        <v/>
      </c>
      <c r="Q40" s="45" t="n">
        <v>208</v>
      </c>
      <c r="R40" s="67">
        <f>P40/Q40</f>
        <v/>
      </c>
      <c r="S40" s="47">
        <f>O40/H40</f>
        <v/>
      </c>
    </row>
    <row r="41">
      <c r="A41" s="58" t="n">
        <v>1881</v>
      </c>
      <c r="B41" s="47">
        <f>(People!B41+People!L41)/2</f>
        <v/>
      </c>
      <c r="C41" s="63">
        <f>Paths!L41*IF($A41&gt;=1896,prod_factor,1)</f>
        <v/>
      </c>
      <c r="D41" s="64">
        <f>IF(O40&gt;0,MIN(dev_cap,dev_return*'Debt &amp; cash'!N40/O40),0)</f>
        <v/>
      </c>
      <c r="E41" s="63">
        <f>C41+D41</f>
        <v/>
      </c>
      <c r="F41" s="47">
        <f>F40*(1+E41)</f>
        <v/>
      </c>
      <c r="G41" s="65">
        <f>1-(1-Paths!M41)*IF($A41&gt;=1930,dep_severity,1)</f>
        <v/>
      </c>
      <c r="H41" s="65">
        <f>IF($A41&gt;=1930,Paths!B$89+(Paths!B41-Paths!B$89)*slump_price,Paths!B41)</f>
        <v/>
      </c>
      <c r="I41" s="66">
        <f>Labour!AO41</f>
        <v/>
      </c>
      <c r="J41" s="47">
        <f>B41*F41*(1+I41)*G41*H41/1000000</f>
        <v/>
      </c>
      <c r="K41" s="62">
        <f>Resources!O41</f>
        <v/>
      </c>
      <c r="L41" s="47">
        <f>Labour!L41*gw_rel*J41/Labour!B41</f>
        <v/>
      </c>
      <c r="M41" s="62">
        <f>Champions!AQ41</f>
        <v/>
      </c>
      <c r="N41" s="47">
        <f>IF(Gulf!E41=1,Gulf!D41,0)</f>
        <v/>
      </c>
      <c r="O41" s="47">
        <f>J41+K41+L41+M41+N41</f>
        <v/>
      </c>
      <c r="P41" s="47">
        <f>O41*1000000/(B41+People!V41+Labour!L41)</f>
        <v/>
      </c>
      <c r="Q41" s="45" t="n">
        <v>207</v>
      </c>
      <c r="R41" s="67">
        <f>P41/Q41</f>
        <v/>
      </c>
      <c r="S41" s="47">
        <f>O41/H41</f>
        <v/>
      </c>
    </row>
    <row r="42">
      <c r="A42" s="58" t="n">
        <v>1882</v>
      </c>
      <c r="B42" s="47">
        <f>(People!B42+People!L42)/2</f>
        <v/>
      </c>
      <c r="C42" s="63">
        <f>Paths!L42*IF($A42&gt;=1896,prod_factor,1)</f>
        <v/>
      </c>
      <c r="D42" s="64">
        <f>IF(O41&gt;0,MIN(dev_cap,dev_return*'Debt &amp; cash'!N41/O41),0)</f>
        <v/>
      </c>
      <c r="E42" s="63">
        <f>C42+D42</f>
        <v/>
      </c>
      <c r="F42" s="47">
        <f>F41*(1+E42)</f>
        <v/>
      </c>
      <c r="G42" s="65">
        <f>1-(1-Paths!M42)*IF($A42&gt;=1930,dep_severity,1)</f>
        <v/>
      </c>
      <c r="H42" s="65">
        <f>IF($A42&gt;=1930,Paths!B$89+(Paths!B42-Paths!B$89)*slump_price,Paths!B42)</f>
        <v/>
      </c>
      <c r="I42" s="66">
        <f>Labour!AO42</f>
        <v/>
      </c>
      <c r="J42" s="47">
        <f>B42*F42*(1+I42)*G42*H42/1000000</f>
        <v/>
      </c>
      <c r="K42" s="62">
        <f>Resources!O42</f>
        <v/>
      </c>
      <c r="L42" s="47">
        <f>Labour!L42*gw_rel*J42/Labour!B42</f>
        <v/>
      </c>
      <c r="M42" s="62">
        <f>Champions!AQ42</f>
        <v/>
      </c>
      <c r="N42" s="47">
        <f>IF(Gulf!E42=1,Gulf!D42,0)</f>
        <v/>
      </c>
      <c r="O42" s="47">
        <f>J42+K42+L42+M42+N42</f>
        <v/>
      </c>
      <c r="P42" s="47">
        <f>O42*1000000/(B42+People!V42+Labour!L42)</f>
        <v/>
      </c>
      <c r="Q42" s="45" t="n">
        <v>207</v>
      </c>
      <c r="R42" s="67">
        <f>P42/Q42</f>
        <v/>
      </c>
      <c r="S42" s="47">
        <f>O42/H42</f>
        <v/>
      </c>
    </row>
    <row r="43">
      <c r="A43" s="58" t="n">
        <v>1883</v>
      </c>
      <c r="B43" s="47">
        <f>(People!B43+People!L43)/2</f>
        <v/>
      </c>
      <c r="C43" s="63">
        <f>Paths!L43*IF($A43&gt;=1896,prod_factor,1)</f>
        <v/>
      </c>
      <c r="D43" s="64">
        <f>IF(O42&gt;0,MIN(dev_cap,dev_return*'Debt &amp; cash'!N42/O42),0)</f>
        <v/>
      </c>
      <c r="E43" s="63">
        <f>C43+D43</f>
        <v/>
      </c>
      <c r="F43" s="47">
        <f>F42*(1+E43)</f>
        <v/>
      </c>
      <c r="G43" s="65">
        <f>1-(1-Paths!M43)*IF($A43&gt;=1930,dep_severity,1)</f>
        <v/>
      </c>
      <c r="H43" s="65">
        <f>IF($A43&gt;=1930,Paths!B$89+(Paths!B43-Paths!B$89)*slump_price,Paths!B43)</f>
        <v/>
      </c>
      <c r="I43" s="66">
        <f>Labour!AO43</f>
        <v/>
      </c>
      <c r="J43" s="47">
        <f>B43*F43*(1+I43)*G43*H43/1000000</f>
        <v/>
      </c>
      <c r="K43" s="62">
        <f>Resources!O43</f>
        <v/>
      </c>
      <c r="L43" s="47">
        <f>Labour!L43*gw_rel*J43/Labour!B43</f>
        <v/>
      </c>
      <c r="M43" s="62">
        <f>Champions!AQ43</f>
        <v/>
      </c>
      <c r="N43" s="47">
        <f>IF(Gulf!E43=1,Gulf!D43,0)</f>
        <v/>
      </c>
      <c r="O43" s="47">
        <f>J43+K43+L43+M43+N43</f>
        <v/>
      </c>
      <c r="P43" s="47">
        <f>O43*1000000/(B43+People!V43+Labour!L43)</f>
        <v/>
      </c>
      <c r="Q43" s="45" t="n">
        <v>206</v>
      </c>
      <c r="R43" s="67">
        <f>P43/Q43</f>
        <v/>
      </c>
      <c r="S43" s="47">
        <f>O43/H43</f>
        <v/>
      </c>
    </row>
    <row r="44">
      <c r="A44" s="58" t="n">
        <v>1884</v>
      </c>
      <c r="B44" s="47">
        <f>(People!B44+People!L44)/2</f>
        <v/>
      </c>
      <c r="C44" s="63">
        <f>Paths!L44*IF($A44&gt;=1896,prod_factor,1)</f>
        <v/>
      </c>
      <c r="D44" s="64">
        <f>IF(O43&gt;0,MIN(dev_cap,dev_return*'Debt &amp; cash'!N43/O43),0)</f>
        <v/>
      </c>
      <c r="E44" s="63">
        <f>C44+D44</f>
        <v/>
      </c>
      <c r="F44" s="47">
        <f>F43*(1+E44)</f>
        <v/>
      </c>
      <c r="G44" s="65">
        <f>1-(1-Paths!M44)*IF($A44&gt;=1930,dep_severity,1)</f>
        <v/>
      </c>
      <c r="H44" s="65">
        <f>IF($A44&gt;=1930,Paths!B$89+(Paths!B44-Paths!B$89)*slump_price,Paths!B44)</f>
        <v/>
      </c>
      <c r="I44" s="66">
        <f>Labour!AO44</f>
        <v/>
      </c>
      <c r="J44" s="47">
        <f>B44*F44*(1+I44)*G44*H44/1000000</f>
        <v/>
      </c>
      <c r="K44" s="62">
        <f>Resources!O44</f>
        <v/>
      </c>
      <c r="L44" s="47">
        <f>Labour!L44*gw_rel*J44/Labour!B44</f>
        <v/>
      </c>
      <c r="M44" s="62">
        <f>Champions!AQ44</f>
        <v/>
      </c>
      <c r="N44" s="47">
        <f>IF(Gulf!E44=1,Gulf!D44,0)</f>
        <v/>
      </c>
      <c r="O44" s="47">
        <f>J44+K44+L44+M44+N44</f>
        <v/>
      </c>
      <c r="P44" s="47">
        <f>O44*1000000/(B44+People!V44+Labour!L44)</f>
        <v/>
      </c>
      <c r="Q44" s="45" t="n">
        <v>206</v>
      </c>
      <c r="R44" s="67">
        <f>P44/Q44</f>
        <v/>
      </c>
      <c r="S44" s="47">
        <f>O44/H44</f>
        <v/>
      </c>
    </row>
    <row r="45">
      <c r="A45" s="58" t="n">
        <v>1885</v>
      </c>
      <c r="B45" s="47">
        <f>(People!B45+People!L45)/2</f>
        <v/>
      </c>
      <c r="C45" s="63">
        <f>Paths!L45*IF($A45&gt;=1896,prod_factor,1)</f>
        <v/>
      </c>
      <c r="D45" s="64">
        <f>IF(O44&gt;0,MIN(dev_cap,dev_return*'Debt &amp; cash'!N44/O44),0)</f>
        <v/>
      </c>
      <c r="E45" s="63">
        <f>C45+D45</f>
        <v/>
      </c>
      <c r="F45" s="47">
        <f>F44*(1+E45)</f>
        <v/>
      </c>
      <c r="G45" s="65">
        <f>1-(1-Paths!M45)*IF($A45&gt;=1930,dep_severity,1)</f>
        <v/>
      </c>
      <c r="H45" s="65">
        <f>IF($A45&gt;=1930,Paths!B$89+(Paths!B45-Paths!B$89)*slump_price,Paths!B45)</f>
        <v/>
      </c>
      <c r="I45" s="66">
        <f>Labour!AO45</f>
        <v/>
      </c>
      <c r="J45" s="47">
        <f>B45*F45*(1+I45)*G45*H45/1000000</f>
        <v/>
      </c>
      <c r="K45" s="62">
        <f>Resources!O45</f>
        <v/>
      </c>
      <c r="L45" s="47">
        <f>Labour!L45*gw_rel*J45/Labour!B45</f>
        <v/>
      </c>
      <c r="M45" s="62">
        <f>Champions!AQ45</f>
        <v/>
      </c>
      <c r="N45" s="47">
        <f>IF(Gulf!E45=1,Gulf!D45,0)</f>
        <v/>
      </c>
      <c r="O45" s="47">
        <f>J45+K45+L45+M45+N45</f>
        <v/>
      </c>
      <c r="P45" s="47">
        <f>O45*1000000/(B45+People!V45+Labour!L45)</f>
        <v/>
      </c>
      <c r="Q45" s="45" t="n">
        <v>205</v>
      </c>
      <c r="R45" s="67">
        <f>P45/Q45</f>
        <v/>
      </c>
      <c r="S45" s="47">
        <f>O45/H45</f>
        <v/>
      </c>
    </row>
    <row r="46">
      <c r="A46" s="58" t="n">
        <v>1886</v>
      </c>
      <c r="B46" s="47">
        <f>(People!B46+People!L46)/2</f>
        <v/>
      </c>
      <c r="C46" s="63">
        <f>Paths!L46*IF($A46&gt;=1896,prod_factor,1)</f>
        <v/>
      </c>
      <c r="D46" s="64">
        <f>IF(O45&gt;0,MIN(dev_cap,dev_return*'Debt &amp; cash'!N45/O45),0)</f>
        <v/>
      </c>
      <c r="E46" s="63">
        <f>C46+D46</f>
        <v/>
      </c>
      <c r="F46" s="47">
        <f>F45*(1+E46)</f>
        <v/>
      </c>
      <c r="G46" s="65">
        <f>1-(1-Paths!M46)*IF($A46&gt;=1930,dep_severity,1)</f>
        <v/>
      </c>
      <c r="H46" s="65">
        <f>IF($A46&gt;=1930,Paths!B$89+(Paths!B46-Paths!B$89)*slump_price,Paths!B46)</f>
        <v/>
      </c>
      <c r="I46" s="66">
        <f>Labour!AO46</f>
        <v/>
      </c>
      <c r="J46" s="47">
        <f>B46*F46*(1+I46)*G46*H46/1000000</f>
        <v/>
      </c>
      <c r="K46" s="62">
        <f>Resources!O46</f>
        <v/>
      </c>
      <c r="L46" s="47">
        <f>Labour!L46*gw_rel*J46/Labour!B46</f>
        <v/>
      </c>
      <c r="M46" s="62">
        <f>Champions!AQ46</f>
        <v/>
      </c>
      <c r="N46" s="47">
        <f>IF(Gulf!E46=1,Gulf!D46,0)</f>
        <v/>
      </c>
      <c r="O46" s="47">
        <f>J46+K46+L46+M46+N46</f>
        <v/>
      </c>
      <c r="P46" s="47">
        <f>O46*1000000/(B46+People!V46+Labour!L46)</f>
        <v/>
      </c>
      <c r="Q46" s="45" t="n">
        <v>206</v>
      </c>
      <c r="R46" s="67">
        <f>P46/Q46</f>
        <v/>
      </c>
      <c r="S46" s="47">
        <f>O46/H46</f>
        <v/>
      </c>
    </row>
    <row r="47">
      <c r="A47" s="58" t="n">
        <v>1887</v>
      </c>
      <c r="B47" s="47">
        <f>(People!B47+People!L47)/2</f>
        <v/>
      </c>
      <c r="C47" s="63">
        <f>Paths!L47*IF($A47&gt;=1896,prod_factor,1)</f>
        <v/>
      </c>
      <c r="D47" s="64">
        <f>IF(O46&gt;0,MIN(dev_cap,dev_return*'Debt &amp; cash'!N46/O46),0)</f>
        <v/>
      </c>
      <c r="E47" s="63">
        <f>C47+D47</f>
        <v/>
      </c>
      <c r="F47" s="47">
        <f>F46*(1+E47)</f>
        <v/>
      </c>
      <c r="G47" s="65">
        <f>1-(1-Paths!M47)*IF($A47&gt;=1930,dep_severity,1)</f>
        <v/>
      </c>
      <c r="H47" s="65">
        <f>IF($A47&gt;=1930,Paths!B$89+(Paths!B47-Paths!B$89)*slump_price,Paths!B47)</f>
        <v/>
      </c>
      <c r="I47" s="66">
        <f>Labour!AO47</f>
        <v/>
      </c>
      <c r="J47" s="47">
        <f>B47*F47*(1+I47)*G47*H47/1000000</f>
        <v/>
      </c>
      <c r="K47" s="62">
        <f>Resources!O47</f>
        <v/>
      </c>
      <c r="L47" s="47">
        <f>Labour!L47*gw_rel*J47/Labour!B47</f>
        <v/>
      </c>
      <c r="M47" s="62">
        <f>Champions!AQ47</f>
        <v/>
      </c>
      <c r="N47" s="47">
        <f>IF(Gulf!E47=1,Gulf!D47,0)</f>
        <v/>
      </c>
      <c r="O47" s="47">
        <f>J47+K47+L47+M47+N47</f>
        <v/>
      </c>
      <c r="P47" s="47">
        <f>O47*1000000/(B47+People!V47+Labour!L47)</f>
        <v/>
      </c>
      <c r="Q47" s="45" t="n">
        <v>206</v>
      </c>
      <c r="R47" s="67">
        <f>P47/Q47</f>
        <v/>
      </c>
      <c r="S47" s="47">
        <f>O47/H47</f>
        <v/>
      </c>
    </row>
    <row r="48">
      <c r="A48" s="58" t="n">
        <v>1888</v>
      </c>
      <c r="B48" s="47">
        <f>(People!B48+People!L48)/2</f>
        <v/>
      </c>
      <c r="C48" s="63">
        <f>Paths!L48*IF($A48&gt;=1896,prod_factor,1)</f>
        <v/>
      </c>
      <c r="D48" s="64">
        <f>IF(O47&gt;0,MIN(dev_cap,dev_return*'Debt &amp; cash'!N47/O47),0)</f>
        <v/>
      </c>
      <c r="E48" s="63">
        <f>C48+D48</f>
        <v/>
      </c>
      <c r="F48" s="47">
        <f>F47*(1+E48)</f>
        <v/>
      </c>
      <c r="G48" s="65">
        <f>1-(1-Paths!M48)*IF($A48&gt;=1930,dep_severity,1)</f>
        <v/>
      </c>
      <c r="H48" s="65">
        <f>IF($A48&gt;=1930,Paths!B$89+(Paths!B48-Paths!B$89)*slump_price,Paths!B48)</f>
        <v/>
      </c>
      <c r="I48" s="66">
        <f>Labour!AO48</f>
        <v/>
      </c>
      <c r="J48" s="47">
        <f>B48*F48*(1+I48)*G48*H48/1000000</f>
        <v/>
      </c>
      <c r="K48" s="62">
        <f>Resources!O48</f>
        <v/>
      </c>
      <c r="L48" s="47">
        <f>Labour!L48*gw_rel*J48/Labour!B48</f>
        <v/>
      </c>
      <c r="M48" s="62">
        <f>Champions!AQ48</f>
        <v/>
      </c>
      <c r="N48" s="47">
        <f>IF(Gulf!E48=1,Gulf!D48,0)</f>
        <v/>
      </c>
      <c r="O48" s="47">
        <f>J48+K48+L48+M48+N48</f>
        <v/>
      </c>
      <c r="P48" s="47">
        <f>O48*1000000/(B48+People!V48+Labour!L48)</f>
        <v/>
      </c>
      <c r="Q48" s="45" t="n">
        <v>207</v>
      </c>
      <c r="R48" s="67">
        <f>P48/Q48</f>
        <v/>
      </c>
      <c r="S48" s="47">
        <f>O48/H48</f>
        <v/>
      </c>
    </row>
    <row r="49">
      <c r="A49" s="58" t="n">
        <v>1889</v>
      </c>
      <c r="B49" s="47">
        <f>(People!B49+People!L49)/2</f>
        <v/>
      </c>
      <c r="C49" s="63">
        <f>Paths!L49*IF($A49&gt;=1896,prod_factor,1)</f>
        <v/>
      </c>
      <c r="D49" s="64">
        <f>IF(O48&gt;0,MIN(dev_cap,dev_return*'Debt &amp; cash'!N48/O48),0)</f>
        <v/>
      </c>
      <c r="E49" s="63">
        <f>C49+D49</f>
        <v/>
      </c>
      <c r="F49" s="47">
        <f>F48*(1+E49)</f>
        <v/>
      </c>
      <c r="G49" s="65">
        <f>1-(1-Paths!M49)*IF($A49&gt;=1930,dep_severity,1)</f>
        <v/>
      </c>
      <c r="H49" s="65">
        <f>IF($A49&gt;=1930,Paths!B$89+(Paths!B49-Paths!B$89)*slump_price,Paths!B49)</f>
        <v/>
      </c>
      <c r="I49" s="66">
        <f>Labour!AO49</f>
        <v/>
      </c>
      <c r="J49" s="47">
        <f>B49*F49*(1+I49)*G49*H49/1000000</f>
        <v/>
      </c>
      <c r="K49" s="62">
        <f>Resources!O49</f>
        <v/>
      </c>
      <c r="L49" s="47">
        <f>Labour!L49*gw_rel*J49/Labour!B49</f>
        <v/>
      </c>
      <c r="M49" s="62">
        <f>Champions!AQ49</f>
        <v/>
      </c>
      <c r="N49" s="47">
        <f>IF(Gulf!E49=1,Gulf!D49,0)</f>
        <v/>
      </c>
      <c r="O49" s="47">
        <f>J49+K49+L49+M49+N49</f>
        <v/>
      </c>
      <c r="P49" s="47">
        <f>O49*1000000/(B49+People!V49+Labour!L49)</f>
        <v/>
      </c>
      <c r="Q49" s="45" t="n">
        <v>207</v>
      </c>
      <c r="R49" s="67">
        <f>P49/Q49</f>
        <v/>
      </c>
      <c r="S49" s="47">
        <f>O49/H49</f>
        <v/>
      </c>
    </row>
    <row r="50">
      <c r="A50" s="58" t="n">
        <v>1890</v>
      </c>
      <c r="B50" s="47">
        <f>(People!B50+People!L50)/2</f>
        <v/>
      </c>
      <c r="C50" s="63">
        <f>Paths!L50*IF($A50&gt;=1896,prod_factor,1)</f>
        <v/>
      </c>
      <c r="D50" s="64">
        <f>IF(O49&gt;0,MIN(dev_cap,dev_return*'Debt &amp; cash'!N49/O49),0)</f>
        <v/>
      </c>
      <c r="E50" s="63">
        <f>C50+D50</f>
        <v/>
      </c>
      <c r="F50" s="47">
        <f>F49*(1+E50)</f>
        <v/>
      </c>
      <c r="G50" s="65">
        <f>1-(1-Paths!M50)*IF($A50&gt;=1930,dep_severity,1)</f>
        <v/>
      </c>
      <c r="H50" s="65">
        <f>IF($A50&gt;=1930,Paths!B$89+(Paths!B50-Paths!B$89)*slump_price,Paths!B50)</f>
        <v/>
      </c>
      <c r="I50" s="66">
        <f>Labour!AO50</f>
        <v/>
      </c>
      <c r="J50" s="47">
        <f>B50*F50*(1+I50)*G50*H50/1000000</f>
        <v/>
      </c>
      <c r="K50" s="62">
        <f>Resources!O50</f>
        <v/>
      </c>
      <c r="L50" s="47">
        <f>Labour!L50*gw_rel*J50/Labour!B50</f>
        <v/>
      </c>
      <c r="M50" s="62">
        <f>Champions!AQ50</f>
        <v/>
      </c>
      <c r="N50" s="47">
        <f>IF(Gulf!E50=1,Gulf!D50,0)</f>
        <v/>
      </c>
      <c r="O50" s="47">
        <f>J50+K50+L50+M50+N50</f>
        <v/>
      </c>
      <c r="P50" s="47">
        <f>O50*1000000/(B50+People!V50+Labour!L50)</f>
        <v/>
      </c>
      <c r="Q50" s="45" t="n">
        <v>208</v>
      </c>
      <c r="R50" s="67">
        <f>P50/Q50</f>
        <v/>
      </c>
      <c r="S50" s="47">
        <f>O50/H50</f>
        <v/>
      </c>
    </row>
    <row r="51">
      <c r="A51" s="58" t="n">
        <v>1891</v>
      </c>
      <c r="B51" s="47">
        <f>(People!B51+People!L51)/2</f>
        <v/>
      </c>
      <c r="C51" s="63">
        <f>Paths!L51*IF($A51&gt;=1896,prod_factor,1)</f>
        <v/>
      </c>
      <c r="D51" s="64">
        <f>IF(O50&gt;0,MIN(dev_cap,dev_return*'Debt &amp; cash'!N50/O50),0)</f>
        <v/>
      </c>
      <c r="E51" s="63">
        <f>C51+D51</f>
        <v/>
      </c>
      <c r="F51" s="47">
        <f>F50*(1+E51)</f>
        <v/>
      </c>
      <c r="G51" s="65">
        <f>1-(1-Paths!M51)*IF($A51&gt;=1930,dep_severity,1)</f>
        <v/>
      </c>
      <c r="H51" s="65">
        <f>IF($A51&gt;=1930,Paths!B$89+(Paths!B51-Paths!B$89)*slump_price,Paths!B51)</f>
        <v/>
      </c>
      <c r="I51" s="66">
        <f>Labour!AO51</f>
        <v/>
      </c>
      <c r="J51" s="47">
        <f>B51*F51*(1+I51)*G51*H51/1000000</f>
        <v/>
      </c>
      <c r="K51" s="62">
        <f>Resources!O51</f>
        <v/>
      </c>
      <c r="L51" s="47">
        <f>Labour!L51*gw_rel*J51/Labour!B51</f>
        <v/>
      </c>
      <c r="M51" s="62">
        <f>Champions!AQ51</f>
        <v/>
      </c>
      <c r="N51" s="47">
        <f>IF(Gulf!E51=1,Gulf!D51,0)</f>
        <v/>
      </c>
      <c r="O51" s="47">
        <f>J51+K51+L51+M51+N51</f>
        <v/>
      </c>
      <c r="P51" s="47">
        <f>O51*1000000/(B51+People!V51+Labour!L51)</f>
        <v/>
      </c>
      <c r="Q51" s="45" t="n">
        <v>206</v>
      </c>
      <c r="R51" s="67">
        <f>P51/Q51</f>
        <v/>
      </c>
      <c r="S51" s="47">
        <f>O51/H51</f>
        <v/>
      </c>
    </row>
    <row r="52">
      <c r="A52" s="58" t="n">
        <v>1892</v>
      </c>
      <c r="B52" s="47">
        <f>(People!B52+People!L52)/2</f>
        <v/>
      </c>
      <c r="C52" s="63">
        <f>Paths!L52*IF($A52&gt;=1896,prod_factor,1)</f>
        <v/>
      </c>
      <c r="D52" s="64">
        <f>IF(O51&gt;0,MIN(dev_cap,dev_return*'Debt &amp; cash'!N51/O51),0)</f>
        <v/>
      </c>
      <c r="E52" s="63">
        <f>C52+D52</f>
        <v/>
      </c>
      <c r="F52" s="47">
        <f>F51*(1+E52)</f>
        <v/>
      </c>
      <c r="G52" s="65">
        <f>1-(1-Paths!M52)*IF($A52&gt;=1930,dep_severity,1)</f>
        <v/>
      </c>
      <c r="H52" s="65">
        <f>IF($A52&gt;=1930,Paths!B$89+(Paths!B52-Paths!B$89)*slump_price,Paths!B52)</f>
        <v/>
      </c>
      <c r="I52" s="66">
        <f>Labour!AO52</f>
        <v/>
      </c>
      <c r="J52" s="47">
        <f>B52*F52*(1+I52)*G52*H52/1000000</f>
        <v/>
      </c>
      <c r="K52" s="62">
        <f>Resources!O52</f>
        <v/>
      </c>
      <c r="L52" s="47">
        <f>Labour!L52*gw_rel*J52/Labour!B52</f>
        <v/>
      </c>
      <c r="M52" s="62">
        <f>Champions!AQ52</f>
        <v/>
      </c>
      <c r="N52" s="47">
        <f>IF(Gulf!E52=1,Gulf!D52,0)</f>
        <v/>
      </c>
      <c r="O52" s="47">
        <f>J52+K52+L52+M52+N52</f>
        <v/>
      </c>
      <c r="P52" s="47">
        <f>O52*1000000/(B52+People!V52+Labour!L52)</f>
        <v/>
      </c>
      <c r="Q52" s="45" t="n">
        <v>205</v>
      </c>
      <c r="R52" s="67">
        <f>P52/Q52</f>
        <v/>
      </c>
      <c r="S52" s="47">
        <f>O52/H52</f>
        <v/>
      </c>
    </row>
    <row r="53">
      <c r="A53" s="58" t="n">
        <v>1893</v>
      </c>
      <c r="B53" s="47">
        <f>(People!B53+People!L53)/2</f>
        <v/>
      </c>
      <c r="C53" s="63">
        <f>Paths!L53*IF($A53&gt;=1896,prod_factor,1)</f>
        <v/>
      </c>
      <c r="D53" s="64">
        <f>IF(O52&gt;0,MIN(dev_cap,dev_return*'Debt &amp; cash'!N52/O52),0)</f>
        <v/>
      </c>
      <c r="E53" s="63">
        <f>C53+D53</f>
        <v/>
      </c>
      <c r="F53" s="47">
        <f>F52*(1+E53)</f>
        <v/>
      </c>
      <c r="G53" s="65">
        <f>1-(1-Paths!M53)*IF($A53&gt;=1930,dep_severity,1)</f>
        <v/>
      </c>
      <c r="H53" s="65">
        <f>IF($A53&gt;=1930,Paths!B$89+(Paths!B53-Paths!B$89)*slump_price,Paths!B53)</f>
        <v/>
      </c>
      <c r="I53" s="66">
        <f>Labour!AO53</f>
        <v/>
      </c>
      <c r="J53" s="47">
        <f>B53*F53*(1+I53)*G53*H53/1000000</f>
        <v/>
      </c>
      <c r="K53" s="62">
        <f>Resources!O53</f>
        <v/>
      </c>
      <c r="L53" s="47">
        <f>Labour!L53*gw_rel*J53/Labour!B53</f>
        <v/>
      </c>
      <c r="M53" s="62">
        <f>Champions!AQ53</f>
        <v/>
      </c>
      <c r="N53" s="47">
        <f>IF(Gulf!E53=1,Gulf!D53,0)</f>
        <v/>
      </c>
      <c r="O53" s="47">
        <f>J53+K53+L53+M53+N53</f>
        <v/>
      </c>
      <c r="P53" s="47">
        <f>O53*1000000/(B53+People!V53+Labour!L53)</f>
        <v/>
      </c>
      <c r="Q53" s="45" t="n">
        <v>203</v>
      </c>
      <c r="R53" s="67">
        <f>P53/Q53</f>
        <v/>
      </c>
      <c r="S53" s="47">
        <f>O53/H53</f>
        <v/>
      </c>
    </row>
    <row r="54">
      <c r="A54" s="58" t="n">
        <v>1894</v>
      </c>
      <c r="B54" s="47">
        <f>(People!B54+People!L54)/2</f>
        <v/>
      </c>
      <c r="C54" s="63">
        <f>Paths!L54*IF($A54&gt;=1896,prod_factor,1)</f>
        <v/>
      </c>
      <c r="D54" s="64">
        <f>IF(O53&gt;0,MIN(dev_cap,dev_return*'Debt &amp; cash'!N53/O53),0)</f>
        <v/>
      </c>
      <c r="E54" s="63">
        <f>C54+D54</f>
        <v/>
      </c>
      <c r="F54" s="47">
        <f>F53*(1+E54)</f>
        <v/>
      </c>
      <c r="G54" s="65">
        <f>1-(1-Paths!M54)*IF($A54&gt;=1930,dep_severity,1)</f>
        <v/>
      </c>
      <c r="H54" s="65">
        <f>IF($A54&gt;=1930,Paths!B$89+(Paths!B54-Paths!B$89)*slump_price,Paths!B54)</f>
        <v/>
      </c>
      <c r="I54" s="66">
        <f>Labour!AO54</f>
        <v/>
      </c>
      <c r="J54" s="47">
        <f>B54*F54*(1+I54)*G54*H54/1000000</f>
        <v/>
      </c>
      <c r="K54" s="62">
        <f>Resources!O54</f>
        <v/>
      </c>
      <c r="L54" s="47">
        <f>Labour!L54*gw_rel*J54/Labour!B54</f>
        <v/>
      </c>
      <c r="M54" s="62">
        <f>Champions!AQ54</f>
        <v/>
      </c>
      <c r="N54" s="47">
        <f>IF(Gulf!E54=1,Gulf!D54,0)</f>
        <v/>
      </c>
      <c r="O54" s="47">
        <f>J54+K54+L54+M54+N54</f>
        <v/>
      </c>
      <c r="P54" s="47">
        <f>O54*1000000/(B54+People!V54+Labour!L54)</f>
        <v/>
      </c>
      <c r="Q54" s="45" t="n">
        <v>202</v>
      </c>
      <c r="R54" s="67">
        <f>P54/Q54</f>
        <v/>
      </c>
      <c r="S54" s="47">
        <f>O54/H54</f>
        <v/>
      </c>
    </row>
    <row r="55">
      <c r="A55" s="58" t="n">
        <v>1895</v>
      </c>
      <c r="B55" s="47">
        <f>(People!B55+People!L55)/2</f>
        <v/>
      </c>
      <c r="C55" s="63">
        <f>Paths!L55*IF($A55&gt;=1896,prod_factor,1)</f>
        <v/>
      </c>
      <c r="D55" s="64">
        <f>IF(O54&gt;0,MIN(dev_cap,dev_return*'Debt &amp; cash'!N54/O54),0)</f>
        <v/>
      </c>
      <c r="E55" s="63">
        <f>C55+D55</f>
        <v/>
      </c>
      <c r="F55" s="47">
        <f>F54*(1+E55)</f>
        <v/>
      </c>
      <c r="G55" s="65">
        <f>1-(1-Paths!M55)*IF($A55&gt;=1930,dep_severity,1)</f>
        <v/>
      </c>
      <c r="H55" s="65">
        <f>IF($A55&gt;=1930,Paths!B$89+(Paths!B55-Paths!B$89)*slump_price,Paths!B55)</f>
        <v/>
      </c>
      <c r="I55" s="66">
        <f>Labour!AO55</f>
        <v/>
      </c>
      <c r="J55" s="47">
        <f>B55*F55*(1+I55)*G55*H55/1000000</f>
        <v/>
      </c>
      <c r="K55" s="62">
        <f>Resources!O55</f>
        <v/>
      </c>
      <c r="L55" s="47">
        <f>Labour!L55*gw_rel*J55/Labour!B55</f>
        <v/>
      </c>
      <c r="M55" s="62">
        <f>Champions!AQ55</f>
        <v/>
      </c>
      <c r="N55" s="47">
        <f>IF(Gulf!E55=1,Gulf!D55,0)</f>
        <v/>
      </c>
      <c r="O55" s="47">
        <f>J55+K55+L55+M55+N55</f>
        <v/>
      </c>
      <c r="P55" s="47">
        <f>O55*1000000/(B55+People!V55+Labour!L55)</f>
        <v/>
      </c>
      <c r="Q55" s="45" t="n">
        <v>200</v>
      </c>
      <c r="R55" s="67">
        <f>P55/Q55</f>
        <v/>
      </c>
      <c r="S55" s="47">
        <f>O55/H55</f>
        <v/>
      </c>
    </row>
    <row r="56">
      <c r="A56" s="58" t="n">
        <v>1896</v>
      </c>
      <c r="B56" s="47">
        <f>(People!B56+People!L56)/2</f>
        <v/>
      </c>
      <c r="C56" s="63">
        <f>Paths!L56*IF($A56&gt;=1896,prod_factor,1)</f>
        <v/>
      </c>
      <c r="D56" s="64">
        <f>IF(O55&gt;0,MIN(dev_cap,dev_return*'Debt &amp; cash'!N55/O55),0)</f>
        <v/>
      </c>
      <c r="E56" s="63">
        <f>C56+D56</f>
        <v/>
      </c>
      <c r="F56" s="47">
        <f>F55*(1+E56)</f>
        <v/>
      </c>
      <c r="G56" s="65">
        <f>1-(1-Paths!M56)*IF($A56&gt;=1930,dep_severity,1)</f>
        <v/>
      </c>
      <c r="H56" s="65">
        <f>IF($A56&gt;=1930,Paths!B$89+(Paths!B56-Paths!B$89)*slump_price,Paths!B56)</f>
        <v/>
      </c>
      <c r="I56" s="66">
        <f>Labour!AO56</f>
        <v/>
      </c>
      <c r="J56" s="47">
        <f>B56*F56*(1+I56)*G56*H56/1000000</f>
        <v/>
      </c>
      <c r="K56" s="62">
        <f>Resources!O56</f>
        <v/>
      </c>
      <c r="L56" s="47">
        <f>Labour!L56*gw_rel*J56/Labour!B56</f>
        <v/>
      </c>
      <c r="M56" s="62">
        <f>Champions!AQ56</f>
        <v/>
      </c>
      <c r="N56" s="47">
        <f>IF(Gulf!E56=1,Gulf!D56,0)</f>
        <v/>
      </c>
      <c r="O56" s="47">
        <f>J56+K56+L56+M56+N56</f>
        <v/>
      </c>
      <c r="P56" s="47">
        <f>O56*1000000/(B56+People!V56+Labour!L56)</f>
        <v/>
      </c>
      <c r="Q56" s="45" t="n">
        <v>209</v>
      </c>
      <c r="R56" s="67">
        <f>P56/Q56</f>
        <v/>
      </c>
      <c r="S56" s="47">
        <f>O56/H56</f>
        <v/>
      </c>
    </row>
    <row r="57">
      <c r="A57" s="58" t="n">
        <v>1897</v>
      </c>
      <c r="B57" s="47">
        <f>(People!B57+People!L57)/2</f>
        <v/>
      </c>
      <c r="C57" s="63">
        <f>Paths!L57*IF($A57&gt;=1896,prod_factor,1)</f>
        <v/>
      </c>
      <c r="D57" s="64">
        <f>IF(O56&gt;0,MIN(dev_cap,dev_return*'Debt &amp; cash'!N56/O56),0)</f>
        <v/>
      </c>
      <c r="E57" s="63">
        <f>C57+D57</f>
        <v/>
      </c>
      <c r="F57" s="47">
        <f>F56*(1+E57)</f>
        <v/>
      </c>
      <c r="G57" s="65">
        <f>1-(1-Paths!M57)*IF($A57&gt;=1930,dep_severity,1)</f>
        <v/>
      </c>
      <c r="H57" s="65">
        <f>IF($A57&gt;=1930,Paths!B$89+(Paths!B57-Paths!B$89)*slump_price,Paths!B57)</f>
        <v/>
      </c>
      <c r="I57" s="66">
        <f>Labour!AO57</f>
        <v/>
      </c>
      <c r="J57" s="47">
        <f>B57*F57*(1+I57)*G57*H57/1000000</f>
        <v/>
      </c>
      <c r="K57" s="62">
        <f>Resources!O57</f>
        <v/>
      </c>
      <c r="L57" s="47">
        <f>Labour!L57*gw_rel*J57/Labour!B57</f>
        <v/>
      </c>
      <c r="M57" s="62">
        <f>Champions!AQ57</f>
        <v/>
      </c>
      <c r="N57" s="47">
        <f>IF(Gulf!E57=1,Gulf!D57,0)</f>
        <v/>
      </c>
      <c r="O57" s="47">
        <f>J57+K57+L57+M57+N57</f>
        <v/>
      </c>
      <c r="P57" s="47">
        <f>O57*1000000/(B57+People!V57+Labour!L57)</f>
        <v/>
      </c>
      <c r="Q57" s="45" t="n">
        <v>218</v>
      </c>
      <c r="R57" s="67">
        <f>P57/Q57</f>
        <v/>
      </c>
      <c r="S57" s="47">
        <f>O57/H57</f>
        <v/>
      </c>
    </row>
    <row r="58">
      <c r="A58" s="58" t="n">
        <v>1898</v>
      </c>
      <c r="B58" s="47">
        <f>(People!B58+People!L58)/2</f>
        <v/>
      </c>
      <c r="C58" s="63">
        <f>Paths!L58*IF($A58&gt;=1896,prod_factor,1)</f>
        <v/>
      </c>
      <c r="D58" s="64">
        <f>IF(O57&gt;0,MIN(dev_cap,dev_return*'Debt &amp; cash'!N57/O57),0)</f>
        <v/>
      </c>
      <c r="E58" s="63">
        <f>C58+D58</f>
        <v/>
      </c>
      <c r="F58" s="47">
        <f>F57*(1+E58)</f>
        <v/>
      </c>
      <c r="G58" s="65">
        <f>1-(1-Paths!M58)*IF($A58&gt;=1930,dep_severity,1)</f>
        <v/>
      </c>
      <c r="H58" s="65">
        <f>IF($A58&gt;=1930,Paths!B$89+(Paths!B58-Paths!B$89)*slump_price,Paths!B58)</f>
        <v/>
      </c>
      <c r="I58" s="66">
        <f>Labour!AO58</f>
        <v/>
      </c>
      <c r="J58" s="47">
        <f>B58*F58*(1+I58)*G58*H58/1000000</f>
        <v/>
      </c>
      <c r="K58" s="62">
        <f>Resources!O58</f>
        <v/>
      </c>
      <c r="L58" s="47">
        <f>Labour!L58*gw_rel*J58/Labour!B58</f>
        <v/>
      </c>
      <c r="M58" s="62">
        <f>Champions!AQ58</f>
        <v/>
      </c>
      <c r="N58" s="47">
        <f>IF(Gulf!E58=1,Gulf!D58,0)</f>
        <v/>
      </c>
      <c r="O58" s="47">
        <f>J58+K58+L58+M58+N58</f>
        <v/>
      </c>
      <c r="P58" s="47">
        <f>O58*1000000/(B58+People!V58+Labour!L58)</f>
        <v/>
      </c>
      <c r="Q58" s="45" t="n">
        <v>228</v>
      </c>
      <c r="R58" s="67">
        <f>P58/Q58</f>
        <v/>
      </c>
      <c r="S58" s="47">
        <f>O58/H58</f>
        <v/>
      </c>
    </row>
    <row r="59">
      <c r="A59" s="58" t="n">
        <v>1899</v>
      </c>
      <c r="B59" s="47">
        <f>(People!B59+People!L59)/2</f>
        <v/>
      </c>
      <c r="C59" s="63">
        <f>Paths!L59*IF($A59&gt;=1896,prod_factor,1)</f>
        <v/>
      </c>
      <c r="D59" s="64">
        <f>IF(O58&gt;0,MIN(dev_cap,dev_return*'Debt &amp; cash'!N58/O58),0)</f>
        <v/>
      </c>
      <c r="E59" s="63">
        <f>C59+D59</f>
        <v/>
      </c>
      <c r="F59" s="47">
        <f>F58*(1+E59)</f>
        <v/>
      </c>
      <c r="G59" s="65">
        <f>1-(1-Paths!M59)*IF($A59&gt;=1930,dep_severity,1)</f>
        <v/>
      </c>
      <c r="H59" s="65">
        <f>IF($A59&gt;=1930,Paths!B$89+(Paths!B59-Paths!B$89)*slump_price,Paths!B59)</f>
        <v/>
      </c>
      <c r="I59" s="66">
        <f>Labour!AO59</f>
        <v/>
      </c>
      <c r="J59" s="47">
        <f>B59*F59*(1+I59)*G59*H59/1000000</f>
        <v/>
      </c>
      <c r="K59" s="62">
        <f>Resources!O59</f>
        <v/>
      </c>
      <c r="L59" s="47">
        <f>Labour!L59*gw_rel*J59/Labour!B59</f>
        <v/>
      </c>
      <c r="M59" s="62">
        <f>Champions!AQ59</f>
        <v/>
      </c>
      <c r="N59" s="47">
        <f>IF(Gulf!E59=1,Gulf!D59,0)</f>
        <v/>
      </c>
      <c r="O59" s="47">
        <f>J59+K59+L59+M59+N59</f>
        <v/>
      </c>
      <c r="P59" s="47">
        <f>O59*1000000/(B59+People!V59+Labour!L59)</f>
        <v/>
      </c>
      <c r="Q59" s="45" t="n">
        <v>237</v>
      </c>
      <c r="R59" s="67">
        <f>P59/Q59</f>
        <v/>
      </c>
      <c r="S59" s="47">
        <f>O59/H59</f>
        <v/>
      </c>
    </row>
    <row r="60">
      <c r="A60" s="58" t="n">
        <v>1900</v>
      </c>
      <c r="B60" s="47">
        <f>(People!B60+People!L60)/2</f>
        <v/>
      </c>
      <c r="C60" s="63">
        <f>Paths!L60*IF($A60&gt;=1896,prod_factor,1)</f>
        <v/>
      </c>
      <c r="D60" s="64">
        <f>IF(O59&gt;0,MIN(dev_cap,dev_return*'Debt &amp; cash'!N59/O59),0)</f>
        <v/>
      </c>
      <c r="E60" s="63">
        <f>C60+D60</f>
        <v/>
      </c>
      <c r="F60" s="47">
        <f>F59*(1+E60)</f>
        <v/>
      </c>
      <c r="G60" s="65">
        <f>1-(1-Paths!M60)*IF($A60&gt;=1930,dep_severity,1)</f>
        <v/>
      </c>
      <c r="H60" s="65">
        <f>IF($A60&gt;=1930,Paths!B$89+(Paths!B60-Paths!B$89)*slump_price,Paths!B60)</f>
        <v/>
      </c>
      <c r="I60" s="66">
        <f>Labour!AO60</f>
        <v/>
      </c>
      <c r="J60" s="47">
        <f>B60*F60*(1+I60)*G60*H60/1000000</f>
        <v/>
      </c>
      <c r="K60" s="62">
        <f>Resources!O60</f>
        <v/>
      </c>
      <c r="L60" s="47">
        <f>Labour!L60*gw_rel*J60/Labour!B60</f>
        <v/>
      </c>
      <c r="M60" s="62">
        <f>Champions!AQ60</f>
        <v/>
      </c>
      <c r="N60" s="47">
        <f>IF(Gulf!E60=1,Gulf!D60,0)</f>
        <v/>
      </c>
      <c r="O60" s="47">
        <f>J60+K60+L60+M60+N60</f>
        <v/>
      </c>
      <c r="P60" s="47">
        <f>O60*1000000/(B60+People!V60+Labour!L60)</f>
        <v/>
      </c>
      <c r="Q60" s="45" t="n">
        <v>246</v>
      </c>
      <c r="R60" s="67">
        <f>P60/Q60</f>
        <v/>
      </c>
      <c r="S60" s="47">
        <f>O60/H60</f>
        <v/>
      </c>
    </row>
    <row r="61">
      <c r="A61" s="58" t="n">
        <v>1901</v>
      </c>
      <c r="B61" s="47">
        <f>(People!B61+People!L61)/2</f>
        <v/>
      </c>
      <c r="C61" s="63">
        <f>Paths!L61*IF($A61&gt;=1896,prod_factor,1)</f>
        <v/>
      </c>
      <c r="D61" s="64">
        <f>IF(O60&gt;0,MIN(dev_cap,dev_return*'Debt &amp; cash'!N60/O60),0)</f>
        <v/>
      </c>
      <c r="E61" s="63">
        <f>C61+D61</f>
        <v/>
      </c>
      <c r="F61" s="47">
        <f>F60*(1+E61)</f>
        <v/>
      </c>
      <c r="G61" s="65">
        <f>1-(1-Paths!M61)*IF($A61&gt;=1930,dep_severity,1)</f>
        <v/>
      </c>
      <c r="H61" s="65">
        <f>IF($A61&gt;=1930,Paths!B$89+(Paths!B61-Paths!B$89)*slump_price,Paths!B61)</f>
        <v/>
      </c>
      <c r="I61" s="66">
        <f>Labour!AO61</f>
        <v/>
      </c>
      <c r="J61" s="47">
        <f>B61*F61*(1+I61)*G61*H61/1000000</f>
        <v/>
      </c>
      <c r="K61" s="62">
        <f>Resources!O61</f>
        <v/>
      </c>
      <c r="L61" s="47">
        <f>Labour!L61*gw_rel*J61/Labour!B61</f>
        <v/>
      </c>
      <c r="M61" s="62">
        <f>Champions!AQ61</f>
        <v/>
      </c>
      <c r="N61" s="47">
        <f>IF(Gulf!E61=1,Gulf!D61,0)</f>
        <v/>
      </c>
      <c r="O61" s="47">
        <f>J61+K61+L61+M61+N61</f>
        <v/>
      </c>
      <c r="P61" s="47">
        <f>O61*1000000/(B61+People!V61+Labour!L61)</f>
        <v/>
      </c>
      <c r="Q61" s="45" t="n">
        <v>255</v>
      </c>
      <c r="R61" s="67">
        <f>P61/Q61</f>
        <v/>
      </c>
      <c r="S61" s="47">
        <f>O61/H61</f>
        <v/>
      </c>
    </row>
    <row r="62">
      <c r="A62" s="58" t="n">
        <v>1902</v>
      </c>
      <c r="B62" s="47">
        <f>(People!B62+People!L62)/2</f>
        <v/>
      </c>
      <c r="C62" s="63">
        <f>Paths!L62*IF($A62&gt;=1896,prod_factor,1)</f>
        <v/>
      </c>
      <c r="D62" s="64">
        <f>IF(O61&gt;0,MIN(dev_cap,dev_return*'Debt &amp; cash'!N61/O61),0)</f>
        <v/>
      </c>
      <c r="E62" s="63">
        <f>C62+D62</f>
        <v/>
      </c>
      <c r="F62" s="47">
        <f>F61*(1+E62)</f>
        <v/>
      </c>
      <c r="G62" s="65">
        <f>1-(1-Paths!M62)*IF($A62&gt;=1930,dep_severity,1)</f>
        <v/>
      </c>
      <c r="H62" s="65">
        <f>IF($A62&gt;=1930,Paths!B$89+(Paths!B62-Paths!B$89)*slump_price,Paths!B62)</f>
        <v/>
      </c>
      <c r="I62" s="66">
        <f>Labour!AO62</f>
        <v/>
      </c>
      <c r="J62" s="47">
        <f>B62*F62*(1+I62)*G62*H62/1000000</f>
        <v/>
      </c>
      <c r="K62" s="62">
        <f>Resources!O62</f>
        <v/>
      </c>
      <c r="L62" s="47">
        <f>Labour!L62*gw_rel*J62/Labour!B62</f>
        <v/>
      </c>
      <c r="M62" s="62">
        <f>Champions!AQ62</f>
        <v/>
      </c>
      <c r="N62" s="47">
        <f>IF(Gulf!E62=1,Gulf!D62,0)</f>
        <v/>
      </c>
      <c r="O62" s="47">
        <f>J62+K62+L62+M62+N62</f>
        <v/>
      </c>
      <c r="P62" s="47">
        <f>O62*1000000/(B62+People!V62+Labour!L62)</f>
        <v/>
      </c>
      <c r="Q62" s="45" t="n">
        <v>264</v>
      </c>
      <c r="R62" s="67">
        <f>P62/Q62</f>
        <v/>
      </c>
      <c r="S62" s="47">
        <f>O62/H62</f>
        <v/>
      </c>
    </row>
    <row r="63">
      <c r="A63" s="58" t="n">
        <v>1903</v>
      </c>
      <c r="B63" s="47">
        <f>(People!B63+People!L63)/2</f>
        <v/>
      </c>
      <c r="C63" s="63">
        <f>Paths!L63*IF($A63&gt;=1896,prod_factor,1)</f>
        <v/>
      </c>
      <c r="D63" s="64">
        <f>IF(O62&gt;0,MIN(dev_cap,dev_return*'Debt &amp; cash'!N62/O62),0)</f>
        <v/>
      </c>
      <c r="E63" s="63">
        <f>C63+D63</f>
        <v/>
      </c>
      <c r="F63" s="47">
        <f>F62*(1+E63)</f>
        <v/>
      </c>
      <c r="G63" s="65">
        <f>1-(1-Paths!M63)*IF($A63&gt;=1930,dep_severity,1)</f>
        <v/>
      </c>
      <c r="H63" s="65">
        <f>IF($A63&gt;=1930,Paths!B$89+(Paths!B63-Paths!B$89)*slump_price,Paths!B63)</f>
        <v/>
      </c>
      <c r="I63" s="66">
        <f>Labour!AO63</f>
        <v/>
      </c>
      <c r="J63" s="47">
        <f>B63*F63*(1+I63)*G63*H63/1000000</f>
        <v/>
      </c>
      <c r="K63" s="62">
        <f>Resources!O63</f>
        <v/>
      </c>
      <c r="L63" s="47">
        <f>Labour!L63*gw_rel*J63/Labour!B63</f>
        <v/>
      </c>
      <c r="M63" s="62">
        <f>Champions!AQ63</f>
        <v/>
      </c>
      <c r="N63" s="47">
        <f>IF(Gulf!E63=1,Gulf!D63,0)</f>
        <v/>
      </c>
      <c r="O63" s="47">
        <f>J63+K63+L63+M63+N63</f>
        <v/>
      </c>
      <c r="P63" s="47">
        <f>O63*1000000/(B63+People!V63+Labour!L63)</f>
        <v/>
      </c>
      <c r="Q63" s="45" t="n">
        <v>272</v>
      </c>
      <c r="R63" s="67">
        <f>P63/Q63</f>
        <v/>
      </c>
      <c r="S63" s="47">
        <f>O63/H63</f>
        <v/>
      </c>
    </row>
    <row r="64">
      <c r="A64" s="58" t="n">
        <v>1904</v>
      </c>
      <c r="B64" s="47">
        <f>(People!B64+People!L64)/2</f>
        <v/>
      </c>
      <c r="C64" s="63">
        <f>Paths!L64*IF($A64&gt;=1896,prod_factor,1)</f>
        <v/>
      </c>
      <c r="D64" s="64">
        <f>IF(O63&gt;0,MIN(dev_cap,dev_return*'Debt &amp; cash'!N63/O63),0)</f>
        <v/>
      </c>
      <c r="E64" s="63">
        <f>C64+D64</f>
        <v/>
      </c>
      <c r="F64" s="47">
        <f>F63*(1+E64)</f>
        <v/>
      </c>
      <c r="G64" s="65">
        <f>1-(1-Paths!M64)*IF($A64&gt;=1930,dep_severity,1)</f>
        <v/>
      </c>
      <c r="H64" s="65">
        <f>IF($A64&gt;=1930,Paths!B$89+(Paths!B64-Paths!B$89)*slump_price,Paths!B64)</f>
        <v/>
      </c>
      <c r="I64" s="66">
        <f>Labour!AO64</f>
        <v/>
      </c>
      <c r="J64" s="47">
        <f>B64*F64*(1+I64)*G64*H64/1000000</f>
        <v/>
      </c>
      <c r="K64" s="62">
        <f>Resources!O64</f>
        <v/>
      </c>
      <c r="L64" s="47">
        <f>Labour!L64*gw_rel*J64/Labour!B64</f>
        <v/>
      </c>
      <c r="M64" s="62">
        <f>Champions!AQ64</f>
        <v/>
      </c>
      <c r="N64" s="47">
        <f>IF(Gulf!E64=1,Gulf!D64,0)</f>
        <v/>
      </c>
      <c r="O64" s="47">
        <f>J64+K64+L64+M64+N64</f>
        <v/>
      </c>
      <c r="P64" s="47">
        <f>O64*1000000/(B64+People!V64+Labour!L64)</f>
        <v/>
      </c>
      <c r="Q64" s="45" t="n">
        <v>281</v>
      </c>
      <c r="R64" s="67">
        <f>P64/Q64</f>
        <v/>
      </c>
      <c r="S64" s="47">
        <f>O64/H64</f>
        <v/>
      </c>
    </row>
    <row r="65">
      <c r="A65" s="58" t="n">
        <v>1905</v>
      </c>
      <c r="B65" s="47">
        <f>(People!B65+People!L65)/2</f>
        <v/>
      </c>
      <c r="C65" s="63">
        <f>Paths!L65*IF($A65&gt;=1896,prod_factor,1)</f>
        <v/>
      </c>
      <c r="D65" s="64">
        <f>IF(O64&gt;0,MIN(dev_cap,dev_return*'Debt &amp; cash'!N64/O64),0)</f>
        <v/>
      </c>
      <c r="E65" s="63">
        <f>C65+D65</f>
        <v/>
      </c>
      <c r="F65" s="47">
        <f>F64*(1+E65)</f>
        <v/>
      </c>
      <c r="G65" s="65">
        <f>1-(1-Paths!M65)*IF($A65&gt;=1930,dep_severity,1)</f>
        <v/>
      </c>
      <c r="H65" s="65">
        <f>IF($A65&gt;=1930,Paths!B$89+(Paths!B65-Paths!B$89)*slump_price,Paths!B65)</f>
        <v/>
      </c>
      <c r="I65" s="66">
        <f>Labour!AO65</f>
        <v/>
      </c>
      <c r="J65" s="47">
        <f>B65*F65*(1+I65)*G65*H65/1000000</f>
        <v/>
      </c>
      <c r="K65" s="62">
        <f>Resources!O65</f>
        <v/>
      </c>
      <c r="L65" s="47">
        <f>Labour!L65*gw_rel*J65/Labour!B65</f>
        <v/>
      </c>
      <c r="M65" s="62">
        <f>Champions!AQ65</f>
        <v/>
      </c>
      <c r="N65" s="47">
        <f>IF(Gulf!E65=1,Gulf!D65,0)</f>
        <v/>
      </c>
      <c r="O65" s="47">
        <f>J65+K65+L65+M65+N65</f>
        <v/>
      </c>
      <c r="P65" s="47">
        <f>O65*1000000/(B65+People!V65+Labour!L65)</f>
        <v/>
      </c>
      <c r="Q65" s="45" t="n">
        <v>290</v>
      </c>
      <c r="R65" s="67">
        <f>P65/Q65</f>
        <v/>
      </c>
      <c r="S65" s="47">
        <f>O65/H65</f>
        <v/>
      </c>
    </row>
    <row r="66">
      <c r="A66" s="58" t="n">
        <v>1906</v>
      </c>
      <c r="B66" s="47">
        <f>(People!B66+People!L66)/2</f>
        <v/>
      </c>
      <c r="C66" s="63">
        <f>Paths!L66*IF($A66&gt;=1896,prod_factor,1)</f>
        <v/>
      </c>
      <c r="D66" s="64">
        <f>IF(O65&gt;0,MIN(dev_cap,dev_return*'Debt &amp; cash'!N65/O65),0)</f>
        <v/>
      </c>
      <c r="E66" s="63">
        <f>C66+D66</f>
        <v/>
      </c>
      <c r="F66" s="47">
        <f>F65*(1+E66)</f>
        <v/>
      </c>
      <c r="G66" s="65">
        <f>1-(1-Paths!M66)*IF($A66&gt;=1930,dep_severity,1)</f>
        <v/>
      </c>
      <c r="H66" s="65">
        <f>IF($A66&gt;=1930,Paths!B$89+(Paths!B66-Paths!B$89)*slump_price,Paths!B66)</f>
        <v/>
      </c>
      <c r="I66" s="66">
        <f>Labour!AO66</f>
        <v/>
      </c>
      <c r="J66" s="47">
        <f>B66*F66*(1+I66)*G66*H66/1000000</f>
        <v/>
      </c>
      <c r="K66" s="62">
        <f>Resources!O66</f>
        <v/>
      </c>
      <c r="L66" s="47">
        <f>Labour!L66*gw_rel*J66/Labour!B66</f>
        <v/>
      </c>
      <c r="M66" s="62">
        <f>Champions!AQ66</f>
        <v/>
      </c>
      <c r="N66" s="47">
        <f>IF(Gulf!E66=1,Gulf!D66,0)</f>
        <v/>
      </c>
      <c r="O66" s="47">
        <f>J66+K66+L66+M66+N66</f>
        <v/>
      </c>
      <c r="P66" s="47">
        <f>O66*1000000/(B66+People!V66+Labour!L66)</f>
        <v/>
      </c>
      <c r="Q66" s="45" t="n">
        <v>305</v>
      </c>
      <c r="R66" s="67">
        <f>P66/Q66</f>
        <v/>
      </c>
      <c r="S66" s="47">
        <f>O66/H66</f>
        <v/>
      </c>
    </row>
    <row r="67">
      <c r="A67" s="58" t="n">
        <v>1907</v>
      </c>
      <c r="B67" s="47">
        <f>(People!B67+People!L67)/2</f>
        <v/>
      </c>
      <c r="C67" s="63">
        <f>Paths!L67*IF($A67&gt;=1896,prod_factor,1)</f>
        <v/>
      </c>
      <c r="D67" s="64">
        <f>IF(O66&gt;0,MIN(dev_cap,dev_return*'Debt &amp; cash'!N66/O66),0)</f>
        <v/>
      </c>
      <c r="E67" s="63">
        <f>C67+D67</f>
        <v/>
      </c>
      <c r="F67" s="47">
        <f>F66*(1+E67)</f>
        <v/>
      </c>
      <c r="G67" s="65">
        <f>1-(1-Paths!M67)*IF($A67&gt;=1930,dep_severity,1)</f>
        <v/>
      </c>
      <c r="H67" s="65">
        <f>IF($A67&gt;=1930,Paths!B$89+(Paths!B67-Paths!B$89)*slump_price,Paths!B67)</f>
        <v/>
      </c>
      <c r="I67" s="66">
        <f>Labour!AO67</f>
        <v/>
      </c>
      <c r="J67" s="47">
        <f>B67*F67*(1+I67)*G67*H67/1000000</f>
        <v/>
      </c>
      <c r="K67" s="62">
        <f>Resources!O67</f>
        <v/>
      </c>
      <c r="L67" s="47">
        <f>Labour!L67*gw_rel*J67/Labour!B67</f>
        <v/>
      </c>
      <c r="M67" s="62">
        <f>Champions!AQ67</f>
        <v/>
      </c>
      <c r="N67" s="47">
        <f>IF(Gulf!E67=1,Gulf!D67,0)</f>
        <v/>
      </c>
      <c r="O67" s="47">
        <f>J67+K67+L67+M67+N67</f>
        <v/>
      </c>
      <c r="P67" s="47">
        <f>O67*1000000/(B67+People!V67+Labour!L67)</f>
        <v/>
      </c>
      <c r="Q67" s="45" t="n">
        <v>319</v>
      </c>
      <c r="R67" s="67">
        <f>P67/Q67</f>
        <v/>
      </c>
      <c r="S67" s="47">
        <f>O67/H67</f>
        <v/>
      </c>
    </row>
    <row r="68">
      <c r="A68" s="58" t="n">
        <v>1908</v>
      </c>
      <c r="B68" s="47">
        <f>(People!B68+People!L68)/2</f>
        <v/>
      </c>
      <c r="C68" s="63">
        <f>Paths!L68*IF($A68&gt;=1896,prod_factor,1)</f>
        <v/>
      </c>
      <c r="D68" s="64">
        <f>IF(O67&gt;0,MIN(dev_cap,dev_return*'Debt &amp; cash'!N67/O67),0)</f>
        <v/>
      </c>
      <c r="E68" s="63">
        <f>C68+D68</f>
        <v/>
      </c>
      <c r="F68" s="47">
        <f>F67*(1+E68)</f>
        <v/>
      </c>
      <c r="G68" s="65">
        <f>1-(1-Paths!M68)*IF($A68&gt;=1930,dep_severity,1)</f>
        <v/>
      </c>
      <c r="H68" s="65">
        <f>IF($A68&gt;=1930,Paths!B$89+(Paths!B68-Paths!B$89)*slump_price,Paths!B68)</f>
        <v/>
      </c>
      <c r="I68" s="66">
        <f>Labour!AO68</f>
        <v/>
      </c>
      <c r="J68" s="47">
        <f>B68*F68*(1+I68)*G68*H68/1000000</f>
        <v/>
      </c>
      <c r="K68" s="62">
        <f>Resources!O68</f>
        <v/>
      </c>
      <c r="L68" s="47">
        <f>Labour!L68*gw_rel*J68/Labour!B68</f>
        <v/>
      </c>
      <c r="M68" s="62">
        <f>Champions!AQ68</f>
        <v/>
      </c>
      <c r="N68" s="47">
        <f>IF(Gulf!E68=1,Gulf!D68,0)</f>
        <v/>
      </c>
      <c r="O68" s="47">
        <f>J68+K68+L68+M68+N68</f>
        <v/>
      </c>
      <c r="P68" s="47">
        <f>O68*1000000/(B68+People!V68+Labour!L68)</f>
        <v/>
      </c>
      <c r="Q68" s="45" t="n">
        <v>334</v>
      </c>
      <c r="R68" s="67">
        <f>P68/Q68</f>
        <v/>
      </c>
      <c r="S68" s="47">
        <f>O68/H68</f>
        <v/>
      </c>
    </row>
    <row r="69">
      <c r="A69" s="58" t="n">
        <v>1909</v>
      </c>
      <c r="B69" s="47">
        <f>(People!B69+People!L69)/2</f>
        <v/>
      </c>
      <c r="C69" s="63">
        <f>Paths!L69*IF($A69&gt;=1896,prod_factor,1)</f>
        <v/>
      </c>
      <c r="D69" s="64">
        <f>IF(O68&gt;0,MIN(dev_cap,dev_return*'Debt &amp; cash'!N68/O68),0)</f>
        <v/>
      </c>
      <c r="E69" s="63">
        <f>C69+D69</f>
        <v/>
      </c>
      <c r="F69" s="47">
        <f>F68*(1+E69)</f>
        <v/>
      </c>
      <c r="G69" s="65">
        <f>1-(1-Paths!M69)*IF($A69&gt;=1930,dep_severity,1)</f>
        <v/>
      </c>
      <c r="H69" s="65">
        <f>IF($A69&gt;=1930,Paths!B$89+(Paths!B69-Paths!B$89)*slump_price,Paths!B69)</f>
        <v/>
      </c>
      <c r="I69" s="66">
        <f>Labour!AO69</f>
        <v/>
      </c>
      <c r="J69" s="47">
        <f>B69*F69*(1+I69)*G69*H69/1000000</f>
        <v/>
      </c>
      <c r="K69" s="62">
        <f>Resources!O69</f>
        <v/>
      </c>
      <c r="L69" s="47">
        <f>Labour!L69*gw_rel*J69/Labour!B69</f>
        <v/>
      </c>
      <c r="M69" s="62">
        <f>Champions!AQ69</f>
        <v/>
      </c>
      <c r="N69" s="47">
        <f>IF(Gulf!E69=1,Gulf!D69,0)</f>
        <v/>
      </c>
      <c r="O69" s="47">
        <f>J69+K69+L69+M69+N69</f>
        <v/>
      </c>
      <c r="P69" s="47">
        <f>O69*1000000/(B69+People!V69+Labour!L69)</f>
        <v/>
      </c>
      <c r="Q69" s="45" t="n">
        <v>348</v>
      </c>
      <c r="R69" s="67">
        <f>P69/Q69</f>
        <v/>
      </c>
      <c r="S69" s="47">
        <f>O69/H69</f>
        <v/>
      </c>
    </row>
    <row r="70">
      <c r="A70" s="58" t="n">
        <v>1910</v>
      </c>
      <c r="B70" s="47">
        <f>(People!B70+People!L70)/2</f>
        <v/>
      </c>
      <c r="C70" s="63">
        <f>Paths!L70*IF($A70&gt;=1896,prod_factor,1)</f>
        <v/>
      </c>
      <c r="D70" s="64">
        <f>IF(O69&gt;0,MIN(dev_cap,dev_return*'Debt &amp; cash'!N69/O69),0)</f>
        <v/>
      </c>
      <c r="E70" s="63">
        <f>C70+D70</f>
        <v/>
      </c>
      <c r="F70" s="47">
        <f>F69*(1+E70)</f>
        <v/>
      </c>
      <c r="G70" s="65">
        <f>1-(1-Paths!M70)*IF($A70&gt;=1930,dep_severity,1)</f>
        <v/>
      </c>
      <c r="H70" s="65">
        <f>IF($A70&gt;=1930,Paths!B$89+(Paths!B70-Paths!B$89)*slump_price,Paths!B70)</f>
        <v/>
      </c>
      <c r="I70" s="66">
        <f>Labour!AO70</f>
        <v/>
      </c>
      <c r="J70" s="47">
        <f>B70*F70*(1+I70)*G70*H70/1000000</f>
        <v/>
      </c>
      <c r="K70" s="62">
        <f>Resources!O70</f>
        <v/>
      </c>
      <c r="L70" s="47">
        <f>Labour!L70*gw_rel*J70/Labour!B70</f>
        <v/>
      </c>
      <c r="M70" s="62">
        <f>Champions!AQ70</f>
        <v/>
      </c>
      <c r="N70" s="47">
        <f>IF(Gulf!E70=1,Gulf!D70,0)</f>
        <v/>
      </c>
      <c r="O70" s="47">
        <f>J70+K70+L70+M70+N70</f>
        <v/>
      </c>
      <c r="P70" s="47">
        <f>O70*1000000/(B70+People!V70+Labour!L70)</f>
        <v/>
      </c>
      <c r="Q70" s="45" t="n">
        <v>363</v>
      </c>
      <c r="R70" s="67">
        <f>P70/Q70</f>
        <v/>
      </c>
      <c r="S70" s="47">
        <f>O70/H70</f>
        <v/>
      </c>
    </row>
    <row r="71">
      <c r="A71" s="58" t="n">
        <v>1911</v>
      </c>
      <c r="B71" s="47">
        <f>(People!B71+People!L71)/2</f>
        <v/>
      </c>
      <c r="C71" s="63">
        <f>Paths!L71*IF($A71&gt;=1896,prod_factor,1)</f>
        <v/>
      </c>
      <c r="D71" s="64">
        <f>IF(O70&gt;0,MIN(dev_cap,dev_return*'Debt &amp; cash'!N70/O70),0)</f>
        <v/>
      </c>
      <c r="E71" s="63">
        <f>C71+D71</f>
        <v/>
      </c>
      <c r="F71" s="47">
        <f>F70*(1+E71)</f>
        <v/>
      </c>
      <c r="G71" s="65">
        <f>1-(1-Paths!M71)*IF($A71&gt;=1930,dep_severity,1)</f>
        <v/>
      </c>
      <c r="H71" s="65">
        <f>IF($A71&gt;=1930,Paths!B$89+(Paths!B71-Paths!B$89)*slump_price,Paths!B71)</f>
        <v/>
      </c>
      <c r="I71" s="66">
        <f>Labour!AO71</f>
        <v/>
      </c>
      <c r="J71" s="47">
        <f>B71*F71*(1+I71)*G71*H71/1000000</f>
        <v/>
      </c>
      <c r="K71" s="62">
        <f>Resources!O71</f>
        <v/>
      </c>
      <c r="L71" s="47">
        <f>Labour!L71*gw_rel*J71/Labour!B71</f>
        <v/>
      </c>
      <c r="M71" s="62">
        <f>Champions!AQ71</f>
        <v/>
      </c>
      <c r="N71" s="47">
        <f>IF(Gulf!E71=1,Gulf!D71,0)</f>
        <v/>
      </c>
      <c r="O71" s="47">
        <f>J71+K71+L71+M71+N71</f>
        <v/>
      </c>
      <c r="P71" s="47">
        <f>O71*1000000/(B71+People!V71+Labour!L71)</f>
        <v/>
      </c>
      <c r="Q71" s="45" t="n">
        <v>376</v>
      </c>
      <c r="R71" s="67">
        <f>P71/Q71</f>
        <v/>
      </c>
      <c r="S71" s="47">
        <f>O71/H71</f>
        <v/>
      </c>
    </row>
    <row r="72">
      <c r="A72" s="58" t="n">
        <v>1912</v>
      </c>
      <c r="B72" s="47">
        <f>(People!B72+People!L72)/2</f>
        <v/>
      </c>
      <c r="C72" s="63">
        <f>Paths!L72*IF($A72&gt;=1896,prod_factor,1)</f>
        <v/>
      </c>
      <c r="D72" s="64">
        <f>IF(O71&gt;0,MIN(dev_cap,dev_return*'Debt &amp; cash'!N71/O71),0)</f>
        <v/>
      </c>
      <c r="E72" s="63">
        <f>C72+D72</f>
        <v/>
      </c>
      <c r="F72" s="47">
        <f>F71*(1+E72)</f>
        <v/>
      </c>
      <c r="G72" s="65">
        <f>1-(1-Paths!M72)*IF($A72&gt;=1930,dep_severity,1)</f>
        <v/>
      </c>
      <c r="H72" s="65">
        <f>IF($A72&gt;=1930,Paths!B$89+(Paths!B72-Paths!B$89)*slump_price,Paths!B72)</f>
        <v/>
      </c>
      <c r="I72" s="66">
        <f>Labour!AO72</f>
        <v/>
      </c>
      <c r="J72" s="47">
        <f>B72*F72*(1+I72)*G72*H72/1000000</f>
        <v/>
      </c>
      <c r="K72" s="62">
        <f>Resources!O72</f>
        <v/>
      </c>
      <c r="L72" s="47">
        <f>Labour!L72*gw_rel*J72/Labour!B72</f>
        <v/>
      </c>
      <c r="M72" s="62">
        <f>Champions!AQ72</f>
        <v/>
      </c>
      <c r="N72" s="47">
        <f>IF(Gulf!E72=1,Gulf!D72,0)</f>
        <v/>
      </c>
      <c r="O72" s="47">
        <f>J72+K72+L72+M72+N72</f>
        <v/>
      </c>
      <c r="P72" s="47">
        <f>O72*1000000/(B72+People!V72+Labour!L72)</f>
        <v/>
      </c>
      <c r="Q72" s="45" t="n">
        <v>390</v>
      </c>
      <c r="R72" s="67">
        <f>P72/Q72</f>
        <v/>
      </c>
      <c r="S72" s="47">
        <f>O72/H72</f>
        <v/>
      </c>
    </row>
    <row r="73">
      <c r="A73" s="58" t="n">
        <v>1913</v>
      </c>
      <c r="B73" s="47">
        <f>(People!B73+People!L73)/2</f>
        <v/>
      </c>
      <c r="C73" s="63">
        <f>Paths!L73*IF($A73&gt;=1896,prod_factor,1)</f>
        <v/>
      </c>
      <c r="D73" s="64">
        <f>IF(O72&gt;0,MIN(dev_cap,dev_return*'Debt &amp; cash'!N72/O72),0)</f>
        <v/>
      </c>
      <c r="E73" s="63">
        <f>C73+D73</f>
        <v/>
      </c>
      <c r="F73" s="47">
        <f>F72*(1+E73)</f>
        <v/>
      </c>
      <c r="G73" s="65">
        <f>1-(1-Paths!M73)*IF($A73&gt;=1930,dep_severity,1)</f>
        <v/>
      </c>
      <c r="H73" s="65">
        <f>IF($A73&gt;=1930,Paths!B$89+(Paths!B73-Paths!B$89)*slump_price,Paths!B73)</f>
        <v/>
      </c>
      <c r="I73" s="66">
        <f>Labour!AO73</f>
        <v/>
      </c>
      <c r="J73" s="47">
        <f>B73*F73*(1+I73)*G73*H73/1000000</f>
        <v/>
      </c>
      <c r="K73" s="62">
        <f>Resources!O73</f>
        <v/>
      </c>
      <c r="L73" s="47">
        <f>Labour!L73*gw_rel*J73/Labour!B73</f>
        <v/>
      </c>
      <c r="M73" s="62">
        <f>Champions!AQ73</f>
        <v/>
      </c>
      <c r="N73" s="47">
        <f>IF(Gulf!E73=1,Gulf!D73,0)</f>
        <v/>
      </c>
      <c r="O73" s="47">
        <f>J73+K73+L73+M73+N73</f>
        <v/>
      </c>
      <c r="P73" s="47">
        <f>O73*1000000/(B73+People!V73+Labour!L73)</f>
        <v/>
      </c>
      <c r="Q73" s="45" t="n">
        <v>403</v>
      </c>
      <c r="R73" s="67">
        <f>P73/Q73</f>
        <v/>
      </c>
      <c r="S73" s="47">
        <f>O73/H73</f>
        <v/>
      </c>
    </row>
    <row r="74">
      <c r="A74" s="61" t="n">
        <v>1914</v>
      </c>
      <c r="B74" s="47">
        <f>(People!B74+People!L74)/2</f>
        <v/>
      </c>
      <c r="C74" s="63">
        <f>Paths!L74*IF($A74&gt;=1896,prod_factor,1)</f>
        <v/>
      </c>
      <c r="D74" s="64">
        <f>IF(O73&gt;0,MIN(dev_cap,dev_return*'Debt &amp; cash'!N73/O73),0)</f>
        <v/>
      </c>
      <c r="E74" s="63">
        <f>C74+D74</f>
        <v/>
      </c>
      <c r="F74" s="47">
        <f>F73*(1+E74)</f>
        <v/>
      </c>
      <c r="G74" s="65">
        <f>1-(1-Paths!M74)*IF($A74&gt;=1930,dep_severity,1)</f>
        <v/>
      </c>
      <c r="H74" s="65">
        <f>IF($A74&gt;=1930,Paths!B$89+(Paths!B74-Paths!B$89)*slump_price,Paths!B74)</f>
        <v/>
      </c>
      <c r="I74" s="66">
        <f>Labour!AO74</f>
        <v/>
      </c>
      <c r="J74" s="47">
        <f>B74*F74*(1+I74)*G74*H74/1000000</f>
        <v/>
      </c>
      <c r="K74" s="62">
        <f>Resources!O74</f>
        <v/>
      </c>
      <c r="L74" s="47">
        <f>Labour!L74*gw_rel*J74/Labour!B74</f>
        <v/>
      </c>
      <c r="M74" s="62">
        <f>Champions!AQ74</f>
        <v/>
      </c>
      <c r="N74" s="47">
        <f>IF(Gulf!E74=1,Gulf!D74,0)</f>
        <v/>
      </c>
      <c r="O74" s="47">
        <f>J74+K74+L74+M74+N74</f>
        <v/>
      </c>
      <c r="P74" s="47">
        <f>O74*1000000/(B74+People!V74+Labour!L74)</f>
        <v/>
      </c>
      <c r="Q74" s="45" t="n">
        <v>380</v>
      </c>
      <c r="R74" s="67">
        <f>P74/Q74</f>
        <v/>
      </c>
      <c r="S74" s="47">
        <f>O74/H74</f>
        <v/>
      </c>
    </row>
    <row r="75">
      <c r="A75" s="61" t="n">
        <v>1915</v>
      </c>
      <c r="B75" s="47">
        <f>(People!B75+People!L75)/2</f>
        <v/>
      </c>
      <c r="C75" s="63">
        <f>Paths!L75*IF($A75&gt;=1896,prod_factor,1)</f>
        <v/>
      </c>
      <c r="D75" s="64">
        <f>IF(O74&gt;0,MIN(dev_cap,dev_return*'Debt &amp; cash'!N74/O74),0)</f>
        <v/>
      </c>
      <c r="E75" s="63">
        <f>C75+D75</f>
        <v/>
      </c>
      <c r="F75" s="47">
        <f>F74*(1+E75)</f>
        <v/>
      </c>
      <c r="G75" s="65">
        <f>1-(1-Paths!M75)*IF($A75&gt;=1930,dep_severity,1)</f>
        <v/>
      </c>
      <c r="H75" s="65">
        <f>IF($A75&gt;=1930,Paths!B$89+(Paths!B75-Paths!B$89)*slump_price,Paths!B75)</f>
        <v/>
      </c>
      <c r="I75" s="66">
        <f>Labour!AO75</f>
        <v/>
      </c>
      <c r="J75" s="47">
        <f>B75*F75*(1+I75)*G75*H75/1000000</f>
        <v/>
      </c>
      <c r="K75" s="62">
        <f>Resources!O75</f>
        <v/>
      </c>
      <c r="L75" s="47">
        <f>Labour!L75*gw_rel*J75/Labour!B75</f>
        <v/>
      </c>
      <c r="M75" s="62">
        <f>Champions!AQ75</f>
        <v/>
      </c>
      <c r="N75" s="47">
        <f>IF(Gulf!E75=1,Gulf!D75,0)</f>
        <v/>
      </c>
      <c r="O75" s="47">
        <f>J75+K75+L75+M75+N75</f>
        <v/>
      </c>
      <c r="P75" s="47">
        <f>O75*1000000/(B75+People!V75+Labour!L75)</f>
        <v/>
      </c>
      <c r="Q75" s="45" t="n">
        <v>430</v>
      </c>
      <c r="R75" s="67">
        <f>P75/Q75</f>
        <v/>
      </c>
      <c r="S75" s="47">
        <f>O75/H75</f>
        <v/>
      </c>
    </row>
    <row r="76">
      <c r="A76" s="61" t="n">
        <v>1916</v>
      </c>
      <c r="B76" s="47">
        <f>(People!B76+People!L76)/2</f>
        <v/>
      </c>
      <c r="C76" s="63">
        <f>Paths!L76*IF($A76&gt;=1896,prod_factor,1)</f>
        <v/>
      </c>
      <c r="D76" s="64">
        <f>IF(O75&gt;0,MIN(dev_cap,dev_return*'Debt &amp; cash'!N75/O75),0)</f>
        <v/>
      </c>
      <c r="E76" s="63">
        <f>C76+D76</f>
        <v/>
      </c>
      <c r="F76" s="47">
        <f>F75*(1+E76)</f>
        <v/>
      </c>
      <c r="G76" s="65">
        <f>1-(1-Paths!M76)*IF($A76&gt;=1930,dep_severity,1)</f>
        <v/>
      </c>
      <c r="H76" s="65">
        <f>IF($A76&gt;=1930,Paths!B$89+(Paths!B76-Paths!B$89)*slump_price,Paths!B76)</f>
        <v/>
      </c>
      <c r="I76" s="66">
        <f>Labour!AO76</f>
        <v/>
      </c>
      <c r="J76" s="47">
        <f>B76*F76*(1+I76)*G76*H76/1000000</f>
        <v/>
      </c>
      <c r="K76" s="62">
        <f>Resources!O76</f>
        <v/>
      </c>
      <c r="L76" s="47">
        <f>Labour!L76*gw_rel*J76/Labour!B76</f>
        <v/>
      </c>
      <c r="M76" s="62">
        <f>Champions!AQ76</f>
        <v/>
      </c>
      <c r="N76" s="47">
        <f>IF(Gulf!E76=1,Gulf!D76,0)</f>
        <v/>
      </c>
      <c r="O76" s="47">
        <f>J76+K76+L76+M76+N76</f>
        <v/>
      </c>
      <c r="P76" s="47">
        <f>O76*1000000/(B76+People!V76+Labour!L76)</f>
        <v/>
      </c>
      <c r="Q76" s="45" t="n">
        <v>480</v>
      </c>
      <c r="R76" s="67">
        <f>P76/Q76</f>
        <v/>
      </c>
      <c r="S76" s="47">
        <f>O76/H76</f>
        <v/>
      </c>
    </row>
    <row r="77">
      <c r="A77" s="61" t="n">
        <v>1917</v>
      </c>
      <c r="B77" s="47">
        <f>(People!B77+People!L77)/2</f>
        <v/>
      </c>
      <c r="C77" s="63">
        <f>Paths!L77*IF($A77&gt;=1896,prod_factor,1)</f>
        <v/>
      </c>
      <c r="D77" s="64">
        <f>IF(O76&gt;0,MIN(dev_cap,dev_return*'Debt &amp; cash'!N76/O76),0)</f>
        <v/>
      </c>
      <c r="E77" s="63">
        <f>C77+D77</f>
        <v/>
      </c>
      <c r="F77" s="47">
        <f>F76*(1+E77)</f>
        <v/>
      </c>
      <c r="G77" s="65">
        <f>1-(1-Paths!M77)*IF($A77&gt;=1930,dep_severity,1)</f>
        <v/>
      </c>
      <c r="H77" s="65">
        <f>IF($A77&gt;=1930,Paths!B$89+(Paths!B77-Paths!B$89)*slump_price,Paths!B77)</f>
        <v/>
      </c>
      <c r="I77" s="66">
        <f>Labour!AO77</f>
        <v/>
      </c>
      <c r="J77" s="47">
        <f>B77*F77*(1+I77)*G77*H77/1000000</f>
        <v/>
      </c>
      <c r="K77" s="62">
        <f>Resources!O77</f>
        <v/>
      </c>
      <c r="L77" s="47">
        <f>Labour!L77*gw_rel*J77/Labour!B77</f>
        <v/>
      </c>
      <c r="M77" s="62">
        <f>Champions!AQ77</f>
        <v/>
      </c>
      <c r="N77" s="47">
        <f>IF(Gulf!E77=1,Gulf!D77,0)</f>
        <v/>
      </c>
      <c r="O77" s="47">
        <f>J77+K77+L77+M77+N77</f>
        <v/>
      </c>
      <c r="P77" s="47">
        <f>O77*1000000/(B77+People!V77+Labour!L77)</f>
        <v/>
      </c>
      <c r="Q77" s="45" t="n">
        <v>580</v>
      </c>
      <c r="R77" s="67">
        <f>P77/Q77</f>
        <v/>
      </c>
      <c r="S77" s="47">
        <f>O77/H77</f>
        <v/>
      </c>
    </row>
    <row r="78">
      <c r="A78" s="61" t="n">
        <v>1918</v>
      </c>
      <c r="B78" s="47">
        <f>(People!B78+People!L78)/2</f>
        <v/>
      </c>
      <c r="C78" s="63">
        <f>Paths!L78*IF($A78&gt;=1896,prod_factor,1)</f>
        <v/>
      </c>
      <c r="D78" s="64">
        <f>IF(O77&gt;0,MIN(dev_cap,dev_return*'Debt &amp; cash'!N77/O77),0)</f>
        <v/>
      </c>
      <c r="E78" s="63">
        <f>C78+D78</f>
        <v/>
      </c>
      <c r="F78" s="47">
        <f>F77*(1+E78)</f>
        <v/>
      </c>
      <c r="G78" s="65">
        <f>1-(1-Paths!M78)*IF($A78&gt;=1930,dep_severity,1)</f>
        <v/>
      </c>
      <c r="H78" s="65">
        <f>IF($A78&gt;=1930,Paths!B$89+(Paths!B78-Paths!B$89)*slump_price,Paths!B78)</f>
        <v/>
      </c>
      <c r="I78" s="66">
        <f>Labour!AO78</f>
        <v/>
      </c>
      <c r="J78" s="47">
        <f>B78*F78*(1+I78)*G78*H78/1000000</f>
        <v/>
      </c>
      <c r="K78" s="62">
        <f>Resources!O78</f>
        <v/>
      </c>
      <c r="L78" s="47">
        <f>Labour!L78*gw_rel*J78/Labour!B78</f>
        <v/>
      </c>
      <c r="M78" s="62">
        <f>Champions!AQ78</f>
        <v/>
      </c>
      <c r="N78" s="47">
        <f>IF(Gulf!E78=1,Gulf!D78,0)</f>
        <v/>
      </c>
      <c r="O78" s="47">
        <f>J78+K78+L78+M78+N78</f>
        <v/>
      </c>
      <c r="P78" s="47">
        <f>O78*1000000/(B78+People!V78+Labour!L78)</f>
        <v/>
      </c>
      <c r="Q78" s="45" t="n">
        <v>738</v>
      </c>
      <c r="R78" s="67">
        <f>P78/Q78</f>
        <v/>
      </c>
      <c r="S78" s="47">
        <f>O78/H78</f>
        <v/>
      </c>
    </row>
    <row r="79">
      <c r="A79" s="61" t="n">
        <v>1919</v>
      </c>
      <c r="B79" s="47">
        <f>(People!B79+People!L79)/2</f>
        <v/>
      </c>
      <c r="C79" s="63">
        <f>Paths!L79*IF($A79&gt;=1896,prod_factor,1)</f>
        <v/>
      </c>
      <c r="D79" s="64">
        <f>IF(O78&gt;0,MIN(dev_cap,dev_return*'Debt &amp; cash'!N78/O78),0)</f>
        <v/>
      </c>
      <c r="E79" s="63">
        <f>C79+D79</f>
        <v/>
      </c>
      <c r="F79" s="47">
        <f>F78*(1+E79)</f>
        <v/>
      </c>
      <c r="G79" s="65">
        <f>1-(1-Paths!M79)*IF($A79&gt;=1930,dep_severity,1)</f>
        <v/>
      </c>
      <c r="H79" s="65">
        <f>IF($A79&gt;=1930,Paths!B$89+(Paths!B79-Paths!B$89)*slump_price,Paths!B79)</f>
        <v/>
      </c>
      <c r="I79" s="66">
        <f>Labour!AO79</f>
        <v/>
      </c>
      <c r="J79" s="47">
        <f>B79*F79*(1+I79)*G79*H79/1000000</f>
        <v/>
      </c>
      <c r="K79" s="62">
        <f>Resources!O79</f>
        <v/>
      </c>
      <c r="L79" s="47">
        <f>Labour!L79*gw_rel*J79/Labour!B79</f>
        <v/>
      </c>
      <c r="M79" s="62">
        <f>Champions!AQ79</f>
        <v/>
      </c>
      <c r="N79" s="47">
        <f>IF(Gulf!E79=1,Gulf!D79,0)</f>
        <v/>
      </c>
      <c r="O79" s="47">
        <f>J79+K79+L79+M79+N79</f>
        <v/>
      </c>
      <c r="P79" s="47">
        <f>O79*1000000/(B79+People!V79+Labour!L79)</f>
        <v/>
      </c>
      <c r="Q79" s="45" t="n">
        <v>800</v>
      </c>
      <c r="R79" s="67">
        <f>P79/Q79</f>
        <v/>
      </c>
      <c r="S79" s="47">
        <f>O79/H79</f>
        <v/>
      </c>
    </row>
    <row r="80">
      <c r="A80" s="61" t="n">
        <v>1920</v>
      </c>
      <c r="B80" s="47">
        <f>(People!B80+People!L80)/2</f>
        <v/>
      </c>
      <c r="C80" s="63">
        <f>Paths!L80*IF($A80&gt;=1896,prod_factor,1)</f>
        <v/>
      </c>
      <c r="D80" s="64">
        <f>IF(O79&gt;0,MIN(dev_cap,dev_return*'Debt &amp; cash'!N79/O79),0)</f>
        <v/>
      </c>
      <c r="E80" s="63">
        <f>C80+D80</f>
        <v/>
      </c>
      <c r="F80" s="47">
        <f>F79*(1+E80)</f>
        <v/>
      </c>
      <c r="G80" s="65">
        <f>1-(1-Paths!M80)*IF($A80&gt;=1930,dep_severity,1)</f>
        <v/>
      </c>
      <c r="H80" s="65">
        <f>IF($A80&gt;=1930,Paths!B$89+(Paths!B80-Paths!B$89)*slump_price,Paths!B80)</f>
        <v/>
      </c>
      <c r="I80" s="66">
        <f>Labour!AO80</f>
        <v/>
      </c>
      <c r="J80" s="47">
        <f>B80*F80*(1+I80)*G80*H80/1000000</f>
        <v/>
      </c>
      <c r="K80" s="62">
        <f>Resources!O80</f>
        <v/>
      </c>
      <c r="L80" s="47">
        <f>Labour!L80*gw_rel*J80/Labour!B80</f>
        <v/>
      </c>
      <c r="M80" s="62">
        <f>Champions!AQ80</f>
        <v/>
      </c>
      <c r="N80" s="47">
        <f>IF(Gulf!E80=1,Gulf!D80,0)</f>
        <v/>
      </c>
      <c r="O80" s="47">
        <f>J80+K80+L80+M80+N80</f>
        <v/>
      </c>
      <c r="P80" s="47">
        <f>O80*1000000/(B80+People!V80+Labour!L80)</f>
        <v/>
      </c>
      <c r="Q80" s="45" t="n">
        <v>860</v>
      </c>
      <c r="R80" s="67">
        <f>P80/Q80</f>
        <v/>
      </c>
      <c r="S80" s="47">
        <f>O80/H80</f>
        <v/>
      </c>
    </row>
    <row r="81">
      <c r="A81" s="61" t="n">
        <v>1921</v>
      </c>
      <c r="B81" s="47">
        <f>(People!B81+People!L81)/2</f>
        <v/>
      </c>
      <c r="C81" s="63">
        <f>Paths!L81*IF($A81&gt;=1896,prod_factor,1)</f>
        <v/>
      </c>
      <c r="D81" s="64">
        <f>IF(O80&gt;0,MIN(dev_cap,dev_return*'Debt &amp; cash'!N80/O80),0)</f>
        <v/>
      </c>
      <c r="E81" s="63">
        <f>C81+D81</f>
        <v/>
      </c>
      <c r="F81" s="47">
        <f>F80*(1+E81)</f>
        <v/>
      </c>
      <c r="G81" s="65">
        <f>1-(1-Paths!M81)*IF($A81&gt;=1930,dep_severity,1)</f>
        <v/>
      </c>
      <c r="H81" s="65">
        <f>IF($A81&gt;=1930,Paths!B$89+(Paths!B81-Paths!B$89)*slump_price,Paths!B81)</f>
        <v/>
      </c>
      <c r="I81" s="66">
        <f>Labour!AO81</f>
        <v/>
      </c>
      <c r="J81" s="47">
        <f>B81*F81*(1+I81)*G81*H81/1000000</f>
        <v/>
      </c>
      <c r="K81" s="62">
        <f>Resources!O81</f>
        <v/>
      </c>
      <c r="L81" s="47">
        <f>Labour!L81*gw_rel*J81/Labour!B81</f>
        <v/>
      </c>
      <c r="M81" s="62">
        <f>Champions!AQ81</f>
        <v/>
      </c>
      <c r="N81" s="47">
        <f>IF(Gulf!E81=1,Gulf!D81,0)</f>
        <v/>
      </c>
      <c r="O81" s="47">
        <f>J81+K81+L81+M81+N81</f>
        <v/>
      </c>
      <c r="P81" s="47">
        <f>O81*1000000/(B81+People!V81+Labour!L81)</f>
        <v/>
      </c>
      <c r="Q81" s="45" t="n">
        <v>644</v>
      </c>
      <c r="R81" s="67">
        <f>P81/Q81</f>
        <v/>
      </c>
      <c r="S81" s="47">
        <f>O81/H81</f>
        <v/>
      </c>
    </row>
    <row r="82">
      <c r="A82" s="61" t="n">
        <v>1922</v>
      </c>
      <c r="B82" s="47">
        <f>(People!B82+People!L82)/2</f>
        <v/>
      </c>
      <c r="C82" s="63">
        <f>Paths!L82*IF($A82&gt;=1896,prod_factor,1)</f>
        <v/>
      </c>
      <c r="D82" s="64">
        <f>IF(O81&gt;0,MIN(dev_cap,dev_return*'Debt &amp; cash'!N81/O81),0)</f>
        <v/>
      </c>
      <c r="E82" s="63">
        <f>C82+D82</f>
        <v/>
      </c>
      <c r="F82" s="47">
        <f>F81*(1+E82)</f>
        <v/>
      </c>
      <c r="G82" s="65">
        <f>1-(1-Paths!M82)*IF($A82&gt;=1930,dep_severity,1)</f>
        <v/>
      </c>
      <c r="H82" s="65">
        <f>IF($A82&gt;=1930,Paths!B$89+(Paths!B82-Paths!B$89)*slump_price,Paths!B82)</f>
        <v/>
      </c>
      <c r="I82" s="66">
        <f>Labour!AO82</f>
        <v/>
      </c>
      <c r="J82" s="47">
        <f>B82*F82*(1+I82)*G82*H82/1000000</f>
        <v/>
      </c>
      <c r="K82" s="62">
        <f>Resources!O82</f>
        <v/>
      </c>
      <c r="L82" s="47">
        <f>Labour!L82*gw_rel*J82/Labour!B82</f>
        <v/>
      </c>
      <c r="M82" s="62">
        <f>Champions!AQ82</f>
        <v/>
      </c>
      <c r="N82" s="47">
        <f>IF(Gulf!E82=1,Gulf!D82,0)</f>
        <v/>
      </c>
      <c r="O82" s="47">
        <f>J82+K82+L82+M82+N82</f>
        <v/>
      </c>
      <c r="P82" s="47">
        <f>O82*1000000/(B82+People!V82+Labour!L82)</f>
        <v/>
      </c>
      <c r="Q82" s="45" t="n">
        <v>680</v>
      </c>
      <c r="R82" s="67">
        <f>P82/Q82</f>
        <v/>
      </c>
      <c r="S82" s="47">
        <f>O82/H82</f>
        <v/>
      </c>
    </row>
    <row r="83">
      <c r="A83" s="58" t="n">
        <v>1923</v>
      </c>
      <c r="B83" s="47">
        <f>(People!B83+People!L83)/2</f>
        <v/>
      </c>
      <c r="C83" s="63">
        <f>Paths!L83*IF($A83&gt;=1896,prod_factor,1)</f>
        <v/>
      </c>
      <c r="D83" s="64">
        <f>IF(O82&gt;0,MIN(dev_cap,dev_return*'Debt &amp; cash'!N82/O82),0)</f>
        <v/>
      </c>
      <c r="E83" s="63">
        <f>C83+D83</f>
        <v/>
      </c>
      <c r="F83" s="47">
        <f>F82*(1+E83)</f>
        <v/>
      </c>
      <c r="G83" s="65">
        <f>1-(1-Paths!M83)*IF($A83&gt;=1930,dep_severity,1)</f>
        <v/>
      </c>
      <c r="H83" s="65">
        <f>IF($A83&gt;=1930,Paths!B$89+(Paths!B83-Paths!B$89)*slump_price,Paths!B83)</f>
        <v/>
      </c>
      <c r="I83" s="66">
        <f>Labour!AO83</f>
        <v/>
      </c>
      <c r="J83" s="47">
        <f>B83*F83*(1+I83)*G83*H83/1000000</f>
        <v/>
      </c>
      <c r="K83" s="62">
        <f>Resources!O83</f>
        <v/>
      </c>
      <c r="L83" s="47">
        <f>Labour!L83*gw_rel*J83/Labour!B83</f>
        <v/>
      </c>
      <c r="M83" s="62">
        <f>Champions!AQ83</f>
        <v/>
      </c>
      <c r="N83" s="47">
        <f>IF(Gulf!E83=1,Gulf!D83,0)</f>
        <v/>
      </c>
      <c r="O83" s="47">
        <f>J83+K83+L83+M83+N83</f>
        <v/>
      </c>
      <c r="P83" s="47">
        <f>O83*1000000/(B83+People!V83+Labour!L83)</f>
        <v/>
      </c>
      <c r="Q83" s="45" t="n">
        <v>770</v>
      </c>
      <c r="R83" s="67">
        <f>P83/Q83</f>
        <v/>
      </c>
      <c r="S83" s="47">
        <f>O83/H83</f>
        <v/>
      </c>
    </row>
    <row r="84">
      <c r="A84" s="58" t="n">
        <v>1924</v>
      </c>
      <c r="B84" s="47">
        <f>(People!B84+People!L84)/2</f>
        <v/>
      </c>
      <c r="C84" s="63">
        <f>Paths!L84*IF($A84&gt;=1896,prod_factor,1)</f>
        <v/>
      </c>
      <c r="D84" s="64">
        <f>IF(O83&gt;0,MIN(dev_cap,dev_return*'Debt &amp; cash'!N83/O83),0)</f>
        <v/>
      </c>
      <c r="E84" s="63">
        <f>C84+D84</f>
        <v/>
      </c>
      <c r="F84" s="47">
        <f>F83*(1+E84)</f>
        <v/>
      </c>
      <c r="G84" s="65">
        <f>1-(1-Paths!M84)*IF($A84&gt;=1930,dep_severity,1)</f>
        <v/>
      </c>
      <c r="H84" s="65">
        <f>IF($A84&gt;=1930,Paths!B$89+(Paths!B84-Paths!B$89)*slump_price,Paths!B84)</f>
        <v/>
      </c>
      <c r="I84" s="66">
        <f>Labour!AO84</f>
        <v/>
      </c>
      <c r="J84" s="47">
        <f>B84*F84*(1+I84)*G84*H84/1000000</f>
        <v/>
      </c>
      <c r="K84" s="62">
        <f>Resources!O84</f>
        <v/>
      </c>
      <c r="L84" s="47">
        <f>Labour!L84*gw_rel*J84/Labour!B84</f>
        <v/>
      </c>
      <c r="M84" s="62">
        <f>Champions!AQ84</f>
        <v/>
      </c>
      <c r="N84" s="47">
        <f>IF(Gulf!E84=1,Gulf!D84,0)</f>
        <v/>
      </c>
      <c r="O84" s="47">
        <f>J84+K84+L84+M84+N84</f>
        <v/>
      </c>
      <c r="P84" s="47">
        <f>O84*1000000/(B84+People!V84+Labour!L84)</f>
        <v/>
      </c>
      <c r="Q84" s="45" t="n">
        <v>760</v>
      </c>
      <c r="R84" s="67">
        <f>P84/Q84</f>
        <v/>
      </c>
      <c r="S84" s="47">
        <f>O84/H84</f>
        <v/>
      </c>
    </row>
    <row r="85">
      <c r="A85" s="58" t="n">
        <v>1925</v>
      </c>
      <c r="B85" s="47">
        <f>(People!B85+People!L85)/2</f>
        <v/>
      </c>
      <c r="C85" s="63">
        <f>Paths!L85*IF($A85&gt;=1896,prod_factor,1)</f>
        <v/>
      </c>
      <c r="D85" s="64">
        <f>IF(O84&gt;0,MIN(dev_cap,dev_return*'Debt &amp; cash'!N84/O84),0)</f>
        <v/>
      </c>
      <c r="E85" s="63">
        <f>C85+D85</f>
        <v/>
      </c>
      <c r="F85" s="47">
        <f>F84*(1+E85)</f>
        <v/>
      </c>
      <c r="G85" s="65">
        <f>1-(1-Paths!M85)*IF($A85&gt;=1930,dep_severity,1)</f>
        <v/>
      </c>
      <c r="H85" s="65">
        <f>IF($A85&gt;=1930,Paths!B$89+(Paths!B85-Paths!B$89)*slump_price,Paths!B85)</f>
        <v/>
      </c>
      <c r="I85" s="66">
        <f>Labour!AO85</f>
        <v/>
      </c>
      <c r="J85" s="47">
        <f>B85*F85*(1+I85)*G85*H85/1000000</f>
        <v/>
      </c>
      <c r="K85" s="62">
        <f>Resources!O85</f>
        <v/>
      </c>
      <c r="L85" s="47">
        <f>Labour!L85*gw_rel*J85/Labour!B85</f>
        <v/>
      </c>
      <c r="M85" s="62">
        <f>Champions!AQ85</f>
        <v/>
      </c>
      <c r="N85" s="47">
        <f>IF(Gulf!E85=1,Gulf!D85,0)</f>
        <v/>
      </c>
      <c r="O85" s="47">
        <f>J85+K85+L85+M85+N85</f>
        <v/>
      </c>
      <c r="P85" s="47">
        <f>O85*1000000/(B85+People!V85+Labour!L85)</f>
        <v/>
      </c>
      <c r="Q85" s="45" t="n">
        <v>787</v>
      </c>
      <c r="R85" s="67">
        <f>P85/Q85</f>
        <v/>
      </c>
      <c r="S85" s="47">
        <f>O85/H85</f>
        <v/>
      </c>
    </row>
    <row r="86">
      <c r="A86" s="58" t="n">
        <v>1926</v>
      </c>
      <c r="B86" s="47">
        <f>(People!B86+People!L86)/2</f>
        <v/>
      </c>
      <c r="C86" s="63">
        <f>Paths!L86*IF($A86&gt;=1896,prod_factor,1)</f>
        <v/>
      </c>
      <c r="D86" s="64">
        <f>IF(O85&gt;0,MIN(dev_cap,dev_return*'Debt &amp; cash'!N85/O85),0)</f>
        <v/>
      </c>
      <c r="E86" s="63">
        <f>C86+D86</f>
        <v/>
      </c>
      <c r="F86" s="47">
        <f>F85*(1+E86)</f>
        <v/>
      </c>
      <c r="G86" s="65">
        <f>1-(1-Paths!M86)*IF($A86&gt;=1930,dep_severity,1)</f>
        <v/>
      </c>
      <c r="H86" s="65">
        <f>IF($A86&gt;=1930,Paths!B$89+(Paths!B86-Paths!B$89)*slump_price,Paths!B86)</f>
        <v/>
      </c>
      <c r="I86" s="66">
        <f>Labour!AO86</f>
        <v/>
      </c>
      <c r="J86" s="47">
        <f>B86*F86*(1+I86)*G86*H86/1000000</f>
        <v/>
      </c>
      <c r="K86" s="62">
        <f>Resources!O86</f>
        <v/>
      </c>
      <c r="L86" s="47">
        <f>Labour!L86*gw_rel*J86/Labour!B86</f>
        <v/>
      </c>
      <c r="M86" s="62">
        <f>Champions!AQ86</f>
        <v/>
      </c>
      <c r="N86" s="47">
        <f>IF(Gulf!E86=1,Gulf!D86,0)</f>
        <v/>
      </c>
      <c r="O86" s="47">
        <f>J86+K86+L86+M86+N86</f>
        <v/>
      </c>
      <c r="P86" s="47">
        <f>O86*1000000/(B86+People!V86+Labour!L86)</f>
        <v/>
      </c>
      <c r="Q86" s="45" t="n">
        <v>820</v>
      </c>
      <c r="R86" s="67">
        <f>P86/Q86</f>
        <v/>
      </c>
      <c r="S86" s="47">
        <f>O86/H86</f>
        <v/>
      </c>
    </row>
    <row r="87">
      <c r="A87" s="58" t="n">
        <v>1927</v>
      </c>
      <c r="B87" s="47">
        <f>(People!B87+People!L87)/2</f>
        <v/>
      </c>
      <c r="C87" s="63">
        <f>Paths!L87*IF($A87&gt;=1896,prod_factor,1)</f>
        <v/>
      </c>
      <c r="D87" s="64">
        <f>IF(O86&gt;0,MIN(dev_cap,dev_return*'Debt &amp; cash'!N86/O86),0)</f>
        <v/>
      </c>
      <c r="E87" s="63">
        <f>C87+D87</f>
        <v/>
      </c>
      <c r="F87" s="47">
        <f>F86*(1+E87)</f>
        <v/>
      </c>
      <c r="G87" s="65">
        <f>1-(1-Paths!M87)*IF($A87&gt;=1930,dep_severity,1)</f>
        <v/>
      </c>
      <c r="H87" s="65">
        <f>IF($A87&gt;=1930,Paths!B$89+(Paths!B87-Paths!B$89)*slump_price,Paths!B87)</f>
        <v/>
      </c>
      <c r="I87" s="66">
        <f>Labour!AO87</f>
        <v/>
      </c>
      <c r="J87" s="47">
        <f>B87*F87*(1+I87)*G87*H87/1000000</f>
        <v/>
      </c>
      <c r="K87" s="62">
        <f>Resources!O87</f>
        <v/>
      </c>
      <c r="L87" s="47">
        <f>Labour!L87*gw_rel*J87/Labour!B87</f>
        <v/>
      </c>
      <c r="M87" s="62">
        <f>Champions!AQ87</f>
        <v/>
      </c>
      <c r="N87" s="47">
        <f>IF(Gulf!E87=1,Gulf!D87,0)</f>
        <v/>
      </c>
      <c r="O87" s="47">
        <f>J87+K87+L87+M87+N87</f>
        <v/>
      </c>
      <c r="P87" s="47">
        <f>O87*1000000/(B87+People!V87+Labour!L87)</f>
        <v/>
      </c>
      <c r="Q87" s="45" t="n">
        <v>805</v>
      </c>
      <c r="R87" s="67">
        <f>P87/Q87</f>
        <v/>
      </c>
      <c r="S87" s="47">
        <f>O87/H87</f>
        <v/>
      </c>
    </row>
    <row r="88">
      <c r="A88" s="58" t="n">
        <v>1928</v>
      </c>
      <c r="B88" s="47">
        <f>(People!B88+People!L88)/2</f>
        <v/>
      </c>
      <c r="C88" s="63">
        <f>Paths!L88*IF($A88&gt;=1896,prod_factor,1)</f>
        <v/>
      </c>
      <c r="D88" s="64">
        <f>IF(O87&gt;0,MIN(dev_cap,dev_return*'Debt &amp; cash'!N87/O87),0)</f>
        <v/>
      </c>
      <c r="E88" s="63">
        <f>C88+D88</f>
        <v/>
      </c>
      <c r="F88" s="47">
        <f>F87*(1+E88)</f>
        <v/>
      </c>
      <c r="G88" s="65">
        <f>1-(1-Paths!M88)*IF($A88&gt;=1930,dep_severity,1)</f>
        <v/>
      </c>
      <c r="H88" s="65">
        <f>IF($A88&gt;=1930,Paths!B$89+(Paths!B88-Paths!B$89)*slump_price,Paths!B88)</f>
        <v/>
      </c>
      <c r="I88" s="66">
        <f>Labour!AO88</f>
        <v/>
      </c>
      <c r="J88" s="47">
        <f>B88*F88*(1+I88)*G88*H88/1000000</f>
        <v/>
      </c>
      <c r="K88" s="62">
        <f>Resources!O88</f>
        <v/>
      </c>
      <c r="L88" s="47">
        <f>Labour!L88*gw_rel*J88/Labour!B88</f>
        <v/>
      </c>
      <c r="M88" s="62">
        <f>Champions!AQ88</f>
        <v/>
      </c>
      <c r="N88" s="47">
        <f>IF(Gulf!E88=1,Gulf!D88,0)</f>
        <v/>
      </c>
      <c r="O88" s="47">
        <f>J88+K88+L88+M88+N88</f>
        <v/>
      </c>
      <c r="P88" s="47">
        <f>O88*1000000/(B88+People!V88+Labour!L88)</f>
        <v/>
      </c>
      <c r="Q88" s="45" t="n">
        <v>815</v>
      </c>
      <c r="R88" s="67">
        <f>P88/Q88</f>
        <v/>
      </c>
      <c r="S88" s="47">
        <f>O88/H88</f>
        <v/>
      </c>
    </row>
    <row r="89">
      <c r="A89" s="58" t="n">
        <v>1929</v>
      </c>
      <c r="B89" s="47">
        <f>(People!B89+People!L89)/2</f>
        <v/>
      </c>
      <c r="C89" s="63">
        <f>Paths!L89*IF($A89&gt;=1896,prod_factor,1)</f>
        <v/>
      </c>
      <c r="D89" s="64">
        <f>IF(O88&gt;0,MIN(dev_cap,dev_return*'Debt &amp; cash'!N88/O88),0)</f>
        <v/>
      </c>
      <c r="E89" s="63">
        <f>C89+D89</f>
        <v/>
      </c>
      <c r="F89" s="47">
        <f>F88*(1+E89)</f>
        <v/>
      </c>
      <c r="G89" s="65">
        <f>1-(1-Paths!M89)*IF($A89&gt;=1930,dep_severity,1)</f>
        <v/>
      </c>
      <c r="H89" s="65">
        <f>IF($A89&gt;=1930,Paths!B$89+(Paths!B89-Paths!B$89)*slump_price,Paths!B89)</f>
        <v/>
      </c>
      <c r="I89" s="66">
        <f>Labour!AO89</f>
        <v/>
      </c>
      <c r="J89" s="47">
        <f>B89*F89*(1+I89)*G89*H89/1000000</f>
        <v/>
      </c>
      <c r="K89" s="62">
        <f>Resources!O89</f>
        <v/>
      </c>
      <c r="L89" s="47">
        <f>Labour!L89*gw_rel*J89/Labour!B89</f>
        <v/>
      </c>
      <c r="M89" s="62">
        <f>Champions!AQ89</f>
        <v/>
      </c>
      <c r="N89" s="47">
        <f>IF(Gulf!E89=1,Gulf!D89,0)</f>
        <v/>
      </c>
      <c r="O89" s="47">
        <f>J89+K89+L89+M89+N89</f>
        <v/>
      </c>
      <c r="P89" s="47">
        <f>O89*1000000/(B89+People!V89+Labour!L89)</f>
        <v/>
      </c>
      <c r="Q89" s="45" t="n">
        <v>859</v>
      </c>
      <c r="R89" s="67">
        <f>P89/Q89</f>
        <v/>
      </c>
      <c r="S89" s="47">
        <f>O89/H89</f>
        <v/>
      </c>
    </row>
    <row r="90">
      <c r="A90" s="58" t="n">
        <v>1930</v>
      </c>
      <c r="B90" s="47">
        <f>(People!B90+People!L90)/2</f>
        <v/>
      </c>
      <c r="C90" s="63">
        <f>Paths!L90*IF($A90&gt;=1896,prod_factor,1)</f>
        <v/>
      </c>
      <c r="D90" s="64">
        <f>IF(O89&gt;0,MIN(dev_cap,dev_return*'Debt &amp; cash'!N89/O89),0)</f>
        <v/>
      </c>
      <c r="E90" s="63">
        <f>C90+D90</f>
        <v/>
      </c>
      <c r="F90" s="47">
        <f>F89*(1+E90)</f>
        <v/>
      </c>
      <c r="G90" s="65">
        <f>1-(1-Paths!M90)*IF($A90&gt;=1930,dep_severity,1)</f>
        <v/>
      </c>
      <c r="H90" s="65">
        <f>IF($A90&gt;=1930,Paths!B$89+(Paths!B90-Paths!B$89)*slump_price,Paths!B90)</f>
        <v/>
      </c>
      <c r="I90" s="66">
        <f>Labour!AO90</f>
        <v/>
      </c>
      <c r="J90" s="47">
        <f>B90*F90*(1+I90)*G90*H90/1000000</f>
        <v/>
      </c>
      <c r="K90" s="62">
        <f>Resources!O90</f>
        <v/>
      </c>
      <c r="L90" s="47">
        <f>Labour!L90*gw_rel*J90/Labour!B90</f>
        <v/>
      </c>
      <c r="M90" s="62">
        <f>Champions!AQ90</f>
        <v/>
      </c>
      <c r="N90" s="47">
        <f>IF(Gulf!E90=1,Gulf!D90,0)</f>
        <v/>
      </c>
      <c r="O90" s="47">
        <f>J90+K90+L90+M90+N90</f>
        <v/>
      </c>
      <c r="P90" s="47">
        <f>O90*1000000/(B90+People!V90+Labour!L90)</f>
        <v/>
      </c>
      <c r="Q90" s="45" t="n">
        <v>748</v>
      </c>
      <c r="R90" s="67">
        <f>P90/Q90</f>
        <v/>
      </c>
      <c r="S90" s="47">
        <f>O90/H90</f>
        <v/>
      </c>
    </row>
    <row r="91">
      <c r="A91" s="58" t="n">
        <v>1931</v>
      </c>
      <c r="B91" s="47">
        <f>(People!B91+People!L91)/2</f>
        <v/>
      </c>
      <c r="C91" s="63">
        <f>Paths!L91*IF($A91&gt;=1896,prod_factor,1)</f>
        <v/>
      </c>
      <c r="D91" s="64">
        <f>IF(O90&gt;0,MIN(dev_cap,dev_return*'Debt &amp; cash'!N90/O90),0)</f>
        <v/>
      </c>
      <c r="E91" s="63">
        <f>C91+D91</f>
        <v/>
      </c>
      <c r="F91" s="47">
        <f>F90*(1+E91)</f>
        <v/>
      </c>
      <c r="G91" s="65">
        <f>1-(1-Paths!M91)*IF($A91&gt;=1930,dep_severity,1)</f>
        <v/>
      </c>
      <c r="H91" s="65">
        <f>IF($A91&gt;=1930,Paths!B$89+(Paths!B91-Paths!B$89)*slump_price,Paths!B91)</f>
        <v/>
      </c>
      <c r="I91" s="66">
        <f>Labour!AO91</f>
        <v/>
      </c>
      <c r="J91" s="47">
        <f>B91*F91*(1+I91)*G91*H91/1000000</f>
        <v/>
      </c>
      <c r="K91" s="62">
        <f>Resources!O91</f>
        <v/>
      </c>
      <c r="L91" s="47">
        <f>Labour!L91*gw_rel*J91/Labour!B91</f>
        <v/>
      </c>
      <c r="M91" s="62">
        <f>Champions!AQ91</f>
        <v/>
      </c>
      <c r="N91" s="47">
        <f>IF(Gulf!E91=1,Gulf!D91,0)</f>
        <v/>
      </c>
      <c r="O91" s="47">
        <f>J91+K91+L91+M91+N91</f>
        <v/>
      </c>
      <c r="P91" s="47">
        <f>O91*1000000/(B91+People!V91+Labour!L91)</f>
        <v/>
      </c>
      <c r="Q91" s="45" t="n">
        <v>624</v>
      </c>
      <c r="R91" s="67">
        <f>P91/Q91</f>
        <v/>
      </c>
      <c r="S91" s="47">
        <f>O91/H91</f>
        <v/>
      </c>
    </row>
    <row r="92">
      <c r="A92" s="58" t="n">
        <v>1932</v>
      </c>
      <c r="B92" s="47">
        <f>(People!B92+People!L92)/2</f>
        <v/>
      </c>
      <c r="C92" s="63">
        <f>Paths!L92*IF($A92&gt;=1896,prod_factor,1)</f>
        <v/>
      </c>
      <c r="D92" s="64">
        <f>IF(O91&gt;0,MIN(dev_cap,dev_return*'Debt &amp; cash'!N91/O91),0)</f>
        <v/>
      </c>
      <c r="E92" s="63">
        <f>C92+D92</f>
        <v/>
      </c>
      <c r="F92" s="47">
        <f>F91*(1+E92)</f>
        <v/>
      </c>
      <c r="G92" s="65">
        <f>1-(1-Paths!M92)*IF($A92&gt;=1930,dep_severity,1)</f>
        <v/>
      </c>
      <c r="H92" s="65">
        <f>IF($A92&gt;=1930,Paths!B$89+(Paths!B92-Paths!B$89)*slump_price,Paths!B92)</f>
        <v/>
      </c>
      <c r="I92" s="66">
        <f>Labour!AO92</f>
        <v/>
      </c>
      <c r="J92" s="47">
        <f>B92*F92*(1+I92)*G92*H92/1000000</f>
        <v/>
      </c>
      <c r="K92" s="62">
        <f>Resources!O92</f>
        <v/>
      </c>
      <c r="L92" s="47">
        <f>Labour!L92*gw_rel*J92/Labour!B92</f>
        <v/>
      </c>
      <c r="M92" s="62">
        <f>Champions!AQ92</f>
        <v/>
      </c>
      <c r="N92" s="47">
        <f>IF(Gulf!E92=1,Gulf!D92,0)</f>
        <v/>
      </c>
      <c r="O92" s="47">
        <f>J92+K92+L92+M92+N92</f>
        <v/>
      </c>
      <c r="P92" s="47">
        <f>O92*1000000/(B92+People!V92+Labour!L92)</f>
        <v/>
      </c>
      <c r="Q92" s="45" t="n">
        <v>476</v>
      </c>
      <c r="R92" s="67">
        <f>P92/Q92</f>
        <v/>
      </c>
      <c r="S92" s="47">
        <f>O92/H92</f>
        <v/>
      </c>
    </row>
  </sheetData>
  <mergeCells count="3">
    <mergeCell ref="B4:H4"/>
    <mergeCell ref="I4:P4"/>
    <mergeCell ref="Q4:S4"/>
  </mergeCell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tabColor rgb="00548235"/>
    <outlinePr summaryBelow="1" summaryRight="1"/>
    <pageSetUpPr fitToPage="1"/>
  </sheetPr>
  <dimension ref="A1:R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s>
  <sheetData>
    <row r="1">
      <c r="A1" s="18" t="inlineStr">
        <is>
          <t>Gold, metals and oil</t>
        </is>
      </c>
    </row>
    <row r="2">
      <c r="A2" s="2" t="inlineStr">
        <is>
          <t>What comes out of the ground, and what the state takes from it.</t>
        </is>
      </c>
    </row>
    <row r="3">
      <c r="A3" s="19" t="inlineStr">
        <is>
          <t>Years run down the page. Blue = input you can change · black = formula · green = link to another sheet. Hover a column heading for its definition.</t>
        </is>
      </c>
    </row>
    <row r="4">
      <c r="B4" s="56" t="inlineStr">
        <is>
          <t>Gross output, $m</t>
        </is>
      </c>
      <c r="G4" s="56" t="inlineStr">
        <is>
          <t>Concessions abroad, $m</t>
        </is>
      </c>
      <c r="I4" s="56" t="inlineStr">
        <is>
          <t>Oil</t>
        </is>
      </c>
      <c r="N4" s="56" t="inlineStr">
        <is>
          <t>Totals</t>
        </is>
      </c>
      <c r="P4" s="56" t="inlineStr">
        <is>
          <t>To the Treasury</t>
        </is>
      </c>
    </row>
    <row r="5" ht="54" customHeight="1">
      <c r="A5" s="57" t="inlineStr">
        <is>
          <t>Year</t>
        </is>
      </c>
      <c r="B5" s="6" t="inlineStr">
        <is>
          <t>California gold ($m)</t>
        </is>
      </c>
      <c r="C5" s="6" t="inlineStr">
        <is>
          <t>Interior gold &amp; silver ($m)</t>
        </is>
      </c>
      <c r="D5" s="6" t="inlineStr">
        <is>
          <t>Nevada gold &amp; silver: Goldfield and Tonopah ($m)</t>
        </is>
      </c>
      <c r="E5" s="6" t="inlineStr">
        <is>
          <t>Alaska gold ($m)</t>
        </is>
      </c>
      <c r="F5" s="6" t="inlineStr">
        <is>
          <t>Copper &amp; other metals ($m)</t>
        </is>
      </c>
      <c r="G5" s="6" t="inlineStr">
        <is>
          <t>Korean concession gold ($m)</t>
        </is>
      </c>
      <c r="H5" s="6" t="inlineStr">
        <is>
          <t>Kolyma gold, Siberian Republic ($m)</t>
        </is>
      </c>
      <c r="I5" s="6" t="inlineStr">
        <is>
          <t>Oil output before any compact (m barrels)</t>
        </is>
      </c>
      <c r="J5" s="6" t="inlineStr">
        <is>
          <t>Oil price before any compact ($ per barrel)</t>
        </is>
      </c>
      <c r="K5" s="6" t="inlineStr">
        <is>
          <t>Oil output (m barrels)</t>
        </is>
      </c>
      <c r="L5" s="6" t="inlineStr">
        <is>
          <t>Oil price ($ per barrel)</t>
        </is>
      </c>
      <c r="M5" s="6" t="inlineStr">
        <is>
          <t>Oil value ($m)</t>
        </is>
      </c>
      <c r="N5" s="6" t="inlineStr">
        <is>
          <t>Gross mineral output ($m)</t>
        </is>
      </c>
      <c r="O5" s="6" t="inlineStr">
        <is>
          <t>Mining &amp; oil value added ($m)</t>
        </is>
      </c>
      <c r="P5" s="6" t="inlineStr">
        <is>
          <t>Metal royalties ($m)</t>
        </is>
      </c>
      <c r="Q5" s="6" t="inlineStr">
        <is>
          <t>Oil royalties ($m)</t>
        </is>
      </c>
      <c r="R5" s="6" t="inlineStr">
        <is>
          <t>New gold kept as money ($m)</t>
        </is>
      </c>
    </row>
    <row r="6">
      <c r="A6" s="58" t="n">
        <v>1846</v>
      </c>
      <c r="B6" s="52" t="n">
        <v>0</v>
      </c>
      <c r="C6" s="52" t="n">
        <v>0</v>
      </c>
      <c r="D6" s="52" t="n">
        <v>0</v>
      </c>
      <c r="E6" s="52" t="n">
        <v>0</v>
      </c>
      <c r="F6" s="52" t="n">
        <v>0</v>
      </c>
      <c r="G6" s="52" t="n">
        <v>0</v>
      </c>
      <c r="H6" s="52" t="n">
        <v>0</v>
      </c>
      <c r="I6" s="52" t="n">
        <v>0</v>
      </c>
      <c r="J6" s="68" t="n">
        <v>0</v>
      </c>
      <c r="K6" s="53">
        <f>I6*IF(AND(oil_compact=1,$A6&gt;=compact_year),1-compact_cut,1)</f>
        <v/>
      </c>
      <c r="L6" s="67">
        <f>IF(AND(oil_compact=1,$A6&gt;=compact_year),MAX(J6,compact_price),J6)</f>
        <v/>
      </c>
      <c r="M6" s="53">
        <f>K6*L6</f>
        <v/>
      </c>
      <c r="N6" s="53">
        <f>SUM(B6:F6)+M6</f>
        <v/>
      </c>
      <c r="O6" s="53">
        <f>N6*mining_va</f>
        <v/>
      </c>
      <c r="P6" s="53">
        <f>SUM(B6:F6)*roy_metal*0.9</f>
        <v/>
      </c>
      <c r="Q6" s="53">
        <f>M6*roy_oil</f>
        <v/>
      </c>
      <c r="R6" s="53">
        <f>SUM(B6:E6)*gold_retained+(G6+H6)*conc_gold</f>
        <v/>
      </c>
    </row>
    <row r="7">
      <c r="A7" s="58" t="n">
        <v>1847</v>
      </c>
      <c r="B7" s="52" t="n">
        <v>0</v>
      </c>
      <c r="C7" s="52" t="n">
        <v>0</v>
      </c>
      <c r="D7" s="52" t="n">
        <v>0</v>
      </c>
      <c r="E7" s="52" t="n">
        <v>0</v>
      </c>
      <c r="F7" s="52" t="n">
        <v>0</v>
      </c>
      <c r="G7" s="52" t="n">
        <v>0</v>
      </c>
      <c r="H7" s="52" t="n">
        <v>0</v>
      </c>
      <c r="I7" s="52" t="n">
        <v>0</v>
      </c>
      <c r="J7" s="68" t="n">
        <v>0</v>
      </c>
      <c r="K7" s="53">
        <f>I7*IF(AND(oil_compact=1,$A7&gt;=compact_year),1-compact_cut,1)</f>
        <v/>
      </c>
      <c r="L7" s="67">
        <f>IF(AND(oil_compact=1,$A7&gt;=compact_year),MAX(J7,compact_price),J7)</f>
        <v/>
      </c>
      <c r="M7" s="53">
        <f>K7*L7</f>
        <v/>
      </c>
      <c r="N7" s="53">
        <f>SUM(B7:F7)+M7</f>
        <v/>
      </c>
      <c r="O7" s="53">
        <f>N7*mining_va</f>
        <v/>
      </c>
      <c r="P7" s="53">
        <f>SUM(B7:F7)*roy_metal*0.9</f>
        <v/>
      </c>
      <c r="Q7" s="53">
        <f>M7*roy_oil</f>
        <v/>
      </c>
      <c r="R7" s="53">
        <f>SUM(B7:E7)*gold_retained+(G7+H7)*conc_gold</f>
        <v/>
      </c>
    </row>
    <row r="8">
      <c r="A8" s="58" t="n">
        <v>1848</v>
      </c>
      <c r="B8" s="52" t="n">
        <v>10</v>
      </c>
      <c r="C8" s="52" t="n">
        <v>0</v>
      </c>
      <c r="D8" s="52" t="n">
        <v>0</v>
      </c>
      <c r="E8" s="52" t="n">
        <v>0</v>
      </c>
      <c r="F8" s="52" t="n">
        <v>0</v>
      </c>
      <c r="G8" s="52" t="n">
        <v>0</v>
      </c>
      <c r="H8" s="52" t="n">
        <v>0</v>
      </c>
      <c r="I8" s="52" t="n">
        <v>0</v>
      </c>
      <c r="J8" s="68" t="n">
        <v>0</v>
      </c>
      <c r="K8" s="53">
        <f>I8*IF(AND(oil_compact=1,$A8&gt;=compact_year),1-compact_cut,1)</f>
        <v/>
      </c>
      <c r="L8" s="67">
        <f>IF(AND(oil_compact=1,$A8&gt;=compact_year),MAX(J8,compact_price),J8)</f>
        <v/>
      </c>
      <c r="M8" s="53">
        <f>K8*L8</f>
        <v/>
      </c>
      <c r="N8" s="53">
        <f>SUM(B8:F8)+M8</f>
        <v/>
      </c>
      <c r="O8" s="53">
        <f>N8*mining_va</f>
        <v/>
      </c>
      <c r="P8" s="53">
        <f>SUM(B8:F8)*roy_metal*0.9</f>
        <v/>
      </c>
      <c r="Q8" s="53">
        <f>M8*roy_oil</f>
        <v/>
      </c>
      <c r="R8" s="53">
        <f>SUM(B8:E8)*gold_retained+(G8+H8)*conc_gold</f>
        <v/>
      </c>
    </row>
    <row r="9">
      <c r="A9" s="58" t="n">
        <v>1849</v>
      </c>
      <c r="B9" s="52" t="n">
        <v>40</v>
      </c>
      <c r="C9" s="52" t="n">
        <v>0</v>
      </c>
      <c r="D9" s="52" t="n">
        <v>0</v>
      </c>
      <c r="E9" s="52" t="n">
        <v>0</v>
      </c>
      <c r="F9" s="52" t="n">
        <v>0</v>
      </c>
      <c r="G9" s="52" t="n">
        <v>0</v>
      </c>
      <c r="H9" s="52" t="n">
        <v>0</v>
      </c>
      <c r="I9" s="52" t="n">
        <v>0</v>
      </c>
      <c r="J9" s="68" t="n">
        <v>0</v>
      </c>
      <c r="K9" s="53">
        <f>I9*IF(AND(oil_compact=1,$A9&gt;=compact_year),1-compact_cut,1)</f>
        <v/>
      </c>
      <c r="L9" s="67">
        <f>IF(AND(oil_compact=1,$A9&gt;=compact_year),MAX(J9,compact_price),J9)</f>
        <v/>
      </c>
      <c r="M9" s="53">
        <f>K9*L9</f>
        <v/>
      </c>
      <c r="N9" s="53">
        <f>SUM(B9:F9)+M9</f>
        <v/>
      </c>
      <c r="O9" s="53">
        <f>N9*mining_va</f>
        <v/>
      </c>
      <c r="P9" s="53">
        <f>SUM(B9:F9)*roy_metal*0.9</f>
        <v/>
      </c>
      <c r="Q9" s="53">
        <f>M9*roy_oil</f>
        <v/>
      </c>
      <c r="R9" s="53">
        <f>SUM(B9:E9)*gold_retained+(G9+H9)*conc_gold</f>
        <v/>
      </c>
    </row>
    <row r="10">
      <c r="A10" s="58" t="n">
        <v>1850</v>
      </c>
      <c r="B10" s="52" t="n">
        <v>41</v>
      </c>
      <c r="C10" s="52" t="n">
        <v>0</v>
      </c>
      <c r="D10" s="52" t="n">
        <v>0</v>
      </c>
      <c r="E10" s="52" t="n">
        <v>0</v>
      </c>
      <c r="F10" s="52" t="n">
        <v>0</v>
      </c>
      <c r="G10" s="52" t="n">
        <v>0</v>
      </c>
      <c r="H10" s="52" t="n">
        <v>0</v>
      </c>
      <c r="I10" s="52" t="n">
        <v>0</v>
      </c>
      <c r="J10" s="68" t="n">
        <v>0</v>
      </c>
      <c r="K10" s="53">
        <f>I10*IF(AND(oil_compact=1,$A10&gt;=compact_year),1-compact_cut,1)</f>
        <v/>
      </c>
      <c r="L10" s="67">
        <f>IF(AND(oil_compact=1,$A10&gt;=compact_year),MAX(J10,compact_price),J10)</f>
        <v/>
      </c>
      <c r="M10" s="53">
        <f>K10*L10</f>
        <v/>
      </c>
      <c r="N10" s="53">
        <f>SUM(B10:F10)+M10</f>
        <v/>
      </c>
      <c r="O10" s="53">
        <f>N10*mining_va</f>
        <v/>
      </c>
      <c r="P10" s="53">
        <f>SUM(B10:F10)*roy_metal*0.9</f>
        <v/>
      </c>
      <c r="Q10" s="53">
        <f>M10*roy_oil</f>
        <v/>
      </c>
      <c r="R10" s="53">
        <f>SUM(B10:E10)*gold_retained+(G10+H10)*conc_gold</f>
        <v/>
      </c>
    </row>
    <row r="11">
      <c r="A11" s="58" t="n">
        <v>1851</v>
      </c>
      <c r="B11" s="52" t="n">
        <v>75</v>
      </c>
      <c r="C11" s="52" t="n">
        <v>0</v>
      </c>
      <c r="D11" s="52" t="n">
        <v>0</v>
      </c>
      <c r="E11" s="52" t="n">
        <v>0</v>
      </c>
      <c r="F11" s="52" t="n">
        <v>0</v>
      </c>
      <c r="G11" s="52" t="n">
        <v>0</v>
      </c>
      <c r="H11" s="52" t="n">
        <v>0</v>
      </c>
      <c r="I11" s="52" t="n">
        <v>0</v>
      </c>
      <c r="J11" s="68" t="n">
        <v>0</v>
      </c>
      <c r="K11" s="53">
        <f>I11*IF(AND(oil_compact=1,$A11&gt;=compact_year),1-compact_cut,1)</f>
        <v/>
      </c>
      <c r="L11" s="67">
        <f>IF(AND(oil_compact=1,$A11&gt;=compact_year),MAX(J11,compact_price),J11)</f>
        <v/>
      </c>
      <c r="M11" s="53">
        <f>K11*L11</f>
        <v/>
      </c>
      <c r="N11" s="53">
        <f>SUM(B11:F11)+M11</f>
        <v/>
      </c>
      <c r="O11" s="53">
        <f>N11*mining_va</f>
        <v/>
      </c>
      <c r="P11" s="53">
        <f>SUM(B11:F11)*roy_metal*0.9</f>
        <v/>
      </c>
      <c r="Q11" s="53">
        <f>M11*roy_oil</f>
        <v/>
      </c>
      <c r="R11" s="53">
        <f>SUM(B11:E11)*gold_retained+(G11+H11)*conc_gold</f>
        <v/>
      </c>
    </row>
    <row r="12">
      <c r="A12" s="58" t="n">
        <v>1852</v>
      </c>
      <c r="B12" s="52" t="n">
        <v>81</v>
      </c>
      <c r="C12" s="52" t="n">
        <v>0</v>
      </c>
      <c r="D12" s="52" t="n">
        <v>0</v>
      </c>
      <c r="E12" s="52" t="n">
        <v>0</v>
      </c>
      <c r="F12" s="52" t="n">
        <v>0</v>
      </c>
      <c r="G12" s="52" t="n">
        <v>0</v>
      </c>
      <c r="H12" s="52" t="n">
        <v>0</v>
      </c>
      <c r="I12" s="52" t="n">
        <v>0</v>
      </c>
      <c r="J12" s="68" t="n">
        <v>0</v>
      </c>
      <c r="K12" s="53">
        <f>I12*IF(AND(oil_compact=1,$A12&gt;=compact_year),1-compact_cut,1)</f>
        <v/>
      </c>
      <c r="L12" s="67">
        <f>IF(AND(oil_compact=1,$A12&gt;=compact_year),MAX(J12,compact_price),J12)</f>
        <v/>
      </c>
      <c r="M12" s="53">
        <f>K12*L12</f>
        <v/>
      </c>
      <c r="N12" s="53">
        <f>SUM(B12:F12)+M12</f>
        <v/>
      </c>
      <c r="O12" s="53">
        <f>N12*mining_va</f>
        <v/>
      </c>
      <c r="P12" s="53">
        <f>SUM(B12:F12)*roy_metal*0.9</f>
        <v/>
      </c>
      <c r="Q12" s="53">
        <f>M12*roy_oil</f>
        <v/>
      </c>
      <c r="R12" s="53">
        <f>SUM(B12:E12)*gold_retained+(G12+H12)*conc_gold</f>
        <v/>
      </c>
    </row>
    <row r="13">
      <c r="A13" s="58" t="n">
        <v>1853</v>
      </c>
      <c r="B13" s="52" t="n">
        <v>67</v>
      </c>
      <c r="C13" s="52" t="n">
        <v>0</v>
      </c>
      <c r="D13" s="52" t="n">
        <v>0</v>
      </c>
      <c r="E13" s="52" t="n">
        <v>0</v>
      </c>
      <c r="F13" s="52" t="n">
        <v>0</v>
      </c>
      <c r="G13" s="52" t="n">
        <v>0</v>
      </c>
      <c r="H13" s="52" t="n">
        <v>0</v>
      </c>
      <c r="I13" s="52" t="n">
        <v>0</v>
      </c>
      <c r="J13" s="68" t="n">
        <v>0</v>
      </c>
      <c r="K13" s="53">
        <f>I13*IF(AND(oil_compact=1,$A13&gt;=compact_year),1-compact_cut,1)</f>
        <v/>
      </c>
      <c r="L13" s="67">
        <f>IF(AND(oil_compact=1,$A13&gt;=compact_year),MAX(J13,compact_price),J13)</f>
        <v/>
      </c>
      <c r="M13" s="53">
        <f>K13*L13</f>
        <v/>
      </c>
      <c r="N13" s="53">
        <f>SUM(B13:F13)+M13</f>
        <v/>
      </c>
      <c r="O13" s="53">
        <f>N13*mining_va</f>
        <v/>
      </c>
      <c r="P13" s="53">
        <f>SUM(B13:F13)*roy_metal*0.9</f>
        <v/>
      </c>
      <c r="Q13" s="53">
        <f>M13*roy_oil</f>
        <v/>
      </c>
      <c r="R13" s="53">
        <f>SUM(B13:E13)*gold_retained+(G13+H13)*conc_gold</f>
        <v/>
      </c>
    </row>
    <row r="14">
      <c r="A14" s="58" t="n">
        <v>1854</v>
      </c>
      <c r="B14" s="52" t="n">
        <v>69</v>
      </c>
      <c r="C14" s="52" t="n">
        <v>0</v>
      </c>
      <c r="D14" s="52" t="n">
        <v>0</v>
      </c>
      <c r="E14" s="52" t="n">
        <v>0</v>
      </c>
      <c r="F14" s="52" t="n">
        <v>0</v>
      </c>
      <c r="G14" s="52" t="n">
        <v>0</v>
      </c>
      <c r="H14" s="52" t="n">
        <v>0</v>
      </c>
      <c r="I14" s="52" t="n">
        <v>0</v>
      </c>
      <c r="J14" s="68" t="n">
        <v>0</v>
      </c>
      <c r="K14" s="53">
        <f>I14*IF(AND(oil_compact=1,$A14&gt;=compact_year),1-compact_cut,1)</f>
        <v/>
      </c>
      <c r="L14" s="67">
        <f>IF(AND(oil_compact=1,$A14&gt;=compact_year),MAX(J14,compact_price),J14)</f>
        <v/>
      </c>
      <c r="M14" s="53">
        <f>K14*L14</f>
        <v/>
      </c>
      <c r="N14" s="53">
        <f>SUM(B14:F14)+M14</f>
        <v/>
      </c>
      <c r="O14" s="53">
        <f>N14*mining_va</f>
        <v/>
      </c>
      <c r="P14" s="53">
        <f>SUM(B14:F14)*roy_metal*0.9</f>
        <v/>
      </c>
      <c r="Q14" s="53">
        <f>M14*roy_oil</f>
        <v/>
      </c>
      <c r="R14" s="53">
        <f>SUM(B14:E14)*gold_retained+(G14+H14)*conc_gold</f>
        <v/>
      </c>
    </row>
    <row r="15">
      <c r="A15" s="58" t="n">
        <v>1855</v>
      </c>
      <c r="B15" s="52" t="n">
        <v>55</v>
      </c>
      <c r="C15" s="52" t="n">
        <v>0</v>
      </c>
      <c r="D15" s="52" t="n">
        <v>0</v>
      </c>
      <c r="E15" s="52" t="n">
        <v>0</v>
      </c>
      <c r="F15" s="52" t="n">
        <v>0</v>
      </c>
      <c r="G15" s="52" t="n">
        <v>0</v>
      </c>
      <c r="H15" s="52" t="n">
        <v>0</v>
      </c>
      <c r="I15" s="52" t="n">
        <v>0</v>
      </c>
      <c r="J15" s="68" t="n">
        <v>0</v>
      </c>
      <c r="K15" s="53">
        <f>I15*IF(AND(oil_compact=1,$A15&gt;=compact_year),1-compact_cut,1)</f>
        <v/>
      </c>
      <c r="L15" s="67">
        <f>IF(AND(oil_compact=1,$A15&gt;=compact_year),MAX(J15,compact_price),J15)</f>
        <v/>
      </c>
      <c r="M15" s="53">
        <f>K15*L15</f>
        <v/>
      </c>
      <c r="N15" s="53">
        <f>SUM(B15:F15)+M15</f>
        <v/>
      </c>
      <c r="O15" s="53">
        <f>N15*mining_va</f>
        <v/>
      </c>
      <c r="P15" s="53">
        <f>SUM(B15:F15)*roy_metal*0.9</f>
        <v/>
      </c>
      <c r="Q15" s="53">
        <f>M15*roy_oil</f>
        <v/>
      </c>
      <c r="R15" s="53">
        <f>SUM(B15:E15)*gold_retained+(G15+H15)*conc_gold</f>
        <v/>
      </c>
    </row>
    <row r="16">
      <c r="A16" s="58" t="n">
        <v>1856</v>
      </c>
      <c r="B16" s="52" t="n">
        <v>57</v>
      </c>
      <c r="C16" s="52" t="n">
        <v>0</v>
      </c>
      <c r="D16" s="52" t="n">
        <v>0</v>
      </c>
      <c r="E16" s="52" t="n">
        <v>0</v>
      </c>
      <c r="F16" s="52" t="n">
        <v>0</v>
      </c>
      <c r="G16" s="52" t="n">
        <v>0</v>
      </c>
      <c r="H16" s="52" t="n">
        <v>0</v>
      </c>
      <c r="I16" s="52" t="n">
        <v>0</v>
      </c>
      <c r="J16" s="68" t="n">
        <v>0</v>
      </c>
      <c r="K16" s="53">
        <f>I16*IF(AND(oil_compact=1,$A16&gt;=compact_year),1-compact_cut,1)</f>
        <v/>
      </c>
      <c r="L16" s="67">
        <f>IF(AND(oil_compact=1,$A16&gt;=compact_year),MAX(J16,compact_price),J16)</f>
        <v/>
      </c>
      <c r="M16" s="53">
        <f>K16*L16</f>
        <v/>
      </c>
      <c r="N16" s="53">
        <f>SUM(B16:F16)+M16</f>
        <v/>
      </c>
      <c r="O16" s="53">
        <f>N16*mining_va</f>
        <v/>
      </c>
      <c r="P16" s="53">
        <f>SUM(B16:F16)*roy_metal*0.9</f>
        <v/>
      </c>
      <c r="Q16" s="53">
        <f>M16*roy_oil</f>
        <v/>
      </c>
      <c r="R16" s="53">
        <f>SUM(B16:E16)*gold_retained+(G16+H16)*conc_gold</f>
        <v/>
      </c>
    </row>
    <row r="17">
      <c r="A17" s="58" t="n">
        <v>1857</v>
      </c>
      <c r="B17" s="52" t="n">
        <v>43</v>
      </c>
      <c r="C17" s="52" t="n">
        <v>0</v>
      </c>
      <c r="D17" s="52" t="n">
        <v>0</v>
      </c>
      <c r="E17" s="52" t="n">
        <v>0</v>
      </c>
      <c r="F17" s="52" t="n">
        <v>0</v>
      </c>
      <c r="G17" s="52" t="n">
        <v>0</v>
      </c>
      <c r="H17" s="52" t="n">
        <v>0</v>
      </c>
      <c r="I17" s="52" t="n">
        <v>0</v>
      </c>
      <c r="J17" s="68" t="n">
        <v>0</v>
      </c>
      <c r="K17" s="53">
        <f>I17*IF(AND(oil_compact=1,$A17&gt;=compact_year),1-compact_cut,1)</f>
        <v/>
      </c>
      <c r="L17" s="67">
        <f>IF(AND(oil_compact=1,$A17&gt;=compact_year),MAX(J17,compact_price),J17)</f>
        <v/>
      </c>
      <c r="M17" s="53">
        <f>K17*L17</f>
        <v/>
      </c>
      <c r="N17" s="53">
        <f>SUM(B17:F17)+M17</f>
        <v/>
      </c>
      <c r="O17" s="53">
        <f>N17*mining_va</f>
        <v/>
      </c>
      <c r="P17" s="53">
        <f>SUM(B17:F17)*roy_metal*0.9</f>
        <v/>
      </c>
      <c r="Q17" s="53">
        <f>M17*roy_oil</f>
        <v/>
      </c>
      <c r="R17" s="53">
        <f>SUM(B17:E17)*gold_retained+(G17+H17)*conc_gold</f>
        <v/>
      </c>
    </row>
    <row r="18">
      <c r="A18" s="58" t="n">
        <v>1858</v>
      </c>
      <c r="B18" s="52" t="n">
        <v>47</v>
      </c>
      <c r="C18" s="52" t="n">
        <v>0</v>
      </c>
      <c r="D18" s="52" t="n">
        <v>0</v>
      </c>
      <c r="E18" s="52" t="n">
        <v>0</v>
      </c>
      <c r="F18" s="52" t="n">
        <v>0</v>
      </c>
      <c r="G18" s="52" t="n">
        <v>0</v>
      </c>
      <c r="H18" s="52" t="n">
        <v>0</v>
      </c>
      <c r="I18" s="52" t="n">
        <v>0</v>
      </c>
      <c r="J18" s="68" t="n">
        <v>0</v>
      </c>
      <c r="K18" s="53">
        <f>I18*IF(AND(oil_compact=1,$A18&gt;=compact_year),1-compact_cut,1)</f>
        <v/>
      </c>
      <c r="L18" s="67">
        <f>IF(AND(oil_compact=1,$A18&gt;=compact_year),MAX(J18,compact_price),J18)</f>
        <v/>
      </c>
      <c r="M18" s="53">
        <f>K18*L18</f>
        <v/>
      </c>
      <c r="N18" s="53">
        <f>SUM(B18:F18)+M18</f>
        <v/>
      </c>
      <c r="O18" s="53">
        <f>N18*mining_va</f>
        <v/>
      </c>
      <c r="P18" s="53">
        <f>SUM(B18:F18)*roy_metal*0.9</f>
        <v/>
      </c>
      <c r="Q18" s="53">
        <f>M18*roy_oil</f>
        <v/>
      </c>
      <c r="R18" s="53">
        <f>SUM(B18:E18)*gold_retained+(G18+H18)*conc_gold</f>
        <v/>
      </c>
    </row>
    <row r="19">
      <c r="A19" s="58" t="n">
        <v>1859</v>
      </c>
      <c r="B19" s="52" t="n">
        <v>46</v>
      </c>
      <c r="C19" s="52" t="n">
        <v>0</v>
      </c>
      <c r="D19" s="52" t="n">
        <v>0</v>
      </c>
      <c r="E19" s="52" t="n">
        <v>0</v>
      </c>
      <c r="F19" s="52" t="n">
        <v>0</v>
      </c>
      <c r="G19" s="52" t="n">
        <v>0</v>
      </c>
      <c r="H19" s="52" t="n">
        <v>0</v>
      </c>
      <c r="I19" s="52" t="n">
        <v>0</v>
      </c>
      <c r="J19" s="68" t="n">
        <v>0</v>
      </c>
      <c r="K19" s="53">
        <f>I19*IF(AND(oil_compact=1,$A19&gt;=compact_year),1-compact_cut,1)</f>
        <v/>
      </c>
      <c r="L19" s="67">
        <f>IF(AND(oil_compact=1,$A19&gt;=compact_year),MAX(J19,compact_price),J19)</f>
        <v/>
      </c>
      <c r="M19" s="53">
        <f>K19*L19</f>
        <v/>
      </c>
      <c r="N19" s="53">
        <f>SUM(B19:F19)+M19</f>
        <v/>
      </c>
      <c r="O19" s="53">
        <f>N19*mining_va</f>
        <v/>
      </c>
      <c r="P19" s="53">
        <f>SUM(B19:F19)*roy_metal*0.9</f>
        <v/>
      </c>
      <c r="Q19" s="53">
        <f>M19*roy_oil</f>
        <v/>
      </c>
      <c r="R19" s="53">
        <f>SUM(B19:E19)*gold_retained+(G19+H19)*conc_gold</f>
        <v/>
      </c>
    </row>
    <row r="20">
      <c r="A20" s="58" t="n">
        <v>1860</v>
      </c>
      <c r="B20" s="52" t="n">
        <v>45</v>
      </c>
      <c r="C20" s="52" t="n">
        <v>0</v>
      </c>
      <c r="D20" s="52" t="n">
        <v>0</v>
      </c>
      <c r="E20" s="52" t="n">
        <v>0</v>
      </c>
      <c r="F20" s="52" t="n">
        <v>0</v>
      </c>
      <c r="G20" s="52" t="n">
        <v>0</v>
      </c>
      <c r="H20" s="52" t="n">
        <v>0</v>
      </c>
      <c r="I20" s="52" t="n">
        <v>0</v>
      </c>
      <c r="J20" s="68" t="n">
        <v>0</v>
      </c>
      <c r="K20" s="53">
        <f>I20*IF(AND(oil_compact=1,$A20&gt;=compact_year),1-compact_cut,1)</f>
        <v/>
      </c>
      <c r="L20" s="67">
        <f>IF(AND(oil_compact=1,$A20&gt;=compact_year),MAX(J20,compact_price),J20)</f>
        <v/>
      </c>
      <c r="M20" s="53">
        <f>K20*L20</f>
        <v/>
      </c>
      <c r="N20" s="53">
        <f>SUM(B20:F20)+M20</f>
        <v/>
      </c>
      <c r="O20" s="53">
        <f>N20*mining_va</f>
        <v/>
      </c>
      <c r="P20" s="53">
        <f>SUM(B20:F20)*roy_metal*0.9</f>
        <v/>
      </c>
      <c r="Q20" s="53">
        <f>M20*roy_oil</f>
        <v/>
      </c>
      <c r="R20" s="53">
        <f>SUM(B20:E20)*gold_retained+(G20+H20)*conc_gold</f>
        <v/>
      </c>
    </row>
    <row r="21">
      <c r="A21" s="61" t="n">
        <v>1861</v>
      </c>
      <c r="B21" s="52" t="n">
        <v>41</v>
      </c>
      <c r="C21" s="52" t="n">
        <v>0</v>
      </c>
      <c r="D21" s="52" t="n">
        <v>0</v>
      </c>
      <c r="E21" s="52" t="n">
        <v>0</v>
      </c>
      <c r="F21" s="52" t="n">
        <v>0</v>
      </c>
      <c r="G21" s="52" t="n">
        <v>0</v>
      </c>
      <c r="H21" s="52" t="n">
        <v>0</v>
      </c>
      <c r="I21" s="52" t="n">
        <v>0</v>
      </c>
      <c r="J21" s="68" t="n">
        <v>0</v>
      </c>
      <c r="K21" s="53">
        <f>I21*IF(AND(oil_compact=1,$A21&gt;=compact_year),1-compact_cut,1)</f>
        <v/>
      </c>
      <c r="L21" s="67">
        <f>IF(AND(oil_compact=1,$A21&gt;=compact_year),MAX(J21,compact_price),J21)</f>
        <v/>
      </c>
      <c r="M21" s="53">
        <f>K21*L21</f>
        <v/>
      </c>
      <c r="N21" s="53">
        <f>SUM(B21:F21)+M21</f>
        <v/>
      </c>
      <c r="O21" s="53">
        <f>N21*mining_va</f>
        <v/>
      </c>
      <c r="P21" s="53">
        <f>SUM(B21:F21)*roy_metal*0.9</f>
        <v/>
      </c>
      <c r="Q21" s="53">
        <f>M21*roy_oil</f>
        <v/>
      </c>
      <c r="R21" s="53">
        <f>SUM(B21:E21)*gold_retained+(G21+H21)*conc_gold</f>
        <v/>
      </c>
    </row>
    <row r="22">
      <c r="A22" s="61" t="n">
        <v>1862</v>
      </c>
      <c r="B22" s="52" t="n">
        <v>38</v>
      </c>
      <c r="C22" s="52" t="n">
        <v>0</v>
      </c>
      <c r="D22" s="52" t="n">
        <v>0</v>
      </c>
      <c r="E22" s="52" t="n">
        <v>0</v>
      </c>
      <c r="F22" s="52" t="n">
        <v>0</v>
      </c>
      <c r="G22" s="52" t="n">
        <v>0</v>
      </c>
      <c r="H22" s="52" t="n">
        <v>0</v>
      </c>
      <c r="I22" s="52" t="n">
        <v>0</v>
      </c>
      <c r="J22" s="68" t="n">
        <v>0</v>
      </c>
      <c r="K22" s="53">
        <f>I22*IF(AND(oil_compact=1,$A22&gt;=compact_year),1-compact_cut,1)</f>
        <v/>
      </c>
      <c r="L22" s="67">
        <f>IF(AND(oil_compact=1,$A22&gt;=compact_year),MAX(J22,compact_price),J22)</f>
        <v/>
      </c>
      <c r="M22" s="53">
        <f>K22*L22</f>
        <v/>
      </c>
      <c r="N22" s="53">
        <f>SUM(B22:F22)+M22</f>
        <v/>
      </c>
      <c r="O22" s="53">
        <f>N22*mining_va</f>
        <v/>
      </c>
      <c r="P22" s="53">
        <f>SUM(B22:F22)*roy_metal*0.9</f>
        <v/>
      </c>
      <c r="Q22" s="53">
        <f>M22*roy_oil</f>
        <v/>
      </c>
      <c r="R22" s="53">
        <f>SUM(B22:E22)*gold_retained+(G22+H22)*conc_gold</f>
        <v/>
      </c>
    </row>
    <row r="23">
      <c r="A23" s="61" t="n">
        <v>1863</v>
      </c>
      <c r="B23" s="52" t="n">
        <v>23</v>
      </c>
      <c r="C23" s="52" t="n">
        <v>15</v>
      </c>
      <c r="D23" s="52" t="n">
        <v>0</v>
      </c>
      <c r="E23" s="52" t="n">
        <v>0</v>
      </c>
      <c r="F23" s="52" t="n">
        <v>0</v>
      </c>
      <c r="G23" s="52" t="n">
        <v>0</v>
      </c>
      <c r="H23" s="52" t="n">
        <v>0</v>
      </c>
      <c r="I23" s="52" t="n">
        <v>0</v>
      </c>
      <c r="J23" s="68" t="n">
        <v>0</v>
      </c>
      <c r="K23" s="53">
        <f>I23*IF(AND(oil_compact=1,$A23&gt;=compact_year),1-compact_cut,1)</f>
        <v/>
      </c>
      <c r="L23" s="67">
        <f>IF(AND(oil_compact=1,$A23&gt;=compact_year),MAX(J23,compact_price),J23)</f>
        <v/>
      </c>
      <c r="M23" s="53">
        <f>K23*L23</f>
        <v/>
      </c>
      <c r="N23" s="53">
        <f>SUM(B23:F23)+M23</f>
        <v/>
      </c>
      <c r="O23" s="53">
        <f>N23*mining_va</f>
        <v/>
      </c>
      <c r="P23" s="53">
        <f>SUM(B23:F23)*roy_metal*0.9</f>
        <v/>
      </c>
      <c r="Q23" s="53">
        <f>M23*roy_oil</f>
        <v/>
      </c>
      <c r="R23" s="53">
        <f>SUM(B23:E23)*gold_retained+(G23+H23)*conc_gold</f>
        <v/>
      </c>
    </row>
    <row r="24">
      <c r="A24" s="61" t="n">
        <v>1864</v>
      </c>
      <c r="B24" s="52" t="n">
        <v>24</v>
      </c>
      <c r="C24" s="52" t="n">
        <v>35</v>
      </c>
      <c r="D24" s="52" t="n">
        <v>0</v>
      </c>
      <c r="E24" s="52" t="n">
        <v>0</v>
      </c>
      <c r="F24" s="52" t="n">
        <v>0</v>
      </c>
      <c r="G24" s="52" t="n">
        <v>0</v>
      </c>
      <c r="H24" s="52" t="n">
        <v>0</v>
      </c>
      <c r="I24" s="52" t="n">
        <v>0</v>
      </c>
      <c r="J24" s="68" t="n">
        <v>0</v>
      </c>
      <c r="K24" s="53">
        <f>I24*IF(AND(oil_compact=1,$A24&gt;=compact_year),1-compact_cut,1)</f>
        <v/>
      </c>
      <c r="L24" s="67">
        <f>IF(AND(oil_compact=1,$A24&gt;=compact_year),MAX(J24,compact_price),J24)</f>
        <v/>
      </c>
      <c r="M24" s="53">
        <f>K24*L24</f>
        <v/>
      </c>
      <c r="N24" s="53">
        <f>SUM(B24:F24)+M24</f>
        <v/>
      </c>
      <c r="O24" s="53">
        <f>N24*mining_va</f>
        <v/>
      </c>
      <c r="P24" s="53">
        <f>SUM(B24:F24)*roy_metal*0.9</f>
        <v/>
      </c>
      <c r="Q24" s="53">
        <f>M24*roy_oil</f>
        <v/>
      </c>
      <c r="R24" s="53">
        <f>SUM(B24:E24)*gold_retained+(G24+H24)*conc_gold</f>
        <v/>
      </c>
    </row>
    <row r="25">
      <c r="A25" s="61" t="n">
        <v>1865</v>
      </c>
      <c r="B25" s="52" t="n">
        <v>18</v>
      </c>
      <c r="C25" s="52" t="n">
        <v>40</v>
      </c>
      <c r="D25" s="52" t="n">
        <v>0</v>
      </c>
      <c r="E25" s="52" t="n">
        <v>0</v>
      </c>
      <c r="F25" s="52" t="n">
        <v>0</v>
      </c>
      <c r="G25" s="52" t="n">
        <v>0</v>
      </c>
      <c r="H25" s="52" t="n">
        <v>0</v>
      </c>
      <c r="I25" s="52" t="n">
        <v>0</v>
      </c>
      <c r="J25" s="68" t="n">
        <v>0</v>
      </c>
      <c r="K25" s="53">
        <f>I25*IF(AND(oil_compact=1,$A25&gt;=compact_year),1-compact_cut,1)</f>
        <v/>
      </c>
      <c r="L25" s="67">
        <f>IF(AND(oil_compact=1,$A25&gt;=compact_year),MAX(J25,compact_price),J25)</f>
        <v/>
      </c>
      <c r="M25" s="53">
        <f>K25*L25</f>
        <v/>
      </c>
      <c r="N25" s="53">
        <f>SUM(B25:F25)+M25</f>
        <v/>
      </c>
      <c r="O25" s="53">
        <f>N25*mining_va</f>
        <v/>
      </c>
      <c r="P25" s="53">
        <f>SUM(B25:F25)*roy_metal*0.9</f>
        <v/>
      </c>
      <c r="Q25" s="53">
        <f>M25*roy_oil</f>
        <v/>
      </c>
      <c r="R25" s="53">
        <f>SUM(B25:E25)*gold_retained+(G25+H25)*conc_gold</f>
        <v/>
      </c>
    </row>
    <row r="26">
      <c r="A26" s="58" t="n">
        <v>1866</v>
      </c>
      <c r="B26" s="52" t="n">
        <v>18</v>
      </c>
      <c r="C26" s="52" t="n">
        <v>38</v>
      </c>
      <c r="D26" s="52" t="n">
        <v>0</v>
      </c>
      <c r="E26" s="52" t="n">
        <v>0</v>
      </c>
      <c r="F26" s="52" t="n">
        <v>0</v>
      </c>
      <c r="G26" s="52" t="n">
        <v>0</v>
      </c>
      <c r="H26" s="52" t="n">
        <v>0</v>
      </c>
      <c r="I26" s="52" t="n">
        <v>0</v>
      </c>
      <c r="J26" s="68" t="n">
        <v>0</v>
      </c>
      <c r="K26" s="53">
        <f>I26*IF(AND(oil_compact=1,$A26&gt;=compact_year),1-compact_cut,1)</f>
        <v/>
      </c>
      <c r="L26" s="67">
        <f>IF(AND(oil_compact=1,$A26&gt;=compact_year),MAX(J26,compact_price),J26)</f>
        <v/>
      </c>
      <c r="M26" s="53">
        <f>K26*L26</f>
        <v/>
      </c>
      <c r="N26" s="53">
        <f>SUM(B26:F26)+M26</f>
        <v/>
      </c>
      <c r="O26" s="53">
        <f>N26*mining_va</f>
        <v/>
      </c>
      <c r="P26" s="53">
        <f>SUM(B26:F26)*roy_metal*0.9</f>
        <v/>
      </c>
      <c r="Q26" s="53">
        <f>M26*roy_oil</f>
        <v/>
      </c>
      <c r="R26" s="53">
        <f>SUM(B26:E26)*gold_retained+(G26+H26)*conc_gold</f>
        <v/>
      </c>
    </row>
    <row r="27">
      <c r="A27" s="58" t="n">
        <v>1867</v>
      </c>
      <c r="B27" s="52" t="n">
        <v>18</v>
      </c>
      <c r="C27" s="52" t="n">
        <v>32</v>
      </c>
      <c r="D27" s="52" t="n">
        <v>0</v>
      </c>
      <c r="E27" s="52" t="n">
        <v>0</v>
      </c>
      <c r="F27" s="52" t="n">
        <v>0</v>
      </c>
      <c r="G27" s="52" t="n">
        <v>0</v>
      </c>
      <c r="H27" s="52" t="n">
        <v>0</v>
      </c>
      <c r="I27" s="52" t="n">
        <v>0</v>
      </c>
      <c r="J27" s="68" t="n">
        <v>0</v>
      </c>
      <c r="K27" s="53">
        <f>I27*IF(AND(oil_compact=1,$A27&gt;=compact_year),1-compact_cut,1)</f>
        <v/>
      </c>
      <c r="L27" s="67">
        <f>IF(AND(oil_compact=1,$A27&gt;=compact_year),MAX(J27,compact_price),J27)</f>
        <v/>
      </c>
      <c r="M27" s="53">
        <f>K27*L27</f>
        <v/>
      </c>
      <c r="N27" s="53">
        <f>SUM(B27:F27)+M27</f>
        <v/>
      </c>
      <c r="O27" s="53">
        <f>N27*mining_va</f>
        <v/>
      </c>
      <c r="P27" s="53">
        <f>SUM(B27:F27)*roy_metal*0.9</f>
        <v/>
      </c>
      <c r="Q27" s="53">
        <f>M27*roy_oil</f>
        <v/>
      </c>
      <c r="R27" s="53">
        <f>SUM(B27:E27)*gold_retained+(G27+H27)*conc_gold</f>
        <v/>
      </c>
    </row>
    <row r="28">
      <c r="A28" s="58" t="n">
        <v>1868</v>
      </c>
      <c r="B28" s="52" t="n">
        <v>17.66666666666667</v>
      </c>
      <c r="C28" s="52" t="n">
        <v>25</v>
      </c>
      <c r="D28" s="52" t="n">
        <v>0</v>
      </c>
      <c r="E28" s="52" t="n">
        <v>0</v>
      </c>
      <c r="F28" s="52" t="n">
        <v>0</v>
      </c>
      <c r="G28" s="52" t="n">
        <v>0</v>
      </c>
      <c r="H28" s="52" t="n">
        <v>0</v>
      </c>
      <c r="I28" s="52" t="n">
        <v>0</v>
      </c>
      <c r="J28" s="68" t="n">
        <v>0</v>
      </c>
      <c r="K28" s="53">
        <f>I28*IF(AND(oil_compact=1,$A28&gt;=compact_year),1-compact_cut,1)</f>
        <v/>
      </c>
      <c r="L28" s="67">
        <f>IF(AND(oil_compact=1,$A28&gt;=compact_year),MAX(J28,compact_price),J28)</f>
        <v/>
      </c>
      <c r="M28" s="53">
        <f>K28*L28</f>
        <v/>
      </c>
      <c r="N28" s="53">
        <f>SUM(B28:F28)+M28</f>
        <v/>
      </c>
      <c r="O28" s="53">
        <f>N28*mining_va</f>
        <v/>
      </c>
      <c r="P28" s="53">
        <f>SUM(B28:F28)*roy_metal*0.9</f>
        <v/>
      </c>
      <c r="Q28" s="53">
        <f>M28*roy_oil</f>
        <v/>
      </c>
      <c r="R28" s="53">
        <f>SUM(B28:E28)*gold_retained+(G28+H28)*conc_gold</f>
        <v/>
      </c>
    </row>
    <row r="29">
      <c r="A29" s="58" t="n">
        <v>1869</v>
      </c>
      <c r="B29" s="52" t="n">
        <v>17.33333333333333</v>
      </c>
      <c r="C29" s="52" t="n">
        <v>25</v>
      </c>
      <c r="D29" s="52" t="n">
        <v>0</v>
      </c>
      <c r="E29" s="52" t="n">
        <v>0</v>
      </c>
      <c r="F29" s="52" t="n">
        <v>0</v>
      </c>
      <c r="G29" s="52" t="n">
        <v>0</v>
      </c>
      <c r="H29" s="52" t="n">
        <v>0</v>
      </c>
      <c r="I29" s="52" t="n">
        <v>0</v>
      </c>
      <c r="J29" s="68" t="n">
        <v>0</v>
      </c>
      <c r="K29" s="53">
        <f>I29*IF(AND(oil_compact=1,$A29&gt;=compact_year),1-compact_cut,1)</f>
        <v/>
      </c>
      <c r="L29" s="67">
        <f>IF(AND(oil_compact=1,$A29&gt;=compact_year),MAX(J29,compact_price),J29)</f>
        <v/>
      </c>
      <c r="M29" s="53">
        <f>K29*L29</f>
        <v/>
      </c>
      <c r="N29" s="53">
        <f>SUM(B29:F29)+M29</f>
        <v/>
      </c>
      <c r="O29" s="53">
        <f>N29*mining_va</f>
        <v/>
      </c>
      <c r="P29" s="53">
        <f>SUM(B29:F29)*roy_metal*0.9</f>
        <v/>
      </c>
      <c r="Q29" s="53">
        <f>M29*roy_oil</f>
        <v/>
      </c>
      <c r="R29" s="53">
        <f>SUM(B29:E29)*gold_retained+(G29+H29)*conc_gold</f>
        <v/>
      </c>
    </row>
    <row r="30">
      <c r="A30" s="61" t="n">
        <v>1870</v>
      </c>
      <c r="B30" s="52" t="n">
        <v>17</v>
      </c>
      <c r="C30" s="52" t="n">
        <v>25</v>
      </c>
      <c r="D30" s="52" t="n">
        <v>0</v>
      </c>
      <c r="E30" s="52" t="n">
        <v>0</v>
      </c>
      <c r="F30" s="52" t="n">
        <v>0.5</v>
      </c>
      <c r="G30" s="52" t="n">
        <v>0</v>
      </c>
      <c r="H30" s="52" t="n">
        <v>0</v>
      </c>
      <c r="I30" s="52" t="n">
        <v>0</v>
      </c>
      <c r="J30" s="68" t="n">
        <v>0</v>
      </c>
      <c r="K30" s="53">
        <f>I30*IF(AND(oil_compact=1,$A30&gt;=compact_year),1-compact_cut,1)</f>
        <v/>
      </c>
      <c r="L30" s="67">
        <f>IF(AND(oil_compact=1,$A30&gt;=compact_year),MAX(J30,compact_price),J30)</f>
        <v/>
      </c>
      <c r="M30" s="53">
        <f>K30*L30</f>
        <v/>
      </c>
      <c r="N30" s="53">
        <f>SUM(B30:F30)+M30</f>
        <v/>
      </c>
      <c r="O30" s="53">
        <f>N30*mining_va</f>
        <v/>
      </c>
      <c r="P30" s="53">
        <f>SUM(B30:F30)*roy_metal*0.9</f>
        <v/>
      </c>
      <c r="Q30" s="53">
        <f>M30*roy_oil</f>
        <v/>
      </c>
      <c r="R30" s="53">
        <f>SUM(B30:E30)*gold_retained+(G30+H30)*conc_gold</f>
        <v/>
      </c>
    </row>
    <row r="31">
      <c r="A31" s="61" t="n">
        <v>1871</v>
      </c>
      <c r="B31" s="52" t="n">
        <v>17</v>
      </c>
      <c r="C31" s="52" t="n">
        <v>27.5</v>
      </c>
      <c r="D31" s="52" t="n">
        <v>0</v>
      </c>
      <c r="E31" s="52" t="n">
        <v>0</v>
      </c>
      <c r="F31" s="52" t="n">
        <v>0.6</v>
      </c>
      <c r="G31" s="52" t="n">
        <v>0</v>
      </c>
      <c r="H31" s="52" t="n">
        <v>0</v>
      </c>
      <c r="I31" s="52" t="n">
        <v>0</v>
      </c>
      <c r="J31" s="68" t="n">
        <v>0</v>
      </c>
      <c r="K31" s="53">
        <f>I31*IF(AND(oil_compact=1,$A31&gt;=compact_year),1-compact_cut,1)</f>
        <v/>
      </c>
      <c r="L31" s="67">
        <f>IF(AND(oil_compact=1,$A31&gt;=compact_year),MAX(J31,compact_price),J31)</f>
        <v/>
      </c>
      <c r="M31" s="53">
        <f>K31*L31</f>
        <v/>
      </c>
      <c r="N31" s="53">
        <f>SUM(B31:F31)+M31</f>
        <v/>
      </c>
      <c r="O31" s="53">
        <f>N31*mining_va</f>
        <v/>
      </c>
      <c r="P31" s="53">
        <f>SUM(B31:F31)*roy_metal*0.9</f>
        <v/>
      </c>
      <c r="Q31" s="53">
        <f>M31*roy_oil</f>
        <v/>
      </c>
      <c r="R31" s="53">
        <f>SUM(B31:E31)*gold_retained+(G31+H31)*conc_gold</f>
        <v/>
      </c>
    </row>
    <row r="32">
      <c r="A32" s="58" t="n">
        <v>1872</v>
      </c>
      <c r="B32" s="52" t="n">
        <v>17</v>
      </c>
      <c r="C32" s="52" t="n">
        <v>30</v>
      </c>
      <c r="D32" s="52" t="n">
        <v>0</v>
      </c>
      <c r="E32" s="52" t="n">
        <v>0</v>
      </c>
      <c r="F32" s="52" t="n">
        <v>0.7</v>
      </c>
      <c r="G32" s="52" t="n">
        <v>0</v>
      </c>
      <c r="H32" s="52" t="n">
        <v>0</v>
      </c>
      <c r="I32" s="52" t="n">
        <v>0</v>
      </c>
      <c r="J32" s="68" t="n">
        <v>0</v>
      </c>
      <c r="K32" s="53">
        <f>I32*IF(AND(oil_compact=1,$A32&gt;=compact_year),1-compact_cut,1)</f>
        <v/>
      </c>
      <c r="L32" s="67">
        <f>IF(AND(oil_compact=1,$A32&gt;=compact_year),MAX(J32,compact_price),J32)</f>
        <v/>
      </c>
      <c r="M32" s="53">
        <f>K32*L32</f>
        <v/>
      </c>
      <c r="N32" s="53">
        <f>SUM(B32:F32)+M32</f>
        <v/>
      </c>
      <c r="O32" s="53">
        <f>N32*mining_va</f>
        <v/>
      </c>
      <c r="P32" s="53">
        <f>SUM(B32:F32)*roy_metal*0.9</f>
        <v/>
      </c>
      <c r="Q32" s="53">
        <f>M32*roy_oil</f>
        <v/>
      </c>
      <c r="R32" s="53">
        <f>SUM(B32:E32)*gold_retained+(G32+H32)*conc_gold</f>
        <v/>
      </c>
    </row>
    <row r="33">
      <c r="A33" s="58" t="n">
        <v>1873</v>
      </c>
      <c r="B33" s="52" t="n">
        <v>17</v>
      </c>
      <c r="C33" s="52" t="n">
        <v>38</v>
      </c>
      <c r="D33" s="52" t="n">
        <v>0</v>
      </c>
      <c r="E33" s="52" t="n">
        <v>0</v>
      </c>
      <c r="F33" s="52" t="n">
        <v>0.8</v>
      </c>
      <c r="G33" s="52" t="n">
        <v>0</v>
      </c>
      <c r="H33" s="52" t="n">
        <v>0</v>
      </c>
      <c r="I33" s="52" t="n">
        <v>0</v>
      </c>
      <c r="J33" s="68" t="n">
        <v>0</v>
      </c>
      <c r="K33" s="53">
        <f>I33*IF(AND(oil_compact=1,$A33&gt;=compact_year),1-compact_cut,1)</f>
        <v/>
      </c>
      <c r="L33" s="67">
        <f>IF(AND(oil_compact=1,$A33&gt;=compact_year),MAX(J33,compact_price),J33)</f>
        <v/>
      </c>
      <c r="M33" s="53">
        <f>K33*L33</f>
        <v/>
      </c>
      <c r="N33" s="53">
        <f>SUM(B33:F33)+M33</f>
        <v/>
      </c>
      <c r="O33" s="53">
        <f>N33*mining_va</f>
        <v/>
      </c>
      <c r="P33" s="53">
        <f>SUM(B33:F33)*roy_metal*0.9</f>
        <v/>
      </c>
      <c r="Q33" s="53">
        <f>M33*roy_oil</f>
        <v/>
      </c>
      <c r="R33" s="53">
        <f>SUM(B33:E33)*gold_retained+(G33+H33)*conc_gold</f>
        <v/>
      </c>
    </row>
    <row r="34">
      <c r="A34" s="58" t="n">
        <v>1874</v>
      </c>
      <c r="B34" s="52" t="n">
        <v>17</v>
      </c>
      <c r="C34" s="52" t="n">
        <v>41.5</v>
      </c>
      <c r="D34" s="52" t="n">
        <v>0</v>
      </c>
      <c r="E34" s="52" t="n">
        <v>0</v>
      </c>
      <c r="F34" s="52" t="n">
        <v>0.9</v>
      </c>
      <c r="G34" s="52" t="n">
        <v>0</v>
      </c>
      <c r="H34" s="52" t="n">
        <v>0</v>
      </c>
      <c r="I34" s="52" t="n">
        <v>0</v>
      </c>
      <c r="J34" s="68" t="n">
        <v>0</v>
      </c>
      <c r="K34" s="53">
        <f>I34*IF(AND(oil_compact=1,$A34&gt;=compact_year),1-compact_cut,1)</f>
        <v/>
      </c>
      <c r="L34" s="67">
        <f>IF(AND(oil_compact=1,$A34&gt;=compact_year),MAX(J34,compact_price),J34)</f>
        <v/>
      </c>
      <c r="M34" s="53">
        <f>K34*L34</f>
        <v/>
      </c>
      <c r="N34" s="53">
        <f>SUM(B34:F34)+M34</f>
        <v/>
      </c>
      <c r="O34" s="53">
        <f>N34*mining_va</f>
        <v/>
      </c>
      <c r="P34" s="53">
        <f>SUM(B34:F34)*roy_metal*0.9</f>
        <v/>
      </c>
      <c r="Q34" s="53">
        <f>M34*roy_oil</f>
        <v/>
      </c>
      <c r="R34" s="53">
        <f>SUM(B34:E34)*gold_retained+(G34+H34)*conc_gold</f>
        <v/>
      </c>
    </row>
    <row r="35">
      <c r="A35" s="58" t="n">
        <v>1875</v>
      </c>
      <c r="B35" s="52" t="n">
        <v>17</v>
      </c>
      <c r="C35" s="52" t="n">
        <v>45</v>
      </c>
      <c r="D35" s="52" t="n">
        <v>0</v>
      </c>
      <c r="E35" s="52" t="n">
        <v>0</v>
      </c>
      <c r="F35" s="52" t="n">
        <v>1</v>
      </c>
      <c r="G35" s="52" t="n">
        <v>0</v>
      </c>
      <c r="H35" s="52" t="n">
        <v>0</v>
      </c>
      <c r="I35" s="52" t="n">
        <v>0</v>
      </c>
      <c r="J35" s="68" t="n">
        <v>0</v>
      </c>
      <c r="K35" s="53">
        <f>I35*IF(AND(oil_compact=1,$A35&gt;=compact_year),1-compact_cut,1)</f>
        <v/>
      </c>
      <c r="L35" s="67">
        <f>IF(AND(oil_compact=1,$A35&gt;=compact_year),MAX(J35,compact_price),J35)</f>
        <v/>
      </c>
      <c r="M35" s="53">
        <f>K35*L35</f>
        <v/>
      </c>
      <c r="N35" s="53">
        <f>SUM(B35:F35)+M35</f>
        <v/>
      </c>
      <c r="O35" s="53">
        <f>N35*mining_va</f>
        <v/>
      </c>
      <c r="P35" s="53">
        <f>SUM(B35:F35)*roy_metal*0.9</f>
        <v/>
      </c>
      <c r="Q35" s="53">
        <f>M35*roy_oil</f>
        <v/>
      </c>
      <c r="R35" s="53">
        <f>SUM(B35:E35)*gold_retained+(G35+H35)*conc_gold</f>
        <v/>
      </c>
    </row>
    <row r="36">
      <c r="A36" s="58" t="n">
        <v>1876</v>
      </c>
      <c r="B36" s="52" t="n">
        <v>17.6</v>
      </c>
      <c r="C36" s="52" t="n">
        <v>50</v>
      </c>
      <c r="D36" s="52" t="n">
        <v>0</v>
      </c>
      <c r="E36" s="52" t="n">
        <v>0</v>
      </c>
      <c r="F36" s="52" t="n">
        <v>1.2</v>
      </c>
      <c r="G36" s="52" t="n">
        <v>0</v>
      </c>
      <c r="H36" s="52" t="n">
        <v>0</v>
      </c>
      <c r="I36" s="52" t="n">
        <v>0.01</v>
      </c>
      <c r="J36" s="68" t="n">
        <v>2</v>
      </c>
      <c r="K36" s="53">
        <f>I36*IF(AND(oil_compact=1,$A36&gt;=compact_year),1-compact_cut,1)</f>
        <v/>
      </c>
      <c r="L36" s="67">
        <f>IF(AND(oil_compact=1,$A36&gt;=compact_year),MAX(J36,compact_price),J36)</f>
        <v/>
      </c>
      <c r="M36" s="53">
        <f>K36*L36</f>
        <v/>
      </c>
      <c r="N36" s="53">
        <f>SUM(B36:F36)+M36</f>
        <v/>
      </c>
      <c r="O36" s="53">
        <f>N36*mining_va</f>
        <v/>
      </c>
      <c r="P36" s="53">
        <f>SUM(B36:F36)*roy_metal*0.9</f>
        <v/>
      </c>
      <c r="Q36" s="53">
        <f>M36*roy_oil</f>
        <v/>
      </c>
      <c r="R36" s="53">
        <f>SUM(B36:E36)*gold_retained+(G36+H36)*conc_gold</f>
        <v/>
      </c>
    </row>
    <row r="37">
      <c r="A37" s="58" t="n">
        <v>1877</v>
      </c>
      <c r="B37" s="52" t="n">
        <v>18.2</v>
      </c>
      <c r="C37" s="52" t="n">
        <v>55</v>
      </c>
      <c r="D37" s="52" t="n">
        <v>0</v>
      </c>
      <c r="E37" s="52" t="n">
        <v>0</v>
      </c>
      <c r="F37" s="52" t="n">
        <v>1.4</v>
      </c>
      <c r="G37" s="52" t="n">
        <v>0</v>
      </c>
      <c r="H37" s="52" t="n">
        <v>0</v>
      </c>
      <c r="I37" s="52" t="n">
        <v>0.02</v>
      </c>
      <c r="J37" s="68" t="n">
        <v>1.95</v>
      </c>
      <c r="K37" s="53">
        <f>I37*IF(AND(oil_compact=1,$A37&gt;=compact_year),1-compact_cut,1)</f>
        <v/>
      </c>
      <c r="L37" s="67">
        <f>IF(AND(oil_compact=1,$A37&gt;=compact_year),MAX(J37,compact_price),J37)</f>
        <v/>
      </c>
      <c r="M37" s="53">
        <f>K37*L37</f>
        <v/>
      </c>
      <c r="N37" s="53">
        <f>SUM(B37:F37)+M37</f>
        <v/>
      </c>
      <c r="O37" s="53">
        <f>N37*mining_va</f>
        <v/>
      </c>
      <c r="P37" s="53">
        <f>SUM(B37:F37)*roy_metal*0.9</f>
        <v/>
      </c>
      <c r="Q37" s="53">
        <f>M37*roy_oil</f>
        <v/>
      </c>
      <c r="R37" s="53">
        <f>SUM(B37:E37)*gold_retained+(G37+H37)*conc_gold</f>
        <v/>
      </c>
    </row>
    <row r="38">
      <c r="A38" s="58" t="n">
        <v>1878</v>
      </c>
      <c r="B38" s="52" t="n">
        <v>18.8</v>
      </c>
      <c r="C38" s="52" t="n">
        <v>38</v>
      </c>
      <c r="D38" s="52" t="n">
        <v>0</v>
      </c>
      <c r="E38" s="52" t="n">
        <v>0</v>
      </c>
      <c r="F38" s="52" t="n">
        <v>1.6</v>
      </c>
      <c r="G38" s="52" t="n">
        <v>0</v>
      </c>
      <c r="H38" s="52" t="n">
        <v>0</v>
      </c>
      <c r="I38" s="52" t="n">
        <v>0.03</v>
      </c>
      <c r="J38" s="68" t="n">
        <v>1.9</v>
      </c>
      <c r="K38" s="53">
        <f>I38*IF(AND(oil_compact=1,$A38&gt;=compact_year),1-compact_cut,1)</f>
        <v/>
      </c>
      <c r="L38" s="67">
        <f>IF(AND(oil_compact=1,$A38&gt;=compact_year),MAX(J38,compact_price),J38)</f>
        <v/>
      </c>
      <c r="M38" s="53">
        <f>K38*L38</f>
        <v/>
      </c>
      <c r="N38" s="53">
        <f>SUM(B38:F38)+M38</f>
        <v/>
      </c>
      <c r="O38" s="53">
        <f>N38*mining_va</f>
        <v/>
      </c>
      <c r="P38" s="53">
        <f>SUM(B38:F38)*roy_metal*0.9</f>
        <v/>
      </c>
      <c r="Q38" s="53">
        <f>M38*roy_oil</f>
        <v/>
      </c>
      <c r="R38" s="53">
        <f>SUM(B38:E38)*gold_retained+(G38+H38)*conc_gold</f>
        <v/>
      </c>
    </row>
    <row r="39">
      <c r="A39" s="58" t="n">
        <v>1879</v>
      </c>
      <c r="B39" s="52" t="n">
        <v>19.4</v>
      </c>
      <c r="C39" s="52" t="n">
        <v>25</v>
      </c>
      <c r="D39" s="52" t="n">
        <v>0</v>
      </c>
      <c r="E39" s="52" t="n">
        <v>0</v>
      </c>
      <c r="F39" s="52" t="n">
        <v>1.8</v>
      </c>
      <c r="G39" s="52" t="n">
        <v>0</v>
      </c>
      <c r="H39" s="52" t="n">
        <v>0</v>
      </c>
      <c r="I39" s="52" t="n">
        <v>0.04</v>
      </c>
      <c r="J39" s="68" t="n">
        <v>1.85</v>
      </c>
      <c r="K39" s="53">
        <f>I39*IF(AND(oil_compact=1,$A39&gt;=compact_year),1-compact_cut,1)</f>
        <v/>
      </c>
      <c r="L39" s="67">
        <f>IF(AND(oil_compact=1,$A39&gt;=compact_year),MAX(J39,compact_price),J39)</f>
        <v/>
      </c>
      <c r="M39" s="53">
        <f>K39*L39</f>
        <v/>
      </c>
      <c r="N39" s="53">
        <f>SUM(B39:F39)+M39</f>
        <v/>
      </c>
      <c r="O39" s="53">
        <f>N39*mining_va</f>
        <v/>
      </c>
      <c r="P39" s="53">
        <f>SUM(B39:F39)*roy_metal*0.9</f>
        <v/>
      </c>
      <c r="Q39" s="53">
        <f>M39*roy_oil</f>
        <v/>
      </c>
      <c r="R39" s="53">
        <f>SUM(B39:E39)*gold_retained+(G39+H39)*conc_gold</f>
        <v/>
      </c>
    </row>
    <row r="40">
      <c r="A40" s="58" t="n">
        <v>1880</v>
      </c>
      <c r="B40" s="52" t="n">
        <v>20</v>
      </c>
      <c r="C40" s="52" t="n">
        <v>22</v>
      </c>
      <c r="D40" s="52" t="n">
        <v>0</v>
      </c>
      <c r="E40" s="52" t="n">
        <v>0.1</v>
      </c>
      <c r="F40" s="52" t="n">
        <v>2</v>
      </c>
      <c r="G40" s="52" t="n">
        <v>0</v>
      </c>
      <c r="H40" s="52" t="n">
        <v>0</v>
      </c>
      <c r="I40" s="52" t="n">
        <v>0.05</v>
      </c>
      <c r="J40" s="68" t="n">
        <v>1.8</v>
      </c>
      <c r="K40" s="53">
        <f>I40*IF(AND(oil_compact=1,$A40&gt;=compact_year),1-compact_cut,1)</f>
        <v/>
      </c>
      <c r="L40" s="67">
        <f>IF(AND(oil_compact=1,$A40&gt;=compact_year),MAX(J40,compact_price),J40)</f>
        <v/>
      </c>
      <c r="M40" s="53">
        <f>K40*L40</f>
        <v/>
      </c>
      <c r="N40" s="53">
        <f>SUM(B40:F40)+M40</f>
        <v/>
      </c>
      <c r="O40" s="53">
        <f>N40*mining_va</f>
        <v/>
      </c>
      <c r="P40" s="53">
        <f>SUM(B40:F40)*roy_metal*0.9</f>
        <v/>
      </c>
      <c r="Q40" s="53">
        <f>M40*roy_oil</f>
        <v/>
      </c>
      <c r="R40" s="53">
        <f>SUM(B40:E40)*gold_retained+(G40+H40)*conc_gold</f>
        <v/>
      </c>
    </row>
    <row r="41">
      <c r="A41" s="58" t="n">
        <v>1881</v>
      </c>
      <c r="B41" s="52" t="n">
        <v>18.6</v>
      </c>
      <c r="C41" s="52" t="n">
        <v>22</v>
      </c>
      <c r="D41" s="52" t="n">
        <v>0</v>
      </c>
      <c r="E41" s="52" t="n">
        <v>0.18</v>
      </c>
      <c r="F41" s="52" t="n">
        <v>3.6</v>
      </c>
      <c r="G41" s="52" t="n">
        <v>0</v>
      </c>
      <c r="H41" s="52" t="n">
        <v>0</v>
      </c>
      <c r="I41" s="52" t="n">
        <v>0.09</v>
      </c>
      <c r="J41" s="68" t="n">
        <v>1.74</v>
      </c>
      <c r="K41" s="53">
        <f>I41*IF(AND(oil_compact=1,$A41&gt;=compact_year),1-compact_cut,1)</f>
        <v/>
      </c>
      <c r="L41" s="67">
        <f>IF(AND(oil_compact=1,$A41&gt;=compact_year),MAX(J41,compact_price),J41)</f>
        <v/>
      </c>
      <c r="M41" s="53">
        <f>K41*L41</f>
        <v/>
      </c>
      <c r="N41" s="53">
        <f>SUM(B41:F41)+M41</f>
        <v/>
      </c>
      <c r="O41" s="53">
        <f>N41*mining_va</f>
        <v/>
      </c>
      <c r="P41" s="53">
        <f>SUM(B41:F41)*roy_metal*0.9</f>
        <v/>
      </c>
      <c r="Q41" s="53">
        <f>M41*roy_oil</f>
        <v/>
      </c>
      <c r="R41" s="53">
        <f>SUM(B41:E41)*gold_retained+(G41+H41)*conc_gold</f>
        <v/>
      </c>
    </row>
    <row r="42">
      <c r="A42" s="58" t="n">
        <v>1882</v>
      </c>
      <c r="B42" s="52" t="n">
        <v>17.2</v>
      </c>
      <c r="C42" s="52" t="n">
        <v>22</v>
      </c>
      <c r="D42" s="52" t="n">
        <v>0</v>
      </c>
      <c r="E42" s="52" t="n">
        <v>0.26</v>
      </c>
      <c r="F42" s="52" t="n">
        <v>5.2</v>
      </c>
      <c r="G42" s="52" t="n">
        <v>0</v>
      </c>
      <c r="H42" s="52" t="n">
        <v>0</v>
      </c>
      <c r="I42" s="52" t="n">
        <v>0.12</v>
      </c>
      <c r="J42" s="68" t="n">
        <v>1.68</v>
      </c>
      <c r="K42" s="53">
        <f>I42*IF(AND(oil_compact=1,$A42&gt;=compact_year),1-compact_cut,1)</f>
        <v/>
      </c>
      <c r="L42" s="67">
        <f>IF(AND(oil_compact=1,$A42&gt;=compact_year),MAX(J42,compact_price),J42)</f>
        <v/>
      </c>
      <c r="M42" s="53">
        <f>K42*L42</f>
        <v/>
      </c>
      <c r="N42" s="53">
        <f>SUM(B42:F42)+M42</f>
        <v/>
      </c>
      <c r="O42" s="53">
        <f>N42*mining_va</f>
        <v/>
      </c>
      <c r="P42" s="53">
        <f>SUM(B42:F42)*roy_metal*0.9</f>
        <v/>
      </c>
      <c r="Q42" s="53">
        <f>M42*roy_oil</f>
        <v/>
      </c>
      <c r="R42" s="53">
        <f>SUM(B42:E42)*gold_retained+(G42+H42)*conc_gold</f>
        <v/>
      </c>
    </row>
    <row r="43">
      <c r="A43" s="58" t="n">
        <v>1883</v>
      </c>
      <c r="B43" s="52" t="n">
        <v>15.8</v>
      </c>
      <c r="C43" s="52" t="n">
        <v>22</v>
      </c>
      <c r="D43" s="52" t="n">
        <v>0</v>
      </c>
      <c r="E43" s="52" t="n">
        <v>0.3400000000000001</v>
      </c>
      <c r="F43" s="52" t="n">
        <v>6.8</v>
      </c>
      <c r="G43" s="52" t="n">
        <v>0</v>
      </c>
      <c r="H43" s="52" t="n">
        <v>0</v>
      </c>
      <c r="I43" s="52" t="n">
        <v>0.16</v>
      </c>
      <c r="J43" s="68" t="n">
        <v>1.62</v>
      </c>
      <c r="K43" s="53">
        <f>I43*IF(AND(oil_compact=1,$A43&gt;=compact_year),1-compact_cut,1)</f>
        <v/>
      </c>
      <c r="L43" s="67">
        <f>IF(AND(oil_compact=1,$A43&gt;=compact_year),MAX(J43,compact_price),J43)</f>
        <v/>
      </c>
      <c r="M43" s="53">
        <f>K43*L43</f>
        <v/>
      </c>
      <c r="N43" s="53">
        <f>SUM(B43:F43)+M43</f>
        <v/>
      </c>
      <c r="O43" s="53">
        <f>N43*mining_va</f>
        <v/>
      </c>
      <c r="P43" s="53">
        <f>SUM(B43:F43)*roy_metal*0.9</f>
        <v/>
      </c>
      <c r="Q43" s="53">
        <f>M43*roy_oil</f>
        <v/>
      </c>
      <c r="R43" s="53">
        <f>SUM(B43:E43)*gold_retained+(G43+H43)*conc_gold</f>
        <v/>
      </c>
    </row>
    <row r="44">
      <c r="A44" s="58" t="n">
        <v>1884</v>
      </c>
      <c r="B44" s="52" t="n">
        <v>14.4</v>
      </c>
      <c r="C44" s="52" t="n">
        <v>22</v>
      </c>
      <c r="D44" s="52" t="n">
        <v>0</v>
      </c>
      <c r="E44" s="52" t="n">
        <v>0.42</v>
      </c>
      <c r="F44" s="52" t="n">
        <v>8.4</v>
      </c>
      <c r="G44" s="52" t="n">
        <v>0</v>
      </c>
      <c r="H44" s="52" t="n">
        <v>0</v>
      </c>
      <c r="I44" s="52" t="n">
        <v>0.2</v>
      </c>
      <c r="J44" s="68" t="n">
        <v>1.56</v>
      </c>
      <c r="K44" s="53">
        <f>I44*IF(AND(oil_compact=1,$A44&gt;=compact_year),1-compact_cut,1)</f>
        <v/>
      </c>
      <c r="L44" s="67">
        <f>IF(AND(oil_compact=1,$A44&gt;=compact_year),MAX(J44,compact_price),J44)</f>
        <v/>
      </c>
      <c r="M44" s="53">
        <f>K44*L44</f>
        <v/>
      </c>
      <c r="N44" s="53">
        <f>SUM(B44:F44)+M44</f>
        <v/>
      </c>
      <c r="O44" s="53">
        <f>N44*mining_va</f>
        <v/>
      </c>
      <c r="P44" s="53">
        <f>SUM(B44:F44)*roy_metal*0.9</f>
        <v/>
      </c>
      <c r="Q44" s="53">
        <f>M44*roy_oil</f>
        <v/>
      </c>
      <c r="R44" s="53">
        <f>SUM(B44:E44)*gold_retained+(G44+H44)*conc_gold</f>
        <v/>
      </c>
    </row>
    <row r="45">
      <c r="A45" s="58" t="n">
        <v>1885</v>
      </c>
      <c r="B45" s="52" t="n">
        <v>13</v>
      </c>
      <c r="C45" s="52" t="n">
        <v>22</v>
      </c>
      <c r="D45" s="52" t="n">
        <v>0</v>
      </c>
      <c r="E45" s="52" t="n">
        <v>0.5</v>
      </c>
      <c r="F45" s="52" t="n">
        <v>10</v>
      </c>
      <c r="G45" s="52" t="n">
        <v>0</v>
      </c>
      <c r="H45" s="52" t="n">
        <v>0</v>
      </c>
      <c r="I45" s="52" t="n">
        <v>0.4</v>
      </c>
      <c r="J45" s="68" t="n">
        <v>1.5</v>
      </c>
      <c r="K45" s="53">
        <f>I45*IF(AND(oil_compact=1,$A45&gt;=compact_year),1-compact_cut,1)</f>
        <v/>
      </c>
      <c r="L45" s="67">
        <f>IF(AND(oil_compact=1,$A45&gt;=compact_year),MAX(J45,compact_price),J45)</f>
        <v/>
      </c>
      <c r="M45" s="53">
        <f>K45*L45</f>
        <v/>
      </c>
      <c r="N45" s="53">
        <f>SUM(B45:F45)+M45</f>
        <v/>
      </c>
      <c r="O45" s="53">
        <f>N45*mining_va</f>
        <v/>
      </c>
      <c r="P45" s="53">
        <f>SUM(B45:F45)*roy_metal*0.9</f>
        <v/>
      </c>
      <c r="Q45" s="53">
        <f>M45*roy_oil</f>
        <v/>
      </c>
      <c r="R45" s="53">
        <f>SUM(B45:E45)*gold_retained+(G45+H45)*conc_gold</f>
        <v/>
      </c>
    </row>
    <row r="46">
      <c r="A46" s="58" t="n">
        <v>1886</v>
      </c>
      <c r="B46" s="52" t="n">
        <v>12.8</v>
      </c>
      <c r="C46" s="52" t="n">
        <v>22.6</v>
      </c>
      <c r="D46" s="52" t="n">
        <v>0</v>
      </c>
      <c r="E46" s="52" t="n">
        <v>0.6</v>
      </c>
      <c r="F46" s="52" t="n">
        <v>13</v>
      </c>
      <c r="G46" s="52" t="n">
        <v>0</v>
      </c>
      <c r="H46" s="52" t="n">
        <v>0</v>
      </c>
      <c r="I46" s="52" t="n">
        <v>0.6</v>
      </c>
      <c r="J46" s="68" t="n">
        <v>1.4</v>
      </c>
      <c r="K46" s="53">
        <f>I46*IF(AND(oil_compact=1,$A46&gt;=compact_year),1-compact_cut,1)</f>
        <v/>
      </c>
      <c r="L46" s="67">
        <f>IF(AND(oil_compact=1,$A46&gt;=compact_year),MAX(J46,compact_price),J46)</f>
        <v/>
      </c>
      <c r="M46" s="53">
        <f>K46*L46</f>
        <v/>
      </c>
      <c r="N46" s="53">
        <f>SUM(B46:F46)+M46</f>
        <v/>
      </c>
      <c r="O46" s="53">
        <f>N46*mining_va</f>
        <v/>
      </c>
      <c r="P46" s="53">
        <f>SUM(B46:F46)*roy_metal*0.9</f>
        <v/>
      </c>
      <c r="Q46" s="53">
        <f>M46*roy_oil</f>
        <v/>
      </c>
      <c r="R46" s="53">
        <f>SUM(B46:E46)*gold_retained+(G46+H46)*conc_gold</f>
        <v/>
      </c>
    </row>
    <row r="47">
      <c r="A47" s="58" t="n">
        <v>1887</v>
      </c>
      <c r="B47" s="52" t="n">
        <v>12.6</v>
      </c>
      <c r="C47" s="52" t="n">
        <v>23.2</v>
      </c>
      <c r="D47" s="52" t="n">
        <v>0</v>
      </c>
      <c r="E47" s="52" t="n">
        <v>0.7</v>
      </c>
      <c r="F47" s="52" t="n">
        <v>16</v>
      </c>
      <c r="G47" s="52" t="n">
        <v>0</v>
      </c>
      <c r="H47" s="52" t="n">
        <v>0</v>
      </c>
      <c r="I47" s="52" t="n">
        <v>1.3</v>
      </c>
      <c r="J47" s="68" t="n">
        <v>1.3</v>
      </c>
      <c r="K47" s="53">
        <f>I47*IF(AND(oil_compact=1,$A47&gt;=compact_year),1-compact_cut,1)</f>
        <v/>
      </c>
      <c r="L47" s="67">
        <f>IF(AND(oil_compact=1,$A47&gt;=compact_year),MAX(J47,compact_price),J47)</f>
        <v/>
      </c>
      <c r="M47" s="53">
        <f>K47*L47</f>
        <v/>
      </c>
      <c r="N47" s="53">
        <f>SUM(B47:F47)+M47</f>
        <v/>
      </c>
      <c r="O47" s="53">
        <f>N47*mining_va</f>
        <v/>
      </c>
      <c r="P47" s="53">
        <f>SUM(B47:F47)*roy_metal*0.9</f>
        <v/>
      </c>
      <c r="Q47" s="53">
        <f>M47*roy_oil</f>
        <v/>
      </c>
      <c r="R47" s="53">
        <f>SUM(B47:E47)*gold_retained+(G47+H47)*conc_gold</f>
        <v/>
      </c>
    </row>
    <row r="48">
      <c r="A48" s="58" t="n">
        <v>1888</v>
      </c>
      <c r="B48" s="52" t="n">
        <v>12.4</v>
      </c>
      <c r="C48" s="52" t="n">
        <v>23.8</v>
      </c>
      <c r="D48" s="52" t="n">
        <v>0</v>
      </c>
      <c r="E48" s="52" t="n">
        <v>0.8</v>
      </c>
      <c r="F48" s="52" t="n">
        <v>19</v>
      </c>
      <c r="G48" s="52" t="n">
        <v>0</v>
      </c>
      <c r="H48" s="52" t="n">
        <v>0</v>
      </c>
      <c r="I48" s="52" t="n">
        <v>2</v>
      </c>
      <c r="J48" s="68" t="n">
        <v>1.2</v>
      </c>
      <c r="K48" s="53">
        <f>I48*IF(AND(oil_compact=1,$A48&gt;=compact_year),1-compact_cut,1)</f>
        <v/>
      </c>
      <c r="L48" s="67">
        <f>IF(AND(oil_compact=1,$A48&gt;=compact_year),MAX(J48,compact_price),J48)</f>
        <v/>
      </c>
      <c r="M48" s="53">
        <f>K48*L48</f>
        <v/>
      </c>
      <c r="N48" s="53">
        <f>SUM(B48:F48)+M48</f>
        <v/>
      </c>
      <c r="O48" s="53">
        <f>N48*mining_va</f>
        <v/>
      </c>
      <c r="P48" s="53">
        <f>SUM(B48:F48)*roy_metal*0.9</f>
        <v/>
      </c>
      <c r="Q48" s="53">
        <f>M48*roy_oil</f>
        <v/>
      </c>
      <c r="R48" s="53">
        <f>SUM(B48:E48)*gold_retained+(G48+H48)*conc_gold</f>
        <v/>
      </c>
    </row>
    <row r="49">
      <c r="A49" s="58" t="n">
        <v>1889</v>
      </c>
      <c r="B49" s="52" t="n">
        <v>12.2</v>
      </c>
      <c r="C49" s="52" t="n">
        <v>24.4</v>
      </c>
      <c r="D49" s="52" t="n">
        <v>0</v>
      </c>
      <c r="E49" s="52" t="n">
        <v>0.9</v>
      </c>
      <c r="F49" s="52" t="n">
        <v>22</v>
      </c>
      <c r="G49" s="52" t="n">
        <v>0</v>
      </c>
      <c r="H49" s="52" t="n">
        <v>0</v>
      </c>
      <c r="I49" s="52" t="n">
        <v>3</v>
      </c>
      <c r="J49" s="68" t="n">
        <v>1.1</v>
      </c>
      <c r="K49" s="53">
        <f>I49*IF(AND(oil_compact=1,$A49&gt;=compact_year),1-compact_cut,1)</f>
        <v/>
      </c>
      <c r="L49" s="67">
        <f>IF(AND(oil_compact=1,$A49&gt;=compact_year),MAX(J49,compact_price),J49)</f>
        <v/>
      </c>
      <c r="M49" s="53">
        <f>K49*L49</f>
        <v/>
      </c>
      <c r="N49" s="53">
        <f>SUM(B49:F49)+M49</f>
        <v/>
      </c>
      <c r="O49" s="53">
        <f>N49*mining_va</f>
        <v/>
      </c>
      <c r="P49" s="53">
        <f>SUM(B49:F49)*roy_metal*0.9</f>
        <v/>
      </c>
      <c r="Q49" s="53">
        <f>M49*roy_oil</f>
        <v/>
      </c>
      <c r="R49" s="53">
        <f>SUM(B49:E49)*gold_retained+(G49+H49)*conc_gold</f>
        <v/>
      </c>
    </row>
    <row r="50">
      <c r="A50" s="58" t="n">
        <v>1890</v>
      </c>
      <c r="B50" s="52" t="n">
        <v>12</v>
      </c>
      <c r="C50" s="52" t="n">
        <v>25</v>
      </c>
      <c r="D50" s="52" t="n">
        <v>0</v>
      </c>
      <c r="E50" s="52" t="n">
        <v>1</v>
      </c>
      <c r="F50" s="52" t="n">
        <v>25</v>
      </c>
      <c r="G50" s="52" t="n">
        <v>0</v>
      </c>
      <c r="H50" s="52" t="n">
        <v>0</v>
      </c>
      <c r="I50" s="52" t="n">
        <v>4</v>
      </c>
      <c r="J50" s="68" t="n">
        <v>1</v>
      </c>
      <c r="K50" s="53">
        <f>I50*IF(AND(oil_compact=1,$A50&gt;=compact_year),1-compact_cut,1)</f>
        <v/>
      </c>
      <c r="L50" s="67">
        <f>IF(AND(oil_compact=1,$A50&gt;=compact_year),MAX(J50,compact_price),J50)</f>
        <v/>
      </c>
      <c r="M50" s="53">
        <f>K50*L50</f>
        <v/>
      </c>
      <c r="N50" s="53">
        <f>SUM(B50:F50)+M50</f>
        <v/>
      </c>
      <c r="O50" s="53">
        <f>N50*mining_va</f>
        <v/>
      </c>
      <c r="P50" s="53">
        <f>SUM(B50:F50)*roy_metal*0.9</f>
        <v/>
      </c>
      <c r="Q50" s="53">
        <f>M50*roy_oil</f>
        <v/>
      </c>
      <c r="R50" s="53">
        <f>SUM(B50:E50)*gold_retained+(G50+H50)*conc_gold</f>
        <v/>
      </c>
    </row>
    <row r="51">
      <c r="A51" s="58" t="n">
        <v>1891</v>
      </c>
      <c r="B51" s="52" t="n">
        <v>12.6</v>
      </c>
      <c r="C51" s="52" t="n">
        <v>24.4</v>
      </c>
      <c r="D51" s="52" t="n">
        <v>0</v>
      </c>
      <c r="E51" s="52" t="n">
        <v>1.2</v>
      </c>
      <c r="F51" s="52" t="n">
        <v>26</v>
      </c>
      <c r="G51" s="52" t="n">
        <v>0</v>
      </c>
      <c r="H51" s="52" t="n">
        <v>0</v>
      </c>
      <c r="I51" s="52" t="n">
        <v>5</v>
      </c>
      <c r="J51" s="68" t="n">
        <v>0.96</v>
      </c>
      <c r="K51" s="53">
        <f>I51*IF(AND(oil_compact=1,$A51&gt;=compact_year),1-compact_cut,1)</f>
        <v/>
      </c>
      <c r="L51" s="67">
        <f>IF(AND(oil_compact=1,$A51&gt;=compact_year),MAX(J51,compact_price),J51)</f>
        <v/>
      </c>
      <c r="M51" s="53">
        <f>K51*L51</f>
        <v/>
      </c>
      <c r="N51" s="53">
        <f>SUM(B51:F51)+M51</f>
        <v/>
      </c>
      <c r="O51" s="53">
        <f>N51*mining_va</f>
        <v/>
      </c>
      <c r="P51" s="53">
        <f>SUM(B51:F51)*roy_metal*0.9</f>
        <v/>
      </c>
      <c r="Q51" s="53">
        <f>M51*roy_oil</f>
        <v/>
      </c>
      <c r="R51" s="53">
        <f>SUM(B51:E51)*gold_retained+(G51+H51)*conc_gold</f>
        <v/>
      </c>
    </row>
    <row r="52">
      <c r="A52" s="58" t="n">
        <v>1892</v>
      </c>
      <c r="B52" s="52" t="n">
        <v>13.2</v>
      </c>
      <c r="C52" s="52" t="n">
        <v>23.8</v>
      </c>
      <c r="D52" s="52" t="n">
        <v>0</v>
      </c>
      <c r="E52" s="52" t="n">
        <v>1.4</v>
      </c>
      <c r="F52" s="52" t="n">
        <v>27</v>
      </c>
      <c r="G52" s="52" t="n">
        <v>0</v>
      </c>
      <c r="H52" s="52" t="n">
        <v>0</v>
      </c>
      <c r="I52" s="52" t="n">
        <v>6</v>
      </c>
      <c r="J52" s="68" t="n">
        <v>0.92</v>
      </c>
      <c r="K52" s="53">
        <f>I52*IF(AND(oil_compact=1,$A52&gt;=compact_year),1-compact_cut,1)</f>
        <v/>
      </c>
      <c r="L52" s="67">
        <f>IF(AND(oil_compact=1,$A52&gt;=compact_year),MAX(J52,compact_price),J52)</f>
        <v/>
      </c>
      <c r="M52" s="53">
        <f>K52*L52</f>
        <v/>
      </c>
      <c r="N52" s="53">
        <f>SUM(B52:F52)+M52</f>
        <v/>
      </c>
      <c r="O52" s="53">
        <f>N52*mining_va</f>
        <v/>
      </c>
      <c r="P52" s="53">
        <f>SUM(B52:F52)*roy_metal*0.9</f>
        <v/>
      </c>
      <c r="Q52" s="53">
        <f>M52*roy_oil</f>
        <v/>
      </c>
      <c r="R52" s="53">
        <f>SUM(B52:E52)*gold_retained+(G52+H52)*conc_gold</f>
        <v/>
      </c>
    </row>
    <row r="53">
      <c r="A53" s="58" t="n">
        <v>1893</v>
      </c>
      <c r="B53" s="52" t="n">
        <v>13.8</v>
      </c>
      <c r="C53" s="52" t="n">
        <v>23.2</v>
      </c>
      <c r="D53" s="52" t="n">
        <v>0</v>
      </c>
      <c r="E53" s="52" t="n">
        <v>1.6</v>
      </c>
      <c r="F53" s="52" t="n">
        <v>28</v>
      </c>
      <c r="G53" s="52" t="n">
        <v>0</v>
      </c>
      <c r="H53" s="52" t="n">
        <v>0</v>
      </c>
      <c r="I53" s="52" t="n">
        <v>7.33</v>
      </c>
      <c r="J53" s="68" t="n">
        <v>0.88</v>
      </c>
      <c r="K53" s="53">
        <f>I53*IF(AND(oil_compact=1,$A53&gt;=compact_year),1-compact_cut,1)</f>
        <v/>
      </c>
      <c r="L53" s="67">
        <f>IF(AND(oil_compact=1,$A53&gt;=compact_year),MAX(J53,compact_price),J53)</f>
        <v/>
      </c>
      <c r="M53" s="53">
        <f>K53*L53</f>
        <v/>
      </c>
      <c r="N53" s="53">
        <f>SUM(B53:F53)+M53</f>
        <v/>
      </c>
      <c r="O53" s="53">
        <f>N53*mining_va</f>
        <v/>
      </c>
      <c r="P53" s="53">
        <f>SUM(B53:F53)*roy_metal*0.9</f>
        <v/>
      </c>
      <c r="Q53" s="53">
        <f>M53*roy_oil</f>
        <v/>
      </c>
      <c r="R53" s="53">
        <f>SUM(B53:E53)*gold_retained+(G53+H53)*conc_gold</f>
        <v/>
      </c>
    </row>
    <row r="54">
      <c r="A54" s="58" t="n">
        <v>1894</v>
      </c>
      <c r="B54" s="52" t="n">
        <v>14.4</v>
      </c>
      <c r="C54" s="52" t="n">
        <v>22.6</v>
      </c>
      <c r="D54" s="52" t="n">
        <v>0</v>
      </c>
      <c r="E54" s="52" t="n">
        <v>1.8</v>
      </c>
      <c r="F54" s="52" t="n">
        <v>29</v>
      </c>
      <c r="G54" s="52" t="n">
        <v>0</v>
      </c>
      <c r="H54" s="52" t="n">
        <v>0</v>
      </c>
      <c r="I54" s="52" t="n">
        <v>8.67</v>
      </c>
      <c r="J54" s="68" t="n">
        <v>0.84</v>
      </c>
      <c r="K54" s="53">
        <f>I54*IF(AND(oil_compact=1,$A54&gt;=compact_year),1-compact_cut,1)</f>
        <v/>
      </c>
      <c r="L54" s="67">
        <f>IF(AND(oil_compact=1,$A54&gt;=compact_year),MAX(J54,compact_price),J54)</f>
        <v/>
      </c>
      <c r="M54" s="53">
        <f>K54*L54</f>
        <v/>
      </c>
      <c r="N54" s="53">
        <f>SUM(B54:F54)+M54</f>
        <v/>
      </c>
      <c r="O54" s="53">
        <f>N54*mining_va</f>
        <v/>
      </c>
      <c r="P54" s="53">
        <f>SUM(B54:F54)*roy_metal*0.9</f>
        <v/>
      </c>
      <c r="Q54" s="53">
        <f>M54*roy_oil</f>
        <v/>
      </c>
      <c r="R54" s="53">
        <f>SUM(B54:E54)*gold_retained+(G54+H54)*conc_gold</f>
        <v/>
      </c>
    </row>
    <row r="55">
      <c r="A55" s="58" t="n">
        <v>1895</v>
      </c>
      <c r="B55" s="52" t="n">
        <v>15</v>
      </c>
      <c r="C55" s="52" t="n">
        <v>22</v>
      </c>
      <c r="D55" s="52" t="n">
        <v>0</v>
      </c>
      <c r="E55" s="52" t="n">
        <v>2</v>
      </c>
      <c r="F55" s="52" t="n">
        <v>30</v>
      </c>
      <c r="G55" s="52" t="n">
        <v>0</v>
      </c>
      <c r="H55" s="52" t="n">
        <v>0</v>
      </c>
      <c r="I55" s="52" t="n">
        <v>10</v>
      </c>
      <c r="J55" s="68" t="n">
        <v>0.8</v>
      </c>
      <c r="K55" s="53">
        <f>I55*IF(AND(oil_compact=1,$A55&gt;=compact_year),1-compact_cut,1)</f>
        <v/>
      </c>
      <c r="L55" s="67">
        <f>IF(AND(oil_compact=1,$A55&gt;=compact_year),MAX(J55,compact_price),J55)</f>
        <v/>
      </c>
      <c r="M55" s="53">
        <f>K55*L55</f>
        <v/>
      </c>
      <c r="N55" s="53">
        <f>SUM(B55:F55)+M55</f>
        <v/>
      </c>
      <c r="O55" s="53">
        <f>N55*mining_va</f>
        <v/>
      </c>
      <c r="P55" s="53">
        <f>SUM(B55:F55)*roy_metal*0.9</f>
        <v/>
      </c>
      <c r="Q55" s="53">
        <f>M55*roy_oil</f>
        <v/>
      </c>
      <c r="R55" s="53">
        <f>SUM(B55:E55)*gold_retained+(G55+H55)*conc_gold</f>
        <v/>
      </c>
    </row>
    <row r="56">
      <c r="A56" s="58" t="n">
        <v>1896</v>
      </c>
      <c r="B56" s="52" t="n">
        <v>15.2</v>
      </c>
      <c r="C56" s="52" t="n">
        <v>22.6</v>
      </c>
      <c r="D56" s="52" t="n">
        <v>0</v>
      </c>
      <c r="E56" s="52" t="n">
        <v>2</v>
      </c>
      <c r="F56" s="52" t="n">
        <v>36</v>
      </c>
      <c r="G56" s="52" t="n">
        <v>0</v>
      </c>
      <c r="H56" s="52" t="n">
        <v>0</v>
      </c>
      <c r="I56" s="52" t="n">
        <v>12.67</v>
      </c>
      <c r="J56" s="68" t="n">
        <v>0.79</v>
      </c>
      <c r="K56" s="53">
        <f>I56*IF(AND(oil_compact=1,$A56&gt;=compact_year),1-compact_cut,1)</f>
        <v/>
      </c>
      <c r="L56" s="67">
        <f>IF(AND(oil_compact=1,$A56&gt;=compact_year),MAX(J56,compact_price),J56)</f>
        <v/>
      </c>
      <c r="M56" s="53">
        <f>K56*L56</f>
        <v/>
      </c>
      <c r="N56" s="53">
        <f>SUM(B56:F56)+M56</f>
        <v/>
      </c>
      <c r="O56" s="53">
        <f>N56*mining_va</f>
        <v/>
      </c>
      <c r="P56" s="53">
        <f>SUM(B56:F56)*roy_metal*0.9</f>
        <v/>
      </c>
      <c r="Q56" s="53">
        <f>M56*roy_oil</f>
        <v/>
      </c>
      <c r="R56" s="53">
        <f>SUM(B56:E56)*gold_retained+(G56+H56)*conc_gold</f>
        <v/>
      </c>
    </row>
    <row r="57">
      <c r="A57" s="58" t="n">
        <v>1897</v>
      </c>
      <c r="B57" s="52" t="n">
        <v>15.4</v>
      </c>
      <c r="C57" s="52" t="n">
        <v>23.2</v>
      </c>
      <c r="D57" s="52" t="n">
        <v>0</v>
      </c>
      <c r="E57" s="52" t="n">
        <v>2</v>
      </c>
      <c r="F57" s="52" t="n">
        <v>42</v>
      </c>
      <c r="G57" s="52" t="n">
        <v>0.3</v>
      </c>
      <c r="H57" s="52" t="n">
        <v>0</v>
      </c>
      <c r="I57" s="52" t="n">
        <v>15.33</v>
      </c>
      <c r="J57" s="68" t="n">
        <v>0.78</v>
      </c>
      <c r="K57" s="53">
        <f>I57*IF(AND(oil_compact=1,$A57&gt;=compact_year),1-compact_cut,1)</f>
        <v/>
      </c>
      <c r="L57" s="67">
        <f>IF(AND(oil_compact=1,$A57&gt;=compact_year),MAX(J57,compact_price),J57)</f>
        <v/>
      </c>
      <c r="M57" s="53">
        <f>K57*L57</f>
        <v/>
      </c>
      <c r="N57" s="53">
        <f>SUM(B57:F57)+M57</f>
        <v/>
      </c>
      <c r="O57" s="53">
        <f>N57*mining_va</f>
        <v/>
      </c>
      <c r="P57" s="53">
        <f>SUM(B57:F57)*roy_metal*0.9</f>
        <v/>
      </c>
      <c r="Q57" s="53">
        <f>M57*roy_oil</f>
        <v/>
      </c>
      <c r="R57" s="53">
        <f>SUM(B57:E57)*gold_retained+(G57+H57)*conc_gold</f>
        <v/>
      </c>
    </row>
    <row r="58">
      <c r="A58" s="58" t="n">
        <v>1898</v>
      </c>
      <c r="B58" s="52" t="n">
        <v>15.6</v>
      </c>
      <c r="C58" s="52" t="n">
        <v>23.8</v>
      </c>
      <c r="D58" s="52" t="n">
        <v>0</v>
      </c>
      <c r="E58" s="52" t="n">
        <v>2</v>
      </c>
      <c r="F58" s="52" t="n">
        <v>48</v>
      </c>
      <c r="G58" s="52" t="n">
        <v>0.5333333333333333</v>
      </c>
      <c r="H58" s="52" t="n">
        <v>0</v>
      </c>
      <c r="I58" s="52" t="n">
        <v>18</v>
      </c>
      <c r="J58" s="68" t="n">
        <v>0.77</v>
      </c>
      <c r="K58" s="53">
        <f>I58*IF(AND(oil_compact=1,$A58&gt;=compact_year),1-compact_cut,1)</f>
        <v/>
      </c>
      <c r="L58" s="67">
        <f>IF(AND(oil_compact=1,$A58&gt;=compact_year),MAX(J58,compact_price),J58)</f>
        <v/>
      </c>
      <c r="M58" s="53">
        <f>K58*L58</f>
        <v/>
      </c>
      <c r="N58" s="53">
        <f>SUM(B58:F58)+M58</f>
        <v/>
      </c>
      <c r="O58" s="53">
        <f>N58*mining_va</f>
        <v/>
      </c>
      <c r="P58" s="53">
        <f>SUM(B58:F58)*roy_metal*0.9</f>
        <v/>
      </c>
      <c r="Q58" s="53">
        <f>M58*roy_oil</f>
        <v/>
      </c>
      <c r="R58" s="53">
        <f>SUM(B58:E58)*gold_retained+(G58+H58)*conc_gold</f>
        <v/>
      </c>
    </row>
    <row r="59">
      <c r="A59" s="58" t="n">
        <v>1899</v>
      </c>
      <c r="B59" s="52" t="n">
        <v>15.8</v>
      </c>
      <c r="C59" s="52" t="n">
        <v>24.4</v>
      </c>
      <c r="D59" s="52" t="n">
        <v>0</v>
      </c>
      <c r="E59" s="52" t="n">
        <v>5</v>
      </c>
      <c r="F59" s="52" t="n">
        <v>54</v>
      </c>
      <c r="G59" s="52" t="n">
        <v>0.7666666666666666</v>
      </c>
      <c r="H59" s="52" t="n">
        <v>0</v>
      </c>
      <c r="I59" s="52" t="n">
        <v>21.5</v>
      </c>
      <c r="J59" s="68" t="n">
        <v>0.76</v>
      </c>
      <c r="K59" s="53">
        <f>I59*IF(AND(oil_compact=1,$A59&gt;=compact_year),1-compact_cut,1)</f>
        <v/>
      </c>
      <c r="L59" s="67">
        <f>IF(AND(oil_compact=1,$A59&gt;=compact_year),MAX(J59,compact_price),J59)</f>
        <v/>
      </c>
      <c r="M59" s="53">
        <f>K59*L59</f>
        <v/>
      </c>
      <c r="N59" s="53">
        <f>SUM(B59:F59)+M59</f>
        <v/>
      </c>
      <c r="O59" s="53">
        <f>N59*mining_va</f>
        <v/>
      </c>
      <c r="P59" s="53">
        <f>SUM(B59:F59)*roy_metal*0.9</f>
        <v/>
      </c>
      <c r="Q59" s="53">
        <f>M59*roy_oil</f>
        <v/>
      </c>
      <c r="R59" s="53">
        <f>SUM(B59:E59)*gold_retained+(G59+H59)*conc_gold</f>
        <v/>
      </c>
    </row>
    <row r="60">
      <c r="A60" s="58" t="n">
        <v>1900</v>
      </c>
      <c r="B60" s="52" t="n">
        <v>16</v>
      </c>
      <c r="C60" s="52" t="n">
        <v>25</v>
      </c>
      <c r="D60" s="52" t="n">
        <v>0</v>
      </c>
      <c r="E60" s="52" t="n">
        <v>8</v>
      </c>
      <c r="F60" s="52" t="n">
        <v>60</v>
      </c>
      <c r="G60" s="52" t="n">
        <v>0.9999999999999998</v>
      </c>
      <c r="H60" s="52" t="n">
        <v>0</v>
      </c>
      <c r="I60" s="52" t="n">
        <v>25</v>
      </c>
      <c r="J60" s="68" t="n">
        <v>0.75</v>
      </c>
      <c r="K60" s="53">
        <f>I60*IF(AND(oil_compact=1,$A60&gt;=compact_year),1-compact_cut,1)</f>
        <v/>
      </c>
      <c r="L60" s="67">
        <f>IF(AND(oil_compact=1,$A60&gt;=compact_year),MAX(J60,compact_price),J60)</f>
        <v/>
      </c>
      <c r="M60" s="53">
        <f>K60*L60</f>
        <v/>
      </c>
      <c r="N60" s="53">
        <f>SUM(B60:F60)+M60</f>
        <v/>
      </c>
      <c r="O60" s="53">
        <f>N60*mining_va</f>
        <v/>
      </c>
      <c r="P60" s="53">
        <f>SUM(B60:F60)*roy_metal*0.9</f>
        <v/>
      </c>
      <c r="Q60" s="53">
        <f>M60*roy_oil</f>
        <v/>
      </c>
      <c r="R60" s="53">
        <f>SUM(B60:E60)*gold_retained+(G60+H60)*conc_gold</f>
        <v/>
      </c>
    </row>
    <row r="61">
      <c r="A61" s="58" t="n">
        <v>1901</v>
      </c>
      <c r="B61" s="52" t="n">
        <v>16.6</v>
      </c>
      <c r="C61" s="52" t="n">
        <v>25.6</v>
      </c>
      <c r="D61" s="52" t="n">
        <v>1</v>
      </c>
      <c r="E61" s="52" t="n">
        <v>9.4</v>
      </c>
      <c r="F61" s="52" t="n">
        <v>66</v>
      </c>
      <c r="G61" s="52" t="n">
        <v>1.2</v>
      </c>
      <c r="H61" s="52" t="n">
        <v>0</v>
      </c>
      <c r="I61" s="52" t="n">
        <v>30</v>
      </c>
      <c r="J61" s="68" t="n">
        <v>0.67</v>
      </c>
      <c r="K61" s="53">
        <f>I61*IF(AND(oil_compact=1,$A61&gt;=compact_year),1-compact_cut,1)</f>
        <v/>
      </c>
      <c r="L61" s="67">
        <f>IF(AND(oil_compact=1,$A61&gt;=compact_year),MAX(J61,compact_price),J61)</f>
        <v/>
      </c>
      <c r="M61" s="53">
        <f>K61*L61</f>
        <v/>
      </c>
      <c r="N61" s="53">
        <f>SUM(B61:F61)+M61</f>
        <v/>
      </c>
      <c r="O61" s="53">
        <f>N61*mining_va</f>
        <v/>
      </c>
      <c r="P61" s="53">
        <f>SUM(B61:F61)*roy_metal*0.9</f>
        <v/>
      </c>
      <c r="Q61" s="53">
        <f>M61*roy_oil</f>
        <v/>
      </c>
      <c r="R61" s="53">
        <f>SUM(B61:E61)*gold_retained+(G61+H61)*conc_gold</f>
        <v/>
      </c>
    </row>
    <row r="62">
      <c r="A62" s="58" t="n">
        <v>1902</v>
      </c>
      <c r="B62" s="52" t="n">
        <v>17.2</v>
      </c>
      <c r="C62" s="52" t="n">
        <v>26.2</v>
      </c>
      <c r="D62" s="52" t="n">
        <v>2.5</v>
      </c>
      <c r="E62" s="52" t="n">
        <v>10.8</v>
      </c>
      <c r="F62" s="52" t="n">
        <v>72</v>
      </c>
      <c r="G62" s="52" t="n">
        <v>1.4</v>
      </c>
      <c r="H62" s="52" t="n">
        <v>0</v>
      </c>
      <c r="I62" s="52" t="n">
        <v>35</v>
      </c>
      <c r="J62" s="68" t="n">
        <v>0.59</v>
      </c>
      <c r="K62" s="53">
        <f>I62*IF(AND(oil_compact=1,$A62&gt;=compact_year),1-compact_cut,1)</f>
        <v/>
      </c>
      <c r="L62" s="67">
        <f>IF(AND(oil_compact=1,$A62&gt;=compact_year),MAX(J62,compact_price),J62)</f>
        <v/>
      </c>
      <c r="M62" s="53">
        <f>K62*L62</f>
        <v/>
      </c>
      <c r="N62" s="53">
        <f>SUM(B62:F62)+M62</f>
        <v/>
      </c>
      <c r="O62" s="53">
        <f>N62*mining_va</f>
        <v/>
      </c>
      <c r="P62" s="53">
        <f>SUM(B62:F62)*roy_metal*0.9</f>
        <v/>
      </c>
      <c r="Q62" s="53">
        <f>M62*roy_oil</f>
        <v/>
      </c>
      <c r="R62" s="53">
        <f>SUM(B62:E62)*gold_retained+(G62+H62)*conc_gold</f>
        <v/>
      </c>
    </row>
    <row r="63">
      <c r="A63" s="58" t="n">
        <v>1903</v>
      </c>
      <c r="B63" s="52" t="n">
        <v>17.8</v>
      </c>
      <c r="C63" s="52" t="n">
        <v>26.8</v>
      </c>
      <c r="D63" s="52" t="n">
        <v>4</v>
      </c>
      <c r="E63" s="52" t="n">
        <v>12.2</v>
      </c>
      <c r="F63" s="52" t="n">
        <v>78</v>
      </c>
      <c r="G63" s="52" t="n">
        <v>1.6</v>
      </c>
      <c r="H63" s="52" t="n">
        <v>0</v>
      </c>
      <c r="I63" s="52" t="n">
        <v>40</v>
      </c>
      <c r="J63" s="68" t="n">
        <v>0.51</v>
      </c>
      <c r="K63" s="53">
        <f>I63*IF(AND(oil_compact=1,$A63&gt;=compact_year),1-compact_cut,1)</f>
        <v/>
      </c>
      <c r="L63" s="67">
        <f>IF(AND(oil_compact=1,$A63&gt;=compact_year),MAX(J63,compact_price),J63)</f>
        <v/>
      </c>
      <c r="M63" s="53">
        <f>K63*L63</f>
        <v/>
      </c>
      <c r="N63" s="53">
        <f>SUM(B63:F63)+M63</f>
        <v/>
      </c>
      <c r="O63" s="53">
        <f>N63*mining_va</f>
        <v/>
      </c>
      <c r="P63" s="53">
        <f>SUM(B63:F63)*roy_metal*0.9</f>
        <v/>
      </c>
      <c r="Q63" s="53">
        <f>M63*roy_oil</f>
        <v/>
      </c>
      <c r="R63" s="53">
        <f>SUM(B63:E63)*gold_retained+(G63+H63)*conc_gold</f>
        <v/>
      </c>
    </row>
    <row r="64">
      <c r="A64" s="58" t="n">
        <v>1904</v>
      </c>
      <c r="B64" s="52" t="n">
        <v>18.4</v>
      </c>
      <c r="C64" s="52" t="n">
        <v>27.4</v>
      </c>
      <c r="D64" s="52" t="n">
        <v>6</v>
      </c>
      <c r="E64" s="52" t="n">
        <v>13.6</v>
      </c>
      <c r="F64" s="52" t="n">
        <v>84</v>
      </c>
      <c r="G64" s="52" t="n">
        <v>1.8</v>
      </c>
      <c r="H64" s="52" t="n">
        <v>0</v>
      </c>
      <c r="I64" s="52" t="n">
        <v>45</v>
      </c>
      <c r="J64" s="68" t="n">
        <v>0.43</v>
      </c>
      <c r="K64" s="53">
        <f>I64*IF(AND(oil_compact=1,$A64&gt;=compact_year),1-compact_cut,1)</f>
        <v/>
      </c>
      <c r="L64" s="67">
        <f>IF(AND(oil_compact=1,$A64&gt;=compact_year),MAX(J64,compact_price),J64)</f>
        <v/>
      </c>
      <c r="M64" s="53">
        <f>K64*L64</f>
        <v/>
      </c>
      <c r="N64" s="53">
        <f>SUM(B64:F64)+M64</f>
        <v/>
      </c>
      <c r="O64" s="53">
        <f>N64*mining_va</f>
        <v/>
      </c>
      <c r="P64" s="53">
        <f>SUM(B64:F64)*roy_metal*0.9</f>
        <v/>
      </c>
      <c r="Q64" s="53">
        <f>M64*roy_oil</f>
        <v/>
      </c>
      <c r="R64" s="53">
        <f>SUM(B64:E64)*gold_retained+(G64+H64)*conc_gold</f>
        <v/>
      </c>
    </row>
    <row r="65">
      <c r="A65" s="58" t="n">
        <v>1905</v>
      </c>
      <c r="B65" s="52" t="n">
        <v>19</v>
      </c>
      <c r="C65" s="52" t="n">
        <v>28</v>
      </c>
      <c r="D65" s="52" t="n">
        <v>8</v>
      </c>
      <c r="E65" s="52" t="n">
        <v>15</v>
      </c>
      <c r="F65" s="52" t="n">
        <v>90</v>
      </c>
      <c r="G65" s="52" t="n">
        <v>2</v>
      </c>
      <c r="H65" s="52" t="n">
        <v>0</v>
      </c>
      <c r="I65" s="52" t="n">
        <v>50</v>
      </c>
      <c r="J65" s="68" t="n">
        <v>0.35</v>
      </c>
      <c r="K65" s="53">
        <f>I65*IF(AND(oil_compact=1,$A65&gt;=compact_year),1-compact_cut,1)</f>
        <v/>
      </c>
      <c r="L65" s="67">
        <f>IF(AND(oil_compact=1,$A65&gt;=compact_year),MAX(J65,compact_price),J65)</f>
        <v/>
      </c>
      <c r="M65" s="53">
        <f>K65*L65</f>
        <v/>
      </c>
      <c r="N65" s="53">
        <f>SUM(B65:F65)+M65</f>
        <v/>
      </c>
      <c r="O65" s="53">
        <f>N65*mining_va</f>
        <v/>
      </c>
      <c r="P65" s="53">
        <f>SUM(B65:F65)*roy_metal*0.9</f>
        <v/>
      </c>
      <c r="Q65" s="53">
        <f>M65*roy_oil</f>
        <v/>
      </c>
      <c r="R65" s="53">
        <f>SUM(B65:E65)*gold_retained+(G65+H65)*conc_gold</f>
        <v/>
      </c>
    </row>
    <row r="66">
      <c r="A66" s="58" t="n">
        <v>1906</v>
      </c>
      <c r="B66" s="52" t="n">
        <v>19.2</v>
      </c>
      <c r="C66" s="52" t="n">
        <v>27.4</v>
      </c>
      <c r="D66" s="52" t="n">
        <v>11.5</v>
      </c>
      <c r="E66" s="52" t="n">
        <v>22</v>
      </c>
      <c r="F66" s="52" t="n">
        <v>94</v>
      </c>
      <c r="G66" s="52" t="n">
        <v>2.2</v>
      </c>
      <c r="H66" s="52" t="n">
        <v>0</v>
      </c>
      <c r="I66" s="52" t="n">
        <v>55</v>
      </c>
      <c r="J66" s="68" t="n">
        <v>0.38</v>
      </c>
      <c r="K66" s="53">
        <f>I66*IF(AND(oil_compact=1,$A66&gt;=compact_year),1-compact_cut,1)</f>
        <v/>
      </c>
      <c r="L66" s="67">
        <f>IF(AND(oil_compact=1,$A66&gt;=compact_year),MAX(J66,compact_price),J66)</f>
        <v/>
      </c>
      <c r="M66" s="53">
        <f>K66*L66</f>
        <v/>
      </c>
      <c r="N66" s="53">
        <f>SUM(B66:F66)+M66</f>
        <v/>
      </c>
      <c r="O66" s="53">
        <f>N66*mining_va</f>
        <v/>
      </c>
      <c r="P66" s="53">
        <f>SUM(B66:F66)*roy_metal*0.9</f>
        <v/>
      </c>
      <c r="Q66" s="53">
        <f>M66*roy_oil</f>
        <v/>
      </c>
      <c r="R66" s="53">
        <f>SUM(B66:E66)*gold_retained+(G66+H66)*conc_gold</f>
        <v/>
      </c>
    </row>
    <row r="67">
      <c r="A67" s="58" t="n">
        <v>1907</v>
      </c>
      <c r="B67" s="52" t="n">
        <v>19.4</v>
      </c>
      <c r="C67" s="52" t="n">
        <v>26.8</v>
      </c>
      <c r="D67" s="52" t="n">
        <v>15</v>
      </c>
      <c r="E67" s="52" t="n">
        <v>20.5</v>
      </c>
      <c r="F67" s="52" t="n">
        <v>98</v>
      </c>
      <c r="G67" s="52" t="n">
        <v>2.4</v>
      </c>
      <c r="H67" s="52" t="n">
        <v>0</v>
      </c>
      <c r="I67" s="52" t="n">
        <v>60</v>
      </c>
      <c r="J67" s="68" t="n">
        <v>0.41</v>
      </c>
      <c r="K67" s="53">
        <f>I67*IF(AND(oil_compact=1,$A67&gt;=compact_year),1-compact_cut,1)</f>
        <v/>
      </c>
      <c r="L67" s="67">
        <f>IF(AND(oil_compact=1,$A67&gt;=compact_year),MAX(J67,compact_price),J67)</f>
        <v/>
      </c>
      <c r="M67" s="53">
        <f>K67*L67</f>
        <v/>
      </c>
      <c r="N67" s="53">
        <f>SUM(B67:F67)+M67</f>
        <v/>
      </c>
      <c r="O67" s="53">
        <f>N67*mining_va</f>
        <v/>
      </c>
      <c r="P67" s="53">
        <f>SUM(B67:F67)*roy_metal*0.9</f>
        <v/>
      </c>
      <c r="Q67" s="53">
        <f>M67*roy_oil</f>
        <v/>
      </c>
      <c r="R67" s="53">
        <f>SUM(B67:E67)*gold_retained+(G67+H67)*conc_gold</f>
        <v/>
      </c>
    </row>
    <row r="68">
      <c r="A68" s="58" t="n">
        <v>1908</v>
      </c>
      <c r="B68" s="52" t="n">
        <v>19.6</v>
      </c>
      <c r="C68" s="52" t="n">
        <v>26.2</v>
      </c>
      <c r="D68" s="52" t="n">
        <v>16.66666666666667</v>
      </c>
      <c r="E68" s="52" t="n">
        <v>19</v>
      </c>
      <c r="F68" s="52" t="n">
        <v>102</v>
      </c>
      <c r="G68" s="52" t="n">
        <v>2.6</v>
      </c>
      <c r="H68" s="52" t="n">
        <v>0</v>
      </c>
      <c r="I68" s="52" t="n">
        <v>65</v>
      </c>
      <c r="J68" s="68" t="n">
        <v>0.44</v>
      </c>
      <c r="K68" s="53">
        <f>I68*IF(AND(oil_compact=1,$A68&gt;=compact_year),1-compact_cut,1)</f>
        <v/>
      </c>
      <c r="L68" s="67">
        <f>IF(AND(oil_compact=1,$A68&gt;=compact_year),MAX(J68,compact_price),J68)</f>
        <v/>
      </c>
      <c r="M68" s="53">
        <f>K68*L68</f>
        <v/>
      </c>
      <c r="N68" s="53">
        <f>SUM(B68:F68)+M68</f>
        <v/>
      </c>
      <c r="O68" s="53">
        <f>N68*mining_va</f>
        <v/>
      </c>
      <c r="P68" s="53">
        <f>SUM(B68:F68)*roy_metal*0.9</f>
        <v/>
      </c>
      <c r="Q68" s="53">
        <f>M68*roy_oil</f>
        <v/>
      </c>
      <c r="R68" s="53">
        <f>SUM(B68:E68)*gold_retained+(G68+H68)*conc_gold</f>
        <v/>
      </c>
    </row>
    <row r="69">
      <c r="A69" s="58" t="n">
        <v>1909</v>
      </c>
      <c r="B69" s="52" t="n">
        <v>19.8</v>
      </c>
      <c r="C69" s="52" t="n">
        <v>25.6</v>
      </c>
      <c r="D69" s="52" t="n">
        <v>18.33333333333333</v>
      </c>
      <c r="E69" s="52" t="n">
        <v>17.5</v>
      </c>
      <c r="F69" s="52" t="n">
        <v>106</v>
      </c>
      <c r="G69" s="52" t="n">
        <v>2.8</v>
      </c>
      <c r="H69" s="52" t="n">
        <v>0</v>
      </c>
      <c r="I69" s="52" t="n">
        <v>72.5</v>
      </c>
      <c r="J69" s="68" t="n">
        <v>0.47</v>
      </c>
      <c r="K69" s="53">
        <f>I69*IF(AND(oil_compact=1,$A69&gt;=compact_year),1-compact_cut,1)</f>
        <v/>
      </c>
      <c r="L69" s="67">
        <f>IF(AND(oil_compact=1,$A69&gt;=compact_year),MAX(J69,compact_price),J69)</f>
        <v/>
      </c>
      <c r="M69" s="53">
        <f>K69*L69</f>
        <v/>
      </c>
      <c r="N69" s="53">
        <f>SUM(B69:F69)+M69</f>
        <v/>
      </c>
      <c r="O69" s="53">
        <f>N69*mining_va</f>
        <v/>
      </c>
      <c r="P69" s="53">
        <f>SUM(B69:F69)*roy_metal*0.9</f>
        <v/>
      </c>
      <c r="Q69" s="53">
        <f>M69*roy_oil</f>
        <v/>
      </c>
      <c r="R69" s="53">
        <f>SUM(B69:E69)*gold_retained+(G69+H69)*conc_gold</f>
        <v/>
      </c>
    </row>
    <row r="70">
      <c r="A70" s="58" t="n">
        <v>1910</v>
      </c>
      <c r="B70" s="52" t="n">
        <v>20</v>
      </c>
      <c r="C70" s="52" t="n">
        <v>25</v>
      </c>
      <c r="D70" s="52" t="n">
        <v>20</v>
      </c>
      <c r="E70" s="52" t="n">
        <v>16</v>
      </c>
      <c r="F70" s="52" t="n">
        <v>110</v>
      </c>
      <c r="G70" s="52" t="n">
        <v>3</v>
      </c>
      <c r="H70" s="52" t="n">
        <v>0</v>
      </c>
      <c r="I70" s="52" t="n">
        <v>80</v>
      </c>
      <c r="J70" s="68" t="n">
        <v>0.5</v>
      </c>
      <c r="K70" s="53">
        <f>I70*IF(AND(oil_compact=1,$A70&gt;=compact_year),1-compact_cut,1)</f>
        <v/>
      </c>
      <c r="L70" s="67">
        <f>IF(AND(oil_compact=1,$A70&gt;=compact_year),MAX(J70,compact_price),J70)</f>
        <v/>
      </c>
      <c r="M70" s="53">
        <f>K70*L70</f>
        <v/>
      </c>
      <c r="N70" s="53">
        <f>SUM(B70:F70)+M70</f>
        <v/>
      </c>
      <c r="O70" s="53">
        <f>N70*mining_va</f>
        <v/>
      </c>
      <c r="P70" s="53">
        <f>SUM(B70:F70)*roy_metal*0.9</f>
        <v/>
      </c>
      <c r="Q70" s="53">
        <f>M70*roy_oil</f>
        <v/>
      </c>
      <c r="R70" s="53">
        <f>SUM(B70:E70)*gold_retained+(G70+H70)*conc_gold</f>
        <v/>
      </c>
    </row>
    <row r="71">
      <c r="A71" s="58" t="n">
        <v>1911</v>
      </c>
      <c r="B71" s="52" t="n">
        <v>20.4</v>
      </c>
      <c r="C71" s="52" t="n">
        <v>25</v>
      </c>
      <c r="D71" s="52" t="n">
        <v>19</v>
      </c>
      <c r="E71" s="52" t="n">
        <v>16</v>
      </c>
      <c r="F71" s="52" t="n">
        <v>113.3333333333333</v>
      </c>
      <c r="G71" s="52" t="n">
        <v>3.1</v>
      </c>
      <c r="H71" s="52" t="n">
        <v>0</v>
      </c>
      <c r="I71" s="52" t="n">
        <v>86.67</v>
      </c>
      <c r="J71" s="68" t="n">
        <v>0.53</v>
      </c>
      <c r="K71" s="53">
        <f>I71*IF(AND(oil_compact=1,$A71&gt;=compact_year),1-compact_cut,1)</f>
        <v/>
      </c>
      <c r="L71" s="67">
        <f>IF(AND(oil_compact=1,$A71&gt;=compact_year),MAX(J71,compact_price),J71)</f>
        <v/>
      </c>
      <c r="M71" s="53">
        <f>K71*L71</f>
        <v/>
      </c>
      <c r="N71" s="53">
        <f>SUM(B71:F71)+M71</f>
        <v/>
      </c>
      <c r="O71" s="53">
        <f>N71*mining_va</f>
        <v/>
      </c>
      <c r="P71" s="53">
        <f>SUM(B71:F71)*roy_metal*0.9</f>
        <v/>
      </c>
      <c r="Q71" s="53">
        <f>M71*roy_oil</f>
        <v/>
      </c>
      <c r="R71" s="53">
        <f>SUM(B71:E71)*gold_retained+(G71+H71)*conc_gold</f>
        <v/>
      </c>
    </row>
    <row r="72">
      <c r="A72" s="58" t="n">
        <v>1912</v>
      </c>
      <c r="B72" s="52" t="n">
        <v>20.8</v>
      </c>
      <c r="C72" s="52" t="n">
        <v>25</v>
      </c>
      <c r="D72" s="52" t="n">
        <v>18</v>
      </c>
      <c r="E72" s="52" t="n">
        <v>16</v>
      </c>
      <c r="F72" s="52" t="n">
        <v>116.6666666666667</v>
      </c>
      <c r="G72" s="52" t="n">
        <v>3.2</v>
      </c>
      <c r="H72" s="52" t="n">
        <v>0</v>
      </c>
      <c r="I72" s="52" t="n">
        <v>93.33</v>
      </c>
      <c r="J72" s="68" t="n">
        <v>0.57</v>
      </c>
      <c r="K72" s="53">
        <f>I72*IF(AND(oil_compact=1,$A72&gt;=compact_year),1-compact_cut,1)</f>
        <v/>
      </c>
      <c r="L72" s="67">
        <f>IF(AND(oil_compact=1,$A72&gt;=compact_year),MAX(J72,compact_price),J72)</f>
        <v/>
      </c>
      <c r="M72" s="53">
        <f>K72*L72</f>
        <v/>
      </c>
      <c r="N72" s="53">
        <f>SUM(B72:F72)+M72</f>
        <v/>
      </c>
      <c r="O72" s="53">
        <f>N72*mining_va</f>
        <v/>
      </c>
      <c r="P72" s="53">
        <f>SUM(B72:F72)*roy_metal*0.9</f>
        <v/>
      </c>
      <c r="Q72" s="53">
        <f>M72*roy_oil</f>
        <v/>
      </c>
      <c r="R72" s="53">
        <f>SUM(B72:E72)*gold_retained+(G72+H72)*conc_gold</f>
        <v/>
      </c>
    </row>
    <row r="73">
      <c r="A73" s="58" t="n">
        <v>1913</v>
      </c>
      <c r="B73" s="52" t="n">
        <v>21.2</v>
      </c>
      <c r="C73" s="52" t="n">
        <v>25</v>
      </c>
      <c r="D73" s="52" t="n">
        <v>17</v>
      </c>
      <c r="E73" s="52" t="n">
        <v>16</v>
      </c>
      <c r="F73" s="52" t="n">
        <v>120</v>
      </c>
      <c r="G73" s="52" t="n">
        <v>3.3</v>
      </c>
      <c r="H73" s="52" t="n">
        <v>0</v>
      </c>
      <c r="I73" s="52" t="n">
        <v>100</v>
      </c>
      <c r="J73" s="68" t="n">
        <v>0.6</v>
      </c>
      <c r="K73" s="53">
        <f>I73*IF(AND(oil_compact=1,$A73&gt;=compact_year),1-compact_cut,1)</f>
        <v/>
      </c>
      <c r="L73" s="67">
        <f>IF(AND(oil_compact=1,$A73&gt;=compact_year),MAX(J73,compact_price),J73)</f>
        <v/>
      </c>
      <c r="M73" s="53">
        <f>K73*L73</f>
        <v/>
      </c>
      <c r="N73" s="53">
        <f>SUM(B73:F73)+M73</f>
        <v/>
      </c>
      <c r="O73" s="53">
        <f>N73*mining_va</f>
        <v/>
      </c>
      <c r="P73" s="53">
        <f>SUM(B73:F73)*roy_metal*0.9</f>
        <v/>
      </c>
      <c r="Q73" s="53">
        <f>M73*roy_oil</f>
        <v/>
      </c>
      <c r="R73" s="53">
        <f>SUM(B73:E73)*gold_retained+(G73+H73)*conc_gold</f>
        <v/>
      </c>
    </row>
    <row r="74">
      <c r="A74" s="61" t="n">
        <v>1914</v>
      </c>
      <c r="B74" s="52" t="n">
        <v>21.6</v>
      </c>
      <c r="C74" s="52" t="n">
        <v>25</v>
      </c>
      <c r="D74" s="52" t="n">
        <v>15.5</v>
      </c>
      <c r="E74" s="52" t="n">
        <v>16</v>
      </c>
      <c r="F74" s="52" t="n">
        <v>160</v>
      </c>
      <c r="G74" s="52" t="n">
        <v>3.4</v>
      </c>
      <c r="H74" s="52" t="n">
        <v>0</v>
      </c>
      <c r="I74" s="52" t="n">
        <v>102.5</v>
      </c>
      <c r="J74" s="68" t="n">
        <v>0.7</v>
      </c>
      <c r="K74" s="53">
        <f>I74*IF(AND(oil_compact=1,$A74&gt;=compact_year),1-compact_cut,1)</f>
        <v/>
      </c>
      <c r="L74" s="67">
        <f>IF(AND(oil_compact=1,$A74&gt;=compact_year),MAX(J74,compact_price),J74)</f>
        <v/>
      </c>
      <c r="M74" s="53">
        <f>K74*L74</f>
        <v/>
      </c>
      <c r="N74" s="53">
        <f>SUM(B74:F74)+M74</f>
        <v/>
      </c>
      <c r="O74" s="53">
        <f>N74*mining_va</f>
        <v/>
      </c>
      <c r="P74" s="53">
        <f>SUM(B74:F74)*roy_metal*0.9</f>
        <v/>
      </c>
      <c r="Q74" s="53">
        <f>M74*roy_oil</f>
        <v/>
      </c>
      <c r="R74" s="53">
        <f>SUM(B74:E74)*gold_retained+(G74+H74)*conc_gold</f>
        <v/>
      </c>
    </row>
    <row r="75">
      <c r="A75" s="61" t="n">
        <v>1915</v>
      </c>
      <c r="B75" s="52" t="n">
        <v>22</v>
      </c>
      <c r="C75" s="52" t="n">
        <v>25</v>
      </c>
      <c r="D75" s="52" t="n">
        <v>14</v>
      </c>
      <c r="E75" s="52" t="n">
        <v>16</v>
      </c>
      <c r="F75" s="52" t="n">
        <v>200</v>
      </c>
      <c r="G75" s="52" t="n">
        <v>3.5</v>
      </c>
      <c r="H75" s="52" t="n">
        <v>0</v>
      </c>
      <c r="I75" s="52" t="n">
        <v>105</v>
      </c>
      <c r="J75" s="68" t="n">
        <v>0.8</v>
      </c>
      <c r="K75" s="53">
        <f>I75*IF(AND(oil_compact=1,$A75&gt;=compact_year),1-compact_cut,1)</f>
        <v/>
      </c>
      <c r="L75" s="67">
        <f>IF(AND(oil_compact=1,$A75&gt;=compact_year),MAX(J75,compact_price),J75)</f>
        <v/>
      </c>
      <c r="M75" s="53">
        <f>K75*L75</f>
        <v/>
      </c>
      <c r="N75" s="53">
        <f>SUM(B75:F75)+M75</f>
        <v/>
      </c>
      <c r="O75" s="53">
        <f>N75*mining_va</f>
        <v/>
      </c>
      <c r="P75" s="53">
        <f>SUM(B75:F75)*roy_metal*0.9</f>
        <v/>
      </c>
      <c r="Q75" s="53">
        <f>M75*roy_oil</f>
        <v/>
      </c>
      <c r="R75" s="53">
        <f>SUM(B75:E75)*gold_retained+(G75+H75)*conc_gold</f>
        <v/>
      </c>
    </row>
    <row r="76">
      <c r="A76" s="61" t="n">
        <v>1916</v>
      </c>
      <c r="B76" s="52" t="n">
        <v>20.4</v>
      </c>
      <c r="C76" s="52" t="n">
        <v>23.6</v>
      </c>
      <c r="D76" s="52" t="n">
        <v>12.4</v>
      </c>
      <c r="E76" s="52" t="n">
        <v>14.6</v>
      </c>
      <c r="F76" s="52" t="n">
        <v>350</v>
      </c>
      <c r="G76" s="52" t="n">
        <v>3.6</v>
      </c>
      <c r="H76" s="52" t="n">
        <v>0</v>
      </c>
      <c r="I76" s="52" t="n">
        <v>105</v>
      </c>
      <c r="J76" s="68" t="n">
        <v>0.9</v>
      </c>
      <c r="K76" s="53">
        <f>I76*IF(AND(oil_compact=1,$A76&gt;=compact_year),1-compact_cut,1)</f>
        <v/>
      </c>
      <c r="L76" s="67">
        <f>IF(AND(oil_compact=1,$A76&gt;=compact_year),MAX(J76,compact_price),J76)</f>
        <v/>
      </c>
      <c r="M76" s="53">
        <f>K76*L76</f>
        <v/>
      </c>
      <c r="N76" s="53">
        <f>SUM(B76:F76)+M76</f>
        <v/>
      </c>
      <c r="O76" s="53">
        <f>N76*mining_va</f>
        <v/>
      </c>
      <c r="P76" s="53">
        <f>SUM(B76:F76)*roy_metal*0.9</f>
        <v/>
      </c>
      <c r="Q76" s="53">
        <f>M76*roy_oil</f>
        <v/>
      </c>
      <c r="R76" s="53">
        <f>SUM(B76:E76)*gold_retained+(G76+H76)*conc_gold</f>
        <v/>
      </c>
    </row>
    <row r="77">
      <c r="A77" s="61" t="n">
        <v>1917</v>
      </c>
      <c r="B77" s="52" t="n">
        <v>18.8</v>
      </c>
      <c r="C77" s="52" t="n">
        <v>22.2</v>
      </c>
      <c r="D77" s="52" t="n">
        <v>10.8</v>
      </c>
      <c r="E77" s="52" t="n">
        <v>13.2</v>
      </c>
      <c r="F77" s="52" t="n">
        <v>380</v>
      </c>
      <c r="G77" s="52" t="n">
        <v>3.7</v>
      </c>
      <c r="H77" s="52" t="n">
        <v>0</v>
      </c>
      <c r="I77" s="52" t="n">
        <v>105</v>
      </c>
      <c r="J77" s="68" t="n">
        <v>1</v>
      </c>
      <c r="K77" s="53">
        <f>I77*IF(AND(oil_compact=1,$A77&gt;=compact_year),1-compact_cut,1)</f>
        <v/>
      </c>
      <c r="L77" s="67">
        <f>IF(AND(oil_compact=1,$A77&gt;=compact_year),MAX(J77,compact_price),J77)</f>
        <v/>
      </c>
      <c r="M77" s="53">
        <f>K77*L77</f>
        <v/>
      </c>
      <c r="N77" s="53">
        <f>SUM(B77:F77)+M77</f>
        <v/>
      </c>
      <c r="O77" s="53">
        <f>N77*mining_va</f>
        <v/>
      </c>
      <c r="P77" s="53">
        <f>SUM(B77:F77)*roy_metal*0.9</f>
        <v/>
      </c>
      <c r="Q77" s="53">
        <f>M77*roy_oil</f>
        <v/>
      </c>
      <c r="R77" s="53">
        <f>SUM(B77:E77)*gold_retained+(G77+H77)*conc_gold</f>
        <v/>
      </c>
    </row>
    <row r="78">
      <c r="A78" s="61" t="n">
        <v>1918</v>
      </c>
      <c r="B78" s="52" t="n">
        <v>17.2</v>
      </c>
      <c r="C78" s="52" t="n">
        <v>20.8</v>
      </c>
      <c r="D78" s="52" t="n">
        <v>9.199999999999999</v>
      </c>
      <c r="E78" s="52" t="n">
        <v>11.8</v>
      </c>
      <c r="F78" s="52" t="n">
        <v>330</v>
      </c>
      <c r="G78" s="52" t="n">
        <v>3.8</v>
      </c>
      <c r="H78" s="52" t="n">
        <v>0</v>
      </c>
      <c r="I78" s="52" t="n">
        <v>105</v>
      </c>
      <c r="J78" s="68" t="n">
        <v>1.23</v>
      </c>
      <c r="K78" s="53">
        <f>I78*IF(AND(oil_compact=1,$A78&gt;=compact_year),1-compact_cut,1)</f>
        <v/>
      </c>
      <c r="L78" s="67">
        <f>IF(AND(oil_compact=1,$A78&gt;=compact_year),MAX(J78,compact_price),J78)</f>
        <v/>
      </c>
      <c r="M78" s="53">
        <f>K78*L78</f>
        <v/>
      </c>
      <c r="N78" s="53">
        <f>SUM(B78:F78)+M78</f>
        <v/>
      </c>
      <c r="O78" s="53">
        <f>N78*mining_va</f>
        <v/>
      </c>
      <c r="P78" s="53">
        <f>SUM(B78:F78)*roy_metal*0.9</f>
        <v/>
      </c>
      <c r="Q78" s="53">
        <f>M78*roy_oil</f>
        <v/>
      </c>
      <c r="R78" s="53">
        <f>SUM(B78:E78)*gold_retained+(G78+H78)*conc_gold</f>
        <v/>
      </c>
    </row>
    <row r="79">
      <c r="A79" s="61" t="n">
        <v>1919</v>
      </c>
      <c r="B79" s="52" t="n">
        <v>15.6</v>
      </c>
      <c r="C79" s="52" t="n">
        <v>19.4</v>
      </c>
      <c r="D79" s="52" t="n">
        <v>7.6</v>
      </c>
      <c r="E79" s="52" t="n">
        <v>10.4</v>
      </c>
      <c r="F79" s="52" t="n">
        <v>200</v>
      </c>
      <c r="G79" s="52" t="n">
        <v>3.9</v>
      </c>
      <c r="H79" s="52" t="n">
        <v>0</v>
      </c>
      <c r="I79" s="52" t="n">
        <v>110</v>
      </c>
      <c r="J79" s="68" t="n">
        <v>1.47</v>
      </c>
      <c r="K79" s="53">
        <f>I79*IF(AND(oil_compact=1,$A79&gt;=compact_year),1-compact_cut,1)</f>
        <v/>
      </c>
      <c r="L79" s="67">
        <f>IF(AND(oil_compact=1,$A79&gt;=compact_year),MAX(J79,compact_price),J79)</f>
        <v/>
      </c>
      <c r="M79" s="53">
        <f>K79*L79</f>
        <v/>
      </c>
      <c r="N79" s="53">
        <f>SUM(B79:F79)+M79</f>
        <v/>
      </c>
      <c r="O79" s="53">
        <f>N79*mining_va</f>
        <v/>
      </c>
      <c r="P79" s="53">
        <f>SUM(B79:F79)*roy_metal*0.9</f>
        <v/>
      </c>
      <c r="Q79" s="53">
        <f>M79*roy_oil</f>
        <v/>
      </c>
      <c r="R79" s="53">
        <f>SUM(B79:E79)*gold_retained+(G79+H79)*conc_gold</f>
        <v/>
      </c>
    </row>
    <row r="80">
      <c r="A80" s="61" t="n">
        <v>1920</v>
      </c>
      <c r="B80" s="52" t="n">
        <v>14</v>
      </c>
      <c r="C80" s="52" t="n">
        <v>18</v>
      </c>
      <c r="D80" s="52" t="n">
        <v>6</v>
      </c>
      <c r="E80" s="52" t="n">
        <v>9</v>
      </c>
      <c r="F80" s="52" t="n">
        <v>190</v>
      </c>
      <c r="G80" s="52" t="n">
        <v>4</v>
      </c>
      <c r="H80" s="52" t="n">
        <v>0</v>
      </c>
      <c r="I80" s="52" t="n">
        <v>115</v>
      </c>
      <c r="J80" s="68" t="n">
        <v>1.7</v>
      </c>
      <c r="K80" s="53">
        <f>I80*IF(AND(oil_compact=1,$A80&gt;=compact_year),1-compact_cut,1)</f>
        <v/>
      </c>
      <c r="L80" s="67">
        <f>IF(AND(oil_compact=1,$A80&gt;=compact_year),MAX(J80,compact_price),J80)</f>
        <v/>
      </c>
      <c r="M80" s="53">
        <f>K80*L80</f>
        <v/>
      </c>
      <c r="N80" s="53">
        <f>SUM(B80:F80)+M80</f>
        <v/>
      </c>
      <c r="O80" s="53">
        <f>N80*mining_va</f>
        <v/>
      </c>
      <c r="P80" s="53">
        <f>SUM(B80:F80)*roy_metal*0.9</f>
        <v/>
      </c>
      <c r="Q80" s="53">
        <f>M80*roy_oil</f>
        <v/>
      </c>
      <c r="R80" s="53">
        <f>SUM(B80:E80)*gold_retained+(G80+H80)*conc_gold</f>
        <v/>
      </c>
    </row>
    <row r="81">
      <c r="A81" s="61" t="n">
        <v>1921</v>
      </c>
      <c r="B81" s="52" t="n">
        <v>13.8</v>
      </c>
      <c r="C81" s="52" t="n">
        <v>17.77777777777778</v>
      </c>
      <c r="D81" s="52" t="n">
        <v>5.4</v>
      </c>
      <c r="E81" s="52" t="n">
        <v>8.6</v>
      </c>
      <c r="F81" s="52" t="n">
        <v>70</v>
      </c>
      <c r="G81" s="52" t="n">
        <v>4.111111111111111</v>
      </c>
      <c r="H81" s="52" t="n">
        <v>0</v>
      </c>
      <c r="I81" s="52" t="n">
        <v>132.5</v>
      </c>
      <c r="J81" s="68" t="n">
        <v>1.55</v>
      </c>
      <c r="K81" s="53">
        <f>I81*IF(AND(oil_compact=1,$A81&gt;=compact_year),1-compact_cut,1)</f>
        <v/>
      </c>
      <c r="L81" s="67">
        <f>IF(AND(oil_compact=1,$A81&gt;=compact_year),MAX(J81,compact_price),J81)</f>
        <v/>
      </c>
      <c r="M81" s="53">
        <f>K81*L81</f>
        <v/>
      </c>
      <c r="N81" s="53">
        <f>SUM(B81:F81)+M81</f>
        <v/>
      </c>
      <c r="O81" s="53">
        <f>N81*mining_va</f>
        <v/>
      </c>
      <c r="P81" s="53">
        <f>SUM(B81:F81)*roy_metal*0.9</f>
        <v/>
      </c>
      <c r="Q81" s="53">
        <f>M81*roy_oil</f>
        <v/>
      </c>
      <c r="R81" s="53">
        <f>SUM(B81:E81)*gold_retained+(G81+H81)*conc_gold</f>
        <v/>
      </c>
    </row>
    <row r="82">
      <c r="A82" s="61" t="n">
        <v>1922</v>
      </c>
      <c r="B82" s="52" t="n">
        <v>13.6</v>
      </c>
      <c r="C82" s="52" t="n">
        <v>17.55555555555556</v>
      </c>
      <c r="D82" s="52" t="n">
        <v>4.8</v>
      </c>
      <c r="E82" s="52" t="n">
        <v>8.199999999999999</v>
      </c>
      <c r="F82" s="52" t="n">
        <v>120</v>
      </c>
      <c r="G82" s="52" t="n">
        <v>4.222222222222222</v>
      </c>
      <c r="H82" s="52" t="n">
        <v>0</v>
      </c>
      <c r="I82" s="52" t="n">
        <v>150</v>
      </c>
      <c r="J82" s="68" t="n">
        <v>1.4</v>
      </c>
      <c r="K82" s="53">
        <f>I82*IF(AND(oil_compact=1,$A82&gt;=compact_year),1-compact_cut,1)</f>
        <v/>
      </c>
      <c r="L82" s="67">
        <f>IF(AND(oil_compact=1,$A82&gt;=compact_year),MAX(J82,compact_price),J82)</f>
        <v/>
      </c>
      <c r="M82" s="53">
        <f>K82*L82</f>
        <v/>
      </c>
      <c r="N82" s="53">
        <f>SUM(B82:F82)+M82</f>
        <v/>
      </c>
      <c r="O82" s="53">
        <f>N82*mining_va</f>
        <v/>
      </c>
      <c r="P82" s="53">
        <f>SUM(B82:F82)*roy_metal*0.9</f>
        <v/>
      </c>
      <c r="Q82" s="53">
        <f>M82*roy_oil</f>
        <v/>
      </c>
      <c r="R82" s="53">
        <f>SUM(B82:E82)*gold_retained+(G82+H82)*conc_gold</f>
        <v/>
      </c>
    </row>
    <row r="83">
      <c r="A83" s="58" t="n">
        <v>1923</v>
      </c>
      <c r="B83" s="52" t="n">
        <v>13.4</v>
      </c>
      <c r="C83" s="52" t="n">
        <v>17.33333333333333</v>
      </c>
      <c r="D83" s="52" t="n">
        <v>4.2</v>
      </c>
      <c r="E83" s="52" t="n">
        <v>7.8</v>
      </c>
      <c r="F83" s="52" t="n">
        <v>146.6666666666667</v>
      </c>
      <c r="G83" s="52" t="n">
        <v>4.333333333333333</v>
      </c>
      <c r="H83" s="52" t="n">
        <v>0</v>
      </c>
      <c r="I83" s="52" t="n">
        <v>190</v>
      </c>
      <c r="J83" s="68" t="n">
        <v>1.37</v>
      </c>
      <c r="K83" s="53">
        <f>I83*IF(AND(oil_compact=1,$A83&gt;=compact_year),1-compact_cut,1)</f>
        <v/>
      </c>
      <c r="L83" s="67">
        <f>IF(AND(oil_compact=1,$A83&gt;=compact_year),MAX(J83,compact_price),J83)</f>
        <v/>
      </c>
      <c r="M83" s="53">
        <f>K83*L83</f>
        <v/>
      </c>
      <c r="N83" s="53">
        <f>SUM(B83:F83)+M83</f>
        <v/>
      </c>
      <c r="O83" s="53">
        <f>N83*mining_va</f>
        <v/>
      </c>
      <c r="P83" s="53">
        <f>SUM(B83:F83)*roy_metal*0.9</f>
        <v/>
      </c>
      <c r="Q83" s="53">
        <f>M83*roy_oil</f>
        <v/>
      </c>
      <c r="R83" s="53">
        <f>SUM(B83:E83)*gold_retained+(G83+H83)*conc_gold</f>
        <v/>
      </c>
    </row>
    <row r="84">
      <c r="A84" s="58" t="n">
        <v>1924</v>
      </c>
      <c r="B84" s="52" t="n">
        <v>13.2</v>
      </c>
      <c r="C84" s="52" t="n">
        <v>17.11111111111111</v>
      </c>
      <c r="D84" s="52" t="n">
        <v>3.6</v>
      </c>
      <c r="E84" s="52" t="n">
        <v>7.4</v>
      </c>
      <c r="F84" s="52" t="n">
        <v>173.3333333333333</v>
      </c>
      <c r="G84" s="52" t="n">
        <v>4.444444444444445</v>
      </c>
      <c r="H84" s="52" t="n">
        <v>0</v>
      </c>
      <c r="I84" s="52" t="n">
        <v>230</v>
      </c>
      <c r="J84" s="68" t="n">
        <v>1.33</v>
      </c>
      <c r="K84" s="53">
        <f>I84*IF(AND(oil_compact=1,$A84&gt;=compact_year),1-compact_cut,1)</f>
        <v/>
      </c>
      <c r="L84" s="67">
        <f>IF(AND(oil_compact=1,$A84&gt;=compact_year),MAX(J84,compact_price),J84)</f>
        <v/>
      </c>
      <c r="M84" s="53">
        <f>K84*L84</f>
        <v/>
      </c>
      <c r="N84" s="53">
        <f>SUM(B84:F84)+M84</f>
        <v/>
      </c>
      <c r="O84" s="53">
        <f>N84*mining_va</f>
        <v/>
      </c>
      <c r="P84" s="53">
        <f>SUM(B84:F84)*roy_metal*0.9</f>
        <v/>
      </c>
      <c r="Q84" s="53">
        <f>M84*roy_oil</f>
        <v/>
      </c>
      <c r="R84" s="53">
        <f>SUM(B84:E84)*gold_retained+(G84+H84)*conc_gold</f>
        <v/>
      </c>
    </row>
    <row r="85">
      <c r="A85" s="58" t="n">
        <v>1925</v>
      </c>
      <c r="B85" s="52" t="n">
        <v>13</v>
      </c>
      <c r="C85" s="52" t="n">
        <v>16.88888888888889</v>
      </c>
      <c r="D85" s="52" t="n">
        <v>3</v>
      </c>
      <c r="E85" s="52" t="n">
        <v>7</v>
      </c>
      <c r="F85" s="52" t="n">
        <v>200</v>
      </c>
      <c r="G85" s="52" t="n">
        <v>4.555555555555555</v>
      </c>
      <c r="H85" s="52" t="n">
        <v>0</v>
      </c>
      <c r="I85" s="52" t="n">
        <v>230</v>
      </c>
      <c r="J85" s="68" t="n">
        <v>1.3</v>
      </c>
      <c r="K85" s="53">
        <f>I85*IF(AND(oil_compact=1,$A85&gt;=compact_year),1-compact_cut,1)</f>
        <v/>
      </c>
      <c r="L85" s="67">
        <f>IF(AND(oil_compact=1,$A85&gt;=compact_year),MAX(J85,compact_price),J85)</f>
        <v/>
      </c>
      <c r="M85" s="53">
        <f>K85*L85</f>
        <v/>
      </c>
      <c r="N85" s="53">
        <f>SUM(B85:F85)+M85</f>
        <v/>
      </c>
      <c r="O85" s="53">
        <f>N85*mining_va</f>
        <v/>
      </c>
      <c r="P85" s="53">
        <f>SUM(B85:F85)*roy_metal*0.9</f>
        <v/>
      </c>
      <c r="Q85" s="53">
        <f>M85*roy_oil</f>
        <v/>
      </c>
      <c r="R85" s="53">
        <f>SUM(B85:E85)*gold_retained+(G85+H85)*conc_gold</f>
        <v/>
      </c>
    </row>
    <row r="86">
      <c r="A86" s="58" t="n">
        <v>1926</v>
      </c>
      <c r="B86" s="52" t="n">
        <v>12</v>
      </c>
      <c r="C86" s="52" t="n">
        <v>16.66666666666667</v>
      </c>
      <c r="D86" s="52" t="n">
        <v>2.75</v>
      </c>
      <c r="E86" s="52" t="n">
        <v>7.25</v>
      </c>
      <c r="F86" s="52" t="n">
        <v>220</v>
      </c>
      <c r="G86" s="52" t="n">
        <v>4.666666666666667</v>
      </c>
      <c r="H86" s="52" t="n">
        <v>0</v>
      </c>
      <c r="I86" s="52" t="n">
        <v>230</v>
      </c>
      <c r="J86" s="68" t="n">
        <v>1.27</v>
      </c>
      <c r="K86" s="53">
        <f>I86*IF(AND(oil_compact=1,$A86&gt;=compact_year),1-compact_cut,1)</f>
        <v/>
      </c>
      <c r="L86" s="67">
        <f>IF(AND(oil_compact=1,$A86&gt;=compact_year),MAX(J86,compact_price),J86)</f>
        <v/>
      </c>
      <c r="M86" s="53">
        <f>K86*L86</f>
        <v/>
      </c>
      <c r="N86" s="53">
        <f>SUM(B86:F86)+M86</f>
        <v/>
      </c>
      <c r="O86" s="53">
        <f>N86*mining_va</f>
        <v/>
      </c>
      <c r="P86" s="53">
        <f>SUM(B86:F86)*roy_metal*0.9</f>
        <v/>
      </c>
      <c r="Q86" s="53">
        <f>M86*roy_oil</f>
        <v/>
      </c>
      <c r="R86" s="53">
        <f>SUM(B86:E86)*gold_retained+(G86+H86)*conc_gold</f>
        <v/>
      </c>
    </row>
    <row r="87">
      <c r="A87" s="58" t="n">
        <v>1927</v>
      </c>
      <c r="B87" s="52" t="n">
        <v>11</v>
      </c>
      <c r="C87" s="52" t="n">
        <v>16.44444444444444</v>
      </c>
      <c r="D87" s="52" t="n">
        <v>2.5</v>
      </c>
      <c r="E87" s="52" t="n">
        <v>7.5</v>
      </c>
      <c r="F87" s="52" t="n">
        <v>240</v>
      </c>
      <c r="G87" s="52" t="n">
        <v>4.777777777777778</v>
      </c>
      <c r="H87" s="52" t="n">
        <v>0</v>
      </c>
      <c r="I87" s="52" t="n">
        <v>253.33</v>
      </c>
      <c r="J87" s="68" t="n">
        <v>1.25</v>
      </c>
      <c r="K87" s="53">
        <f>I87*IF(AND(oil_compact=1,$A87&gt;=compact_year),1-compact_cut,1)</f>
        <v/>
      </c>
      <c r="L87" s="67">
        <f>IF(AND(oil_compact=1,$A87&gt;=compact_year),MAX(J87,compact_price),J87)</f>
        <v/>
      </c>
      <c r="M87" s="53">
        <f>K87*L87</f>
        <v/>
      </c>
      <c r="N87" s="53">
        <f>SUM(B87:F87)+M87</f>
        <v/>
      </c>
      <c r="O87" s="53">
        <f>N87*mining_va</f>
        <v/>
      </c>
      <c r="P87" s="53">
        <f>SUM(B87:F87)*roy_metal*0.9</f>
        <v/>
      </c>
      <c r="Q87" s="53">
        <f>M87*roy_oil</f>
        <v/>
      </c>
      <c r="R87" s="53">
        <f>SUM(B87:E87)*gold_retained+(G87+H87)*conc_gold</f>
        <v/>
      </c>
    </row>
    <row r="88">
      <c r="A88" s="58" t="n">
        <v>1928</v>
      </c>
      <c r="B88" s="52" t="n">
        <v>10</v>
      </c>
      <c r="C88" s="52" t="n">
        <v>16.22222222222222</v>
      </c>
      <c r="D88" s="52" t="n">
        <v>2.25</v>
      </c>
      <c r="E88" s="52" t="n">
        <v>7.75</v>
      </c>
      <c r="F88" s="52" t="n">
        <v>260</v>
      </c>
      <c r="G88" s="52" t="n">
        <v>4.888888888888889</v>
      </c>
      <c r="H88" s="52" t="n">
        <v>0</v>
      </c>
      <c r="I88" s="52" t="n">
        <v>276.67</v>
      </c>
      <c r="J88" s="68" t="n">
        <v>1.23</v>
      </c>
      <c r="K88" s="53">
        <f>I88*IF(AND(oil_compact=1,$A88&gt;=compact_year),1-compact_cut,1)</f>
        <v/>
      </c>
      <c r="L88" s="67">
        <f>IF(AND(oil_compact=1,$A88&gt;=compact_year),MAX(J88,compact_price),J88)</f>
        <v/>
      </c>
      <c r="M88" s="53">
        <f>K88*L88</f>
        <v/>
      </c>
      <c r="N88" s="53">
        <f>SUM(B88:F88)+M88</f>
        <v/>
      </c>
      <c r="O88" s="53">
        <f>N88*mining_va</f>
        <v/>
      </c>
      <c r="P88" s="53">
        <f>SUM(B88:F88)*roy_metal*0.9</f>
        <v/>
      </c>
      <c r="Q88" s="53">
        <f>M88*roy_oil</f>
        <v/>
      </c>
      <c r="R88" s="53">
        <f>SUM(B88:E88)*gold_retained+(G88+H88)*conc_gold</f>
        <v/>
      </c>
    </row>
    <row r="89">
      <c r="A89" s="58" t="n">
        <v>1929</v>
      </c>
      <c r="B89" s="52" t="n">
        <v>9</v>
      </c>
      <c r="C89" s="52" t="n">
        <v>16</v>
      </c>
      <c r="D89" s="52" t="n">
        <v>2</v>
      </c>
      <c r="E89" s="52" t="n">
        <v>8</v>
      </c>
      <c r="F89" s="52" t="n">
        <v>280</v>
      </c>
      <c r="G89" s="52" t="n">
        <v>5</v>
      </c>
      <c r="H89" s="52" t="n">
        <v>0.5</v>
      </c>
      <c r="I89" s="52" t="n">
        <v>300</v>
      </c>
      <c r="J89" s="68" t="n">
        <v>1.2</v>
      </c>
      <c r="K89" s="53">
        <f>I89*IF(AND(oil_compact=1,$A89&gt;=compact_year),1-compact_cut,1)</f>
        <v/>
      </c>
      <c r="L89" s="67">
        <f>IF(AND(oil_compact=1,$A89&gt;=compact_year),MAX(J89,compact_price),J89)</f>
        <v/>
      </c>
      <c r="M89" s="53">
        <f>K89*L89</f>
        <v/>
      </c>
      <c r="N89" s="53">
        <f>SUM(B89:F89)+M89</f>
        <v/>
      </c>
      <c r="O89" s="53">
        <f>N89*mining_va</f>
        <v/>
      </c>
      <c r="P89" s="53">
        <f>SUM(B89:F89)*roy_metal*0.9</f>
        <v/>
      </c>
      <c r="Q89" s="53">
        <f>M89*roy_oil</f>
        <v/>
      </c>
      <c r="R89" s="53">
        <f>SUM(B89:E89)*gold_retained+(G89+H89)*conc_gold</f>
        <v/>
      </c>
    </row>
    <row r="90">
      <c r="A90" s="58" t="n">
        <v>1930</v>
      </c>
      <c r="B90" s="52" t="n">
        <v>9.666666666666666</v>
      </c>
      <c r="C90" s="52" t="n">
        <v>14</v>
      </c>
      <c r="D90" s="52" t="n">
        <v>1.666666666666667</v>
      </c>
      <c r="E90" s="52" t="n">
        <v>8.666666666666666</v>
      </c>
      <c r="F90" s="52" t="n">
        <v>150</v>
      </c>
      <c r="G90" s="52" t="n">
        <v>5.666666666666667</v>
      </c>
      <c r="H90" s="52" t="n">
        <v>2.5</v>
      </c>
      <c r="I90" s="52" t="n">
        <v>260</v>
      </c>
      <c r="J90" s="68" t="n">
        <v>1.1</v>
      </c>
      <c r="K90" s="53">
        <f>I90*IF(AND(oil_compact=1,$A90&gt;=compact_year),1-compact_cut,1)</f>
        <v/>
      </c>
      <c r="L90" s="67">
        <f>IF(AND(oil_compact=1,$A90&gt;=compact_year),MAX(J90,compact_price),J90)</f>
        <v/>
      </c>
      <c r="M90" s="53">
        <f>K90*L90</f>
        <v/>
      </c>
      <c r="N90" s="53">
        <f>SUM(B90:F90)+M90</f>
        <v/>
      </c>
      <c r="O90" s="53">
        <f>N90*mining_va</f>
        <v/>
      </c>
      <c r="P90" s="53">
        <f>SUM(B90:F90)*roy_metal*0.9</f>
        <v/>
      </c>
      <c r="Q90" s="53">
        <f>M90*roy_oil</f>
        <v/>
      </c>
      <c r="R90" s="53">
        <f>SUM(B90:E90)*gold_retained+(G90+H90)*conc_gold</f>
        <v/>
      </c>
    </row>
    <row r="91">
      <c r="A91" s="58" t="n">
        <v>1931</v>
      </c>
      <c r="B91" s="52" t="n">
        <v>10.33333333333333</v>
      </c>
      <c r="C91" s="52" t="n">
        <v>12</v>
      </c>
      <c r="D91" s="52" t="n">
        <v>1.333333333333333</v>
      </c>
      <c r="E91" s="52" t="n">
        <v>9.333333333333334</v>
      </c>
      <c r="F91" s="52" t="n">
        <v>80</v>
      </c>
      <c r="G91" s="52" t="n">
        <v>6.333333333333333</v>
      </c>
      <c r="H91" s="52" t="n">
        <v>7</v>
      </c>
      <c r="I91" s="52" t="n">
        <v>220</v>
      </c>
      <c r="J91" s="68" t="n">
        <v>0.7</v>
      </c>
      <c r="K91" s="53">
        <f>I91*IF(AND(oil_compact=1,$A91&gt;=compact_year),1-compact_cut,1)</f>
        <v/>
      </c>
      <c r="L91" s="67">
        <f>IF(AND(oil_compact=1,$A91&gt;=compact_year),MAX(J91,compact_price),J91)</f>
        <v/>
      </c>
      <c r="M91" s="53">
        <f>K91*L91</f>
        <v/>
      </c>
      <c r="N91" s="53">
        <f>SUM(B91:F91)+M91</f>
        <v/>
      </c>
      <c r="O91" s="53">
        <f>N91*mining_va</f>
        <v/>
      </c>
      <c r="P91" s="53">
        <f>SUM(B91:F91)*roy_metal*0.9</f>
        <v/>
      </c>
      <c r="Q91" s="53">
        <f>M91*roy_oil</f>
        <v/>
      </c>
      <c r="R91" s="53">
        <f>SUM(B91:E91)*gold_retained+(G91+H91)*conc_gold</f>
        <v/>
      </c>
    </row>
    <row r="92">
      <c r="A92" s="58" t="n">
        <v>1932</v>
      </c>
      <c r="B92" s="52" t="n">
        <v>11</v>
      </c>
      <c r="C92" s="52" t="n">
        <v>10</v>
      </c>
      <c r="D92" s="52" t="n">
        <v>1</v>
      </c>
      <c r="E92" s="52" t="n">
        <v>10</v>
      </c>
      <c r="F92" s="52" t="n">
        <v>40</v>
      </c>
      <c r="G92" s="52" t="n">
        <v>7</v>
      </c>
      <c r="H92" s="52" t="n">
        <v>14</v>
      </c>
      <c r="I92" s="52" t="n">
        <v>180</v>
      </c>
      <c r="J92" s="68" t="n">
        <v>0.7</v>
      </c>
      <c r="K92" s="53">
        <f>I92*IF(AND(oil_compact=1,$A92&gt;=compact_year),1-compact_cut,1)</f>
        <v/>
      </c>
      <c r="L92" s="67">
        <f>IF(AND(oil_compact=1,$A92&gt;=compact_year),MAX(J92,compact_price),J92)</f>
        <v/>
      </c>
      <c r="M92" s="53">
        <f>K92*L92</f>
        <v/>
      </c>
      <c r="N92" s="53">
        <f>SUM(B92:F92)+M92</f>
        <v/>
      </c>
      <c r="O92" s="53">
        <f>N92*mining_va</f>
        <v/>
      </c>
      <c r="P92" s="53">
        <f>SUM(B92:F92)*roy_metal*0.9</f>
        <v/>
      </c>
      <c r="Q92" s="53">
        <f>M92*roy_oil</f>
        <v/>
      </c>
      <c r="R92" s="53">
        <f>SUM(B92:E92)*gold_retained+(G92+H92)*conc_gold</f>
        <v/>
      </c>
    </row>
  </sheetData>
  <mergeCells count="5">
    <mergeCell ref="B4:F4"/>
    <mergeCell ref="G4:H4"/>
    <mergeCell ref="I4:M4"/>
    <mergeCell ref="P4:R4"/>
    <mergeCell ref="N4:O4"/>
  </mergeCell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BF8F00"/>
    <outlinePr summaryBelow="1" summaryRight="1"/>
    <pageSetUpPr fitToPage="1"/>
  </sheetPr>
  <dimension ref="A1:AC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s>
  <sheetData>
    <row r="1">
      <c r="A1" s="18" t="inlineStr">
        <is>
          <t>Budget</t>
        </is>
      </c>
    </row>
    <row r="2">
      <c r="A2" s="2" t="inlineStr">
        <is>
          <t>Receipts and spending of the Pacifican Treasury (the confederal/imperial budget), $m.</t>
        </is>
      </c>
    </row>
    <row r="3">
      <c r="A3" s="19" t="inlineStr">
        <is>
          <t>Years run down the page. Blue = input you can change · black = formula · green = link to another sheet. Hover a column heading for its definition.</t>
        </is>
      </c>
    </row>
    <row r="4">
      <c r="B4" s="56" t="inlineStr">
        <is>
          <t>Receipts, $m</t>
        </is>
      </c>
      <c r="N4" s="56" t="inlineStr">
        <is>
          <t>Spending, $m</t>
        </is>
      </c>
      <c r="Z4" s="56" t="inlineStr">
        <is>
          <t>Result</t>
        </is>
      </c>
    </row>
    <row r="5" ht="54" customHeight="1">
      <c r="A5" s="57" t="inlineStr">
        <is>
          <t>Year</t>
        </is>
      </c>
      <c r="B5" s="6" t="inlineStr">
        <is>
          <t>Customs</t>
        </is>
      </c>
      <c r="C5" s="6" t="inlineStr">
        <is>
          <t>Domestic taxes</t>
        </is>
      </c>
      <c r="D5" s="6" t="inlineStr">
        <is>
          <t>Mineral &amp; oil royalties</t>
        </is>
      </c>
      <c r="E5" s="6" t="inlineStr">
        <is>
          <t>Canal net income</t>
        </is>
      </c>
      <c r="F5" s="6" t="inlineStr">
        <is>
          <t>State enterprises</t>
        </is>
      </c>
      <c r="G5" s="6" t="inlineStr">
        <is>
          <t>Other receipts (Events)</t>
        </is>
      </c>
      <c r="H5" s="6" t="inlineStr">
        <is>
          <t>Interest on loans abroad</t>
        </is>
      </c>
      <c r="I5" s="6" t="inlineStr">
        <is>
          <t>Reserve Fund income</t>
        </is>
      </c>
      <c r="J5" s="6" t="inlineStr">
        <is>
          <t>Guest-worker levy</t>
        </is>
      </c>
      <c r="K5" s="6" t="inlineStr">
        <is>
          <t>Crown share in the national champions</t>
        </is>
      </c>
      <c r="L5" s="6" t="inlineStr">
        <is>
          <t>Tax on income from abroad</t>
        </is>
      </c>
      <c r="M5" s="6" t="inlineStr">
        <is>
          <t>Total receipts</t>
        </is>
      </c>
      <c r="N5" s="6" t="inlineStr">
        <is>
          <t>Army</t>
        </is>
      </c>
      <c r="O5" s="6" t="inlineStr">
        <is>
          <t>Navy</t>
        </is>
      </c>
      <c r="P5" s="6" t="inlineStr">
        <is>
          <t>War &amp; operations (Events)</t>
        </is>
      </c>
      <c r="Q5" s="6" t="inlineStr">
        <is>
          <t>Civil services</t>
        </is>
      </c>
      <c r="R5" s="6" t="inlineStr">
        <is>
          <t>Public works</t>
        </is>
      </c>
      <c r="S5" s="6" t="inlineStr">
        <is>
          <t>Technical programmes</t>
        </is>
      </c>
      <c r="T5" s="6" t="inlineStr">
        <is>
          <t>Settlement &amp; immigration</t>
        </is>
      </c>
      <c r="U5" s="6" t="inlineStr">
        <is>
          <t>Purchases &amp; canal (Events)</t>
        </is>
      </c>
      <c r="V5" s="6" t="inlineStr">
        <is>
          <t>Subsidies, guarantees &amp; relief (Events)</t>
        </is>
      </c>
      <c r="W5" s="6" t="inlineStr">
        <is>
          <t>Bank rescues &amp; capital (Events)</t>
        </is>
      </c>
      <c r="X5" s="6" t="inlineStr">
        <is>
          <t>Debt interest</t>
        </is>
      </c>
      <c r="Y5" s="6" t="inlineStr">
        <is>
          <t>Total spending</t>
        </is>
      </c>
      <c r="Z5" s="6" t="inlineStr">
        <is>
          <t>Budget balance</t>
        </is>
      </c>
      <c r="AA5" s="6" t="inlineStr">
        <is>
          <t>Receipts / GDP</t>
        </is>
      </c>
      <c r="AB5" s="6" t="inlineStr">
        <is>
          <t>Spending / GDP</t>
        </is>
      </c>
      <c r="AC5" s="6" t="inlineStr">
        <is>
          <t>Defence &amp; overseas / GDP</t>
        </is>
      </c>
    </row>
    <row r="6">
      <c r="A6" s="58" t="n">
        <v>1846</v>
      </c>
      <c r="B6" s="53">
        <f>Economy!O6*Paths!N6*Paths!O6*cust_coll</f>
        <v/>
      </c>
      <c r="C6" s="53">
        <f>(Economy!J6+Economy!L6+Economy!M6+Economy!N6)*Paths!P6*Paths!Q6</f>
        <v/>
      </c>
      <c r="D6" s="53">
        <f>Resources!P6+Resources!Q6</f>
        <v/>
      </c>
      <c r="E6" s="53">
        <f>Paths!S6*(1-canal_opcost)*canal_share</f>
        <v/>
      </c>
      <c r="F6" s="53">
        <f>Economy!O6*Paths!R6</f>
        <v/>
      </c>
      <c r="G6" s="53">
        <f>SUMPRODUCT((Events!$B$6:$B$158&lt;=$A6)*(Events!$C$6:$C$158&gt;=$A6)*(Events!$E$6:$E$158="Receipt")*Events!$H$6:$H$158)</f>
        <v/>
      </c>
      <c r="H6" s="69">
        <f>Loans!Y6</f>
        <v/>
      </c>
      <c r="I6" s="53">
        <f>0</f>
        <v/>
      </c>
      <c r="J6" s="69">
        <f>Labour!Q6</f>
        <v/>
      </c>
      <c r="K6" s="69">
        <f>Champions!BD6</f>
        <v/>
      </c>
      <c r="L6" s="69">
        <f>Abroad!N6</f>
        <v/>
      </c>
      <c r="M6" s="53">
        <f>SUM(B6:L6)</f>
        <v/>
      </c>
      <c r="N6" s="53">
        <f>(Paths!W6*army_cost+Paths!X6*res_cost)*Economy!H6/1000000</f>
        <v/>
      </c>
      <c r="O6" s="69">
        <f>Navy!Y6</f>
        <v/>
      </c>
      <c r="P6" s="53">
        <f>SUMPRODUCT((Events!$B$6:$B$158&lt;=$A6)*(Events!$C$6:$C$158&gt;=$A6)*(Events!$E$6:$E$158="War &amp; operations")*Events!$H$6:$H$158)</f>
        <v/>
      </c>
      <c r="Q6" s="53">
        <f>Economy!O6*Paths!T6</f>
        <v/>
      </c>
      <c r="R6" s="53">
        <f>Economy!O6*Paths!U6</f>
        <v/>
      </c>
      <c r="S6" s="53">
        <f>Economy!O6*Paths!V6+SUMPRODUCT((Events!$B$6:$B$158&lt;=$A6)*(Events!$C$6:$C$158&gt;=$A6)*(Events!$E$6:$E$158="Programme")*Events!$H$6:$H$158)+SUMPRODUCT((Events!$B$6:$B$158&lt;=$A6)*(Events!$C$6:$C$158&gt;=$A6)*(Events!$E$6:$E$158="Investment")*Events!$H$6:$H$158)</f>
        <v/>
      </c>
      <c r="T6" s="53">
        <f>(People!T6*assist_cost+Labour!AD6*talent_cost+Labour!L6*gw_admin)*Economy!H6/1000000</f>
        <v/>
      </c>
      <c r="U6" s="53">
        <f>SUMPRODUCT((Events!$B$6:$B$158&lt;=$A6)*(Events!$C$6:$C$158&gt;=$A6)*(Events!$E$6:$E$158="Purchase")*Events!$H$6:$H$158)</f>
        <v/>
      </c>
      <c r="V6" s="53">
        <f>SUMPRODUCT((Events!$B$6:$B$158&lt;=$A6)*(Events!$C$6:$C$158&gt;=$A6)*(Events!$E$6:$E$158="Subsidy &amp; guarantee")*Events!$H$6:$H$158)+SUMPRODUCT((Events!$B$6:$B$158&lt;=$A6)*(Events!$C$6:$C$158&gt;=$A6)*(Events!$E$6:$E$158="Relief")*Events!$H$6:$H$158)</f>
        <v/>
      </c>
      <c r="W6" s="53">
        <f>SUMPRODUCT((Events!$B$6:$B$158&lt;=$A6)*(Events!$C$6:$C$158&gt;=$A6)*(Events!$E$6:$E$158="Bank rescue &amp; capital")*Events!$H$6:$H$158)</f>
        <v/>
      </c>
      <c r="X6" s="53">
        <f>0</f>
        <v/>
      </c>
      <c r="Y6" s="53">
        <f>SUM(N6:X6)</f>
        <v/>
      </c>
      <c r="Z6" s="53">
        <f>M6-Y6</f>
        <v/>
      </c>
      <c r="AA6" s="63">
        <f>M6/Economy!O6</f>
        <v/>
      </c>
      <c r="AB6" s="63">
        <f>Y6/Economy!O6</f>
        <v/>
      </c>
      <c r="AC6" s="63">
        <f>(N6+O6+P6)/Economy!O6</f>
        <v/>
      </c>
    </row>
    <row r="7">
      <c r="A7" s="58" t="n">
        <v>1847</v>
      </c>
      <c r="B7" s="53">
        <f>Economy!O7*Paths!N7*Paths!O7*cust_coll</f>
        <v/>
      </c>
      <c r="C7" s="53">
        <f>(Economy!J7+Economy!L7+Economy!M7+Economy!N7)*Paths!P7*Paths!Q7</f>
        <v/>
      </c>
      <c r="D7" s="53">
        <f>Resources!P7+Resources!Q7</f>
        <v/>
      </c>
      <c r="E7" s="53">
        <f>Paths!S7*(1-canal_opcost)*canal_share</f>
        <v/>
      </c>
      <c r="F7" s="53">
        <f>Economy!O7*Paths!R7</f>
        <v/>
      </c>
      <c r="G7" s="53">
        <f>SUMPRODUCT((Events!$B$6:$B$158&lt;=$A7)*(Events!$C$6:$C$158&gt;=$A7)*(Events!$E$6:$E$158="Receipt")*Events!$H$6:$H$158)</f>
        <v/>
      </c>
      <c r="H7" s="69">
        <f>Loans!Y7</f>
        <v/>
      </c>
      <c r="I7" s="53">
        <f>'Debt &amp; cash'!S6*fund_yield</f>
        <v/>
      </c>
      <c r="J7" s="69">
        <f>Labour!Q7</f>
        <v/>
      </c>
      <c r="K7" s="69">
        <f>Champions!BD7</f>
        <v/>
      </c>
      <c r="L7" s="69">
        <f>Abroad!N7</f>
        <v/>
      </c>
      <c r="M7" s="53">
        <f>SUM(B7:L7)</f>
        <v/>
      </c>
      <c r="N7" s="53">
        <f>(Paths!W7*army_cost+Paths!X7*res_cost)*Economy!H7/1000000</f>
        <v/>
      </c>
      <c r="O7" s="69">
        <f>Navy!Y7</f>
        <v/>
      </c>
      <c r="P7" s="53">
        <f>SUMPRODUCT((Events!$B$6:$B$158&lt;=$A7)*(Events!$C$6:$C$158&gt;=$A7)*(Events!$E$6:$E$158="War &amp; operations")*Events!$H$6:$H$158)</f>
        <v/>
      </c>
      <c r="Q7" s="53">
        <f>Economy!O7*Paths!T7</f>
        <v/>
      </c>
      <c r="R7" s="53">
        <f>Economy!O7*Paths!U7</f>
        <v/>
      </c>
      <c r="S7" s="53">
        <f>Economy!O7*Paths!V7+SUMPRODUCT((Events!$B$6:$B$158&lt;=$A7)*(Events!$C$6:$C$158&gt;=$A7)*(Events!$E$6:$E$158="Programme")*Events!$H$6:$H$158)+SUMPRODUCT((Events!$B$6:$B$158&lt;=$A7)*(Events!$C$6:$C$158&gt;=$A7)*(Events!$E$6:$E$158="Investment")*Events!$H$6:$H$158)</f>
        <v/>
      </c>
      <c r="T7" s="53">
        <f>(People!T7*assist_cost+Labour!AD7*talent_cost+Labour!L7*gw_admin)*Economy!H7/1000000</f>
        <v/>
      </c>
      <c r="U7" s="53">
        <f>SUMPRODUCT((Events!$B$6:$B$158&lt;=$A7)*(Events!$C$6:$C$158&gt;=$A7)*(Events!$E$6:$E$158="Purchase")*Events!$H$6:$H$158)</f>
        <v/>
      </c>
      <c r="V7" s="53">
        <f>SUMPRODUCT((Events!$B$6:$B$158&lt;=$A7)*(Events!$C$6:$C$158&gt;=$A7)*(Events!$E$6:$E$158="Subsidy &amp; guarantee")*Events!$H$6:$H$158)+SUMPRODUCT((Events!$B$6:$B$158&lt;=$A7)*(Events!$C$6:$C$158&gt;=$A7)*(Events!$E$6:$E$158="Relief")*Events!$H$6:$H$158)</f>
        <v/>
      </c>
      <c r="W7" s="53">
        <f>SUMPRODUCT((Events!$B$6:$B$158&lt;=$A7)*(Events!$C$6:$C$158&gt;=$A7)*(Events!$E$6:$E$158="Bank rescue &amp; capital")*Events!$H$6:$H$158)</f>
        <v/>
      </c>
      <c r="X7" s="53">
        <f>'Debt &amp; cash'!R6*Paths!Y7</f>
        <v/>
      </c>
      <c r="Y7" s="53">
        <f>SUM(N7:X7)</f>
        <v/>
      </c>
      <c r="Z7" s="53">
        <f>M7-Y7</f>
        <v/>
      </c>
      <c r="AA7" s="63">
        <f>M7/Economy!O7</f>
        <v/>
      </c>
      <c r="AB7" s="63">
        <f>Y7/Economy!O7</f>
        <v/>
      </c>
      <c r="AC7" s="63">
        <f>(N7+O7+P7)/Economy!O7</f>
        <v/>
      </c>
    </row>
    <row r="8">
      <c r="A8" s="58" t="n">
        <v>1848</v>
      </c>
      <c r="B8" s="53">
        <f>Economy!O8*Paths!N8*Paths!O8*cust_coll</f>
        <v/>
      </c>
      <c r="C8" s="53">
        <f>(Economy!J8+Economy!L8+Economy!M8+Economy!N8)*Paths!P8*Paths!Q8</f>
        <v/>
      </c>
      <c r="D8" s="53">
        <f>Resources!P8+Resources!Q8</f>
        <v/>
      </c>
      <c r="E8" s="53">
        <f>Paths!S8*(1-canal_opcost)*canal_share</f>
        <v/>
      </c>
      <c r="F8" s="53">
        <f>Economy!O8*Paths!R8</f>
        <v/>
      </c>
      <c r="G8" s="53">
        <f>SUMPRODUCT((Events!$B$6:$B$158&lt;=$A8)*(Events!$C$6:$C$158&gt;=$A8)*(Events!$E$6:$E$158="Receipt")*Events!$H$6:$H$158)</f>
        <v/>
      </c>
      <c r="H8" s="69">
        <f>Loans!Y8</f>
        <v/>
      </c>
      <c r="I8" s="53">
        <f>'Debt &amp; cash'!S7*fund_yield</f>
        <v/>
      </c>
      <c r="J8" s="69">
        <f>Labour!Q8</f>
        <v/>
      </c>
      <c r="K8" s="69">
        <f>Champions!BD8</f>
        <v/>
      </c>
      <c r="L8" s="69">
        <f>Abroad!N8</f>
        <v/>
      </c>
      <c r="M8" s="53">
        <f>SUM(B8:L8)</f>
        <v/>
      </c>
      <c r="N8" s="53">
        <f>(Paths!W8*army_cost+Paths!X8*res_cost)*Economy!H8/1000000</f>
        <v/>
      </c>
      <c r="O8" s="69">
        <f>Navy!Y8</f>
        <v/>
      </c>
      <c r="P8" s="53">
        <f>SUMPRODUCT((Events!$B$6:$B$158&lt;=$A8)*(Events!$C$6:$C$158&gt;=$A8)*(Events!$E$6:$E$158="War &amp; operations")*Events!$H$6:$H$158)</f>
        <v/>
      </c>
      <c r="Q8" s="53">
        <f>Economy!O8*Paths!T8</f>
        <v/>
      </c>
      <c r="R8" s="53">
        <f>Economy!O8*Paths!U8</f>
        <v/>
      </c>
      <c r="S8" s="53">
        <f>Economy!O8*Paths!V8+SUMPRODUCT((Events!$B$6:$B$158&lt;=$A8)*(Events!$C$6:$C$158&gt;=$A8)*(Events!$E$6:$E$158="Programme")*Events!$H$6:$H$158)+SUMPRODUCT((Events!$B$6:$B$158&lt;=$A8)*(Events!$C$6:$C$158&gt;=$A8)*(Events!$E$6:$E$158="Investment")*Events!$H$6:$H$158)</f>
        <v/>
      </c>
      <c r="T8" s="53">
        <f>(People!T8*assist_cost+Labour!AD8*talent_cost+Labour!L8*gw_admin)*Economy!H8/1000000</f>
        <v/>
      </c>
      <c r="U8" s="53">
        <f>SUMPRODUCT((Events!$B$6:$B$158&lt;=$A8)*(Events!$C$6:$C$158&gt;=$A8)*(Events!$E$6:$E$158="Purchase")*Events!$H$6:$H$158)</f>
        <v/>
      </c>
      <c r="V8" s="53">
        <f>SUMPRODUCT((Events!$B$6:$B$158&lt;=$A8)*(Events!$C$6:$C$158&gt;=$A8)*(Events!$E$6:$E$158="Subsidy &amp; guarantee")*Events!$H$6:$H$158)+SUMPRODUCT((Events!$B$6:$B$158&lt;=$A8)*(Events!$C$6:$C$158&gt;=$A8)*(Events!$E$6:$E$158="Relief")*Events!$H$6:$H$158)</f>
        <v/>
      </c>
      <c r="W8" s="53">
        <f>SUMPRODUCT((Events!$B$6:$B$158&lt;=$A8)*(Events!$C$6:$C$158&gt;=$A8)*(Events!$E$6:$E$158="Bank rescue &amp; capital")*Events!$H$6:$H$158)</f>
        <v/>
      </c>
      <c r="X8" s="53">
        <f>'Debt &amp; cash'!R7*Paths!Y8</f>
        <v/>
      </c>
      <c r="Y8" s="53">
        <f>SUM(N8:X8)</f>
        <v/>
      </c>
      <c r="Z8" s="53">
        <f>M8-Y8</f>
        <v/>
      </c>
      <c r="AA8" s="63">
        <f>M8/Economy!O8</f>
        <v/>
      </c>
      <c r="AB8" s="63">
        <f>Y8/Economy!O8</f>
        <v/>
      </c>
      <c r="AC8" s="63">
        <f>(N8+O8+P8)/Economy!O8</f>
        <v/>
      </c>
    </row>
    <row r="9">
      <c r="A9" s="58" t="n">
        <v>1849</v>
      </c>
      <c r="B9" s="53">
        <f>Economy!O9*Paths!N9*Paths!O9*cust_coll</f>
        <v/>
      </c>
      <c r="C9" s="53">
        <f>(Economy!J9+Economy!L9+Economy!M9+Economy!N9)*Paths!P9*Paths!Q9</f>
        <v/>
      </c>
      <c r="D9" s="53">
        <f>Resources!P9+Resources!Q9</f>
        <v/>
      </c>
      <c r="E9" s="53">
        <f>Paths!S9*(1-canal_opcost)*canal_share</f>
        <v/>
      </c>
      <c r="F9" s="53">
        <f>Economy!O9*Paths!R9</f>
        <v/>
      </c>
      <c r="G9" s="53">
        <f>SUMPRODUCT((Events!$B$6:$B$158&lt;=$A9)*(Events!$C$6:$C$158&gt;=$A9)*(Events!$E$6:$E$158="Receipt")*Events!$H$6:$H$158)</f>
        <v/>
      </c>
      <c r="H9" s="69">
        <f>Loans!Y9</f>
        <v/>
      </c>
      <c r="I9" s="53">
        <f>'Debt &amp; cash'!S8*fund_yield</f>
        <v/>
      </c>
      <c r="J9" s="69">
        <f>Labour!Q9</f>
        <v/>
      </c>
      <c r="K9" s="69">
        <f>Champions!BD9</f>
        <v/>
      </c>
      <c r="L9" s="69">
        <f>Abroad!N9</f>
        <v/>
      </c>
      <c r="M9" s="53">
        <f>SUM(B9:L9)</f>
        <v/>
      </c>
      <c r="N9" s="53">
        <f>(Paths!W9*army_cost+Paths!X9*res_cost)*Economy!H9/1000000</f>
        <v/>
      </c>
      <c r="O9" s="69">
        <f>Navy!Y9</f>
        <v/>
      </c>
      <c r="P9" s="53">
        <f>SUMPRODUCT((Events!$B$6:$B$158&lt;=$A9)*(Events!$C$6:$C$158&gt;=$A9)*(Events!$E$6:$E$158="War &amp; operations")*Events!$H$6:$H$158)</f>
        <v/>
      </c>
      <c r="Q9" s="53">
        <f>Economy!O9*Paths!T9</f>
        <v/>
      </c>
      <c r="R9" s="53">
        <f>Economy!O9*Paths!U9</f>
        <v/>
      </c>
      <c r="S9" s="53">
        <f>Economy!O9*Paths!V9+SUMPRODUCT((Events!$B$6:$B$158&lt;=$A9)*(Events!$C$6:$C$158&gt;=$A9)*(Events!$E$6:$E$158="Programme")*Events!$H$6:$H$158)+SUMPRODUCT((Events!$B$6:$B$158&lt;=$A9)*(Events!$C$6:$C$158&gt;=$A9)*(Events!$E$6:$E$158="Investment")*Events!$H$6:$H$158)</f>
        <v/>
      </c>
      <c r="T9" s="53">
        <f>(People!T9*assist_cost+Labour!AD9*talent_cost+Labour!L9*gw_admin)*Economy!H9/1000000</f>
        <v/>
      </c>
      <c r="U9" s="53">
        <f>SUMPRODUCT((Events!$B$6:$B$158&lt;=$A9)*(Events!$C$6:$C$158&gt;=$A9)*(Events!$E$6:$E$158="Purchase")*Events!$H$6:$H$158)</f>
        <v/>
      </c>
      <c r="V9" s="53">
        <f>SUMPRODUCT((Events!$B$6:$B$158&lt;=$A9)*(Events!$C$6:$C$158&gt;=$A9)*(Events!$E$6:$E$158="Subsidy &amp; guarantee")*Events!$H$6:$H$158)+SUMPRODUCT((Events!$B$6:$B$158&lt;=$A9)*(Events!$C$6:$C$158&gt;=$A9)*(Events!$E$6:$E$158="Relief")*Events!$H$6:$H$158)</f>
        <v/>
      </c>
      <c r="W9" s="53">
        <f>SUMPRODUCT((Events!$B$6:$B$158&lt;=$A9)*(Events!$C$6:$C$158&gt;=$A9)*(Events!$E$6:$E$158="Bank rescue &amp; capital")*Events!$H$6:$H$158)</f>
        <v/>
      </c>
      <c r="X9" s="53">
        <f>'Debt &amp; cash'!R8*Paths!Y9</f>
        <v/>
      </c>
      <c r="Y9" s="53">
        <f>SUM(N9:X9)</f>
        <v/>
      </c>
      <c r="Z9" s="53">
        <f>M9-Y9</f>
        <v/>
      </c>
      <c r="AA9" s="63">
        <f>M9/Economy!O9</f>
        <v/>
      </c>
      <c r="AB9" s="63">
        <f>Y9/Economy!O9</f>
        <v/>
      </c>
      <c r="AC9" s="63">
        <f>(N9+O9+P9)/Economy!O9</f>
        <v/>
      </c>
    </row>
    <row r="10">
      <c r="A10" s="58" t="n">
        <v>1850</v>
      </c>
      <c r="B10" s="53">
        <f>Economy!O10*Paths!N10*Paths!O10*cust_coll</f>
        <v/>
      </c>
      <c r="C10" s="53">
        <f>(Economy!J10+Economy!L10+Economy!M10+Economy!N10)*Paths!P10*Paths!Q10</f>
        <v/>
      </c>
      <c r="D10" s="53">
        <f>Resources!P10+Resources!Q10</f>
        <v/>
      </c>
      <c r="E10" s="53">
        <f>Paths!S10*(1-canal_opcost)*canal_share</f>
        <v/>
      </c>
      <c r="F10" s="53">
        <f>Economy!O10*Paths!R10</f>
        <v/>
      </c>
      <c r="G10" s="53">
        <f>SUMPRODUCT((Events!$B$6:$B$158&lt;=$A10)*(Events!$C$6:$C$158&gt;=$A10)*(Events!$E$6:$E$158="Receipt")*Events!$H$6:$H$158)</f>
        <v/>
      </c>
      <c r="H10" s="69">
        <f>Loans!Y10</f>
        <v/>
      </c>
      <c r="I10" s="53">
        <f>'Debt &amp; cash'!S9*fund_yield</f>
        <v/>
      </c>
      <c r="J10" s="69">
        <f>Labour!Q10</f>
        <v/>
      </c>
      <c r="K10" s="69">
        <f>Champions!BD10</f>
        <v/>
      </c>
      <c r="L10" s="69">
        <f>Abroad!N10</f>
        <v/>
      </c>
      <c r="M10" s="53">
        <f>SUM(B10:L10)</f>
        <v/>
      </c>
      <c r="N10" s="53">
        <f>(Paths!W10*army_cost+Paths!X10*res_cost)*Economy!H10/1000000</f>
        <v/>
      </c>
      <c r="O10" s="69">
        <f>Navy!Y10</f>
        <v/>
      </c>
      <c r="P10" s="53">
        <f>SUMPRODUCT((Events!$B$6:$B$158&lt;=$A10)*(Events!$C$6:$C$158&gt;=$A10)*(Events!$E$6:$E$158="War &amp; operations")*Events!$H$6:$H$158)</f>
        <v/>
      </c>
      <c r="Q10" s="53">
        <f>Economy!O10*Paths!T10</f>
        <v/>
      </c>
      <c r="R10" s="53">
        <f>Economy!O10*Paths!U10</f>
        <v/>
      </c>
      <c r="S10" s="53">
        <f>Economy!O10*Paths!V10+SUMPRODUCT((Events!$B$6:$B$158&lt;=$A10)*(Events!$C$6:$C$158&gt;=$A10)*(Events!$E$6:$E$158="Programme")*Events!$H$6:$H$158)+SUMPRODUCT((Events!$B$6:$B$158&lt;=$A10)*(Events!$C$6:$C$158&gt;=$A10)*(Events!$E$6:$E$158="Investment")*Events!$H$6:$H$158)</f>
        <v/>
      </c>
      <c r="T10" s="53">
        <f>(People!T10*assist_cost+Labour!AD10*talent_cost+Labour!L10*gw_admin)*Economy!H10/1000000</f>
        <v/>
      </c>
      <c r="U10" s="53">
        <f>SUMPRODUCT((Events!$B$6:$B$158&lt;=$A10)*(Events!$C$6:$C$158&gt;=$A10)*(Events!$E$6:$E$158="Purchase")*Events!$H$6:$H$158)</f>
        <v/>
      </c>
      <c r="V10" s="53">
        <f>SUMPRODUCT((Events!$B$6:$B$158&lt;=$A10)*(Events!$C$6:$C$158&gt;=$A10)*(Events!$E$6:$E$158="Subsidy &amp; guarantee")*Events!$H$6:$H$158)+SUMPRODUCT((Events!$B$6:$B$158&lt;=$A10)*(Events!$C$6:$C$158&gt;=$A10)*(Events!$E$6:$E$158="Relief")*Events!$H$6:$H$158)</f>
        <v/>
      </c>
      <c r="W10" s="53">
        <f>SUMPRODUCT((Events!$B$6:$B$158&lt;=$A10)*(Events!$C$6:$C$158&gt;=$A10)*(Events!$E$6:$E$158="Bank rescue &amp; capital")*Events!$H$6:$H$158)</f>
        <v/>
      </c>
      <c r="X10" s="53">
        <f>'Debt &amp; cash'!R9*Paths!Y10</f>
        <v/>
      </c>
      <c r="Y10" s="53">
        <f>SUM(N10:X10)</f>
        <v/>
      </c>
      <c r="Z10" s="53">
        <f>M10-Y10</f>
        <v/>
      </c>
      <c r="AA10" s="63">
        <f>M10/Economy!O10</f>
        <v/>
      </c>
      <c r="AB10" s="63">
        <f>Y10/Economy!O10</f>
        <v/>
      </c>
      <c r="AC10" s="63">
        <f>(N10+O10+P10)/Economy!O10</f>
        <v/>
      </c>
    </row>
    <row r="11">
      <c r="A11" s="58" t="n">
        <v>1851</v>
      </c>
      <c r="B11" s="53">
        <f>Economy!O11*Paths!N11*Paths!O11*cust_coll</f>
        <v/>
      </c>
      <c r="C11" s="53">
        <f>(Economy!J11+Economy!L11+Economy!M11+Economy!N11)*Paths!P11*Paths!Q11</f>
        <v/>
      </c>
      <c r="D11" s="53">
        <f>Resources!P11+Resources!Q11</f>
        <v/>
      </c>
      <c r="E11" s="53">
        <f>Paths!S11*(1-canal_opcost)*canal_share</f>
        <v/>
      </c>
      <c r="F11" s="53">
        <f>Economy!O11*Paths!R11</f>
        <v/>
      </c>
      <c r="G11" s="53">
        <f>SUMPRODUCT((Events!$B$6:$B$158&lt;=$A11)*(Events!$C$6:$C$158&gt;=$A11)*(Events!$E$6:$E$158="Receipt")*Events!$H$6:$H$158)</f>
        <v/>
      </c>
      <c r="H11" s="69">
        <f>Loans!Y11</f>
        <v/>
      </c>
      <c r="I11" s="53">
        <f>'Debt &amp; cash'!S10*fund_yield</f>
        <v/>
      </c>
      <c r="J11" s="69">
        <f>Labour!Q11</f>
        <v/>
      </c>
      <c r="K11" s="69">
        <f>Champions!BD11</f>
        <v/>
      </c>
      <c r="L11" s="69">
        <f>Abroad!N11</f>
        <v/>
      </c>
      <c r="M11" s="53">
        <f>SUM(B11:L11)</f>
        <v/>
      </c>
      <c r="N11" s="53">
        <f>(Paths!W11*army_cost+Paths!X11*res_cost)*Economy!H11/1000000</f>
        <v/>
      </c>
      <c r="O11" s="69">
        <f>Navy!Y11</f>
        <v/>
      </c>
      <c r="P11" s="53">
        <f>SUMPRODUCT((Events!$B$6:$B$158&lt;=$A11)*(Events!$C$6:$C$158&gt;=$A11)*(Events!$E$6:$E$158="War &amp; operations")*Events!$H$6:$H$158)</f>
        <v/>
      </c>
      <c r="Q11" s="53">
        <f>Economy!O11*Paths!T11</f>
        <v/>
      </c>
      <c r="R11" s="53">
        <f>Economy!O11*Paths!U11</f>
        <v/>
      </c>
      <c r="S11" s="53">
        <f>Economy!O11*Paths!V11+SUMPRODUCT((Events!$B$6:$B$158&lt;=$A11)*(Events!$C$6:$C$158&gt;=$A11)*(Events!$E$6:$E$158="Programme")*Events!$H$6:$H$158)+SUMPRODUCT((Events!$B$6:$B$158&lt;=$A11)*(Events!$C$6:$C$158&gt;=$A11)*(Events!$E$6:$E$158="Investment")*Events!$H$6:$H$158)</f>
        <v/>
      </c>
      <c r="T11" s="53">
        <f>(People!T11*assist_cost+Labour!AD11*talent_cost+Labour!L11*gw_admin)*Economy!H11/1000000</f>
        <v/>
      </c>
      <c r="U11" s="53">
        <f>SUMPRODUCT((Events!$B$6:$B$158&lt;=$A11)*(Events!$C$6:$C$158&gt;=$A11)*(Events!$E$6:$E$158="Purchase")*Events!$H$6:$H$158)</f>
        <v/>
      </c>
      <c r="V11" s="53">
        <f>SUMPRODUCT((Events!$B$6:$B$158&lt;=$A11)*(Events!$C$6:$C$158&gt;=$A11)*(Events!$E$6:$E$158="Subsidy &amp; guarantee")*Events!$H$6:$H$158)+SUMPRODUCT((Events!$B$6:$B$158&lt;=$A11)*(Events!$C$6:$C$158&gt;=$A11)*(Events!$E$6:$E$158="Relief")*Events!$H$6:$H$158)</f>
        <v/>
      </c>
      <c r="W11" s="53">
        <f>SUMPRODUCT((Events!$B$6:$B$158&lt;=$A11)*(Events!$C$6:$C$158&gt;=$A11)*(Events!$E$6:$E$158="Bank rescue &amp; capital")*Events!$H$6:$H$158)</f>
        <v/>
      </c>
      <c r="X11" s="53">
        <f>'Debt &amp; cash'!R10*Paths!Y11</f>
        <v/>
      </c>
      <c r="Y11" s="53">
        <f>SUM(N11:X11)</f>
        <v/>
      </c>
      <c r="Z11" s="53">
        <f>M11-Y11</f>
        <v/>
      </c>
      <c r="AA11" s="63">
        <f>M11/Economy!O11</f>
        <v/>
      </c>
      <c r="AB11" s="63">
        <f>Y11/Economy!O11</f>
        <v/>
      </c>
      <c r="AC11" s="63">
        <f>(N11+O11+P11)/Economy!O11</f>
        <v/>
      </c>
    </row>
    <row r="12">
      <c r="A12" s="58" t="n">
        <v>1852</v>
      </c>
      <c r="B12" s="53">
        <f>Economy!O12*Paths!N12*Paths!O12*cust_coll</f>
        <v/>
      </c>
      <c r="C12" s="53">
        <f>(Economy!J12+Economy!L12+Economy!M12+Economy!N12)*Paths!P12*Paths!Q12</f>
        <v/>
      </c>
      <c r="D12" s="53">
        <f>Resources!P12+Resources!Q12</f>
        <v/>
      </c>
      <c r="E12" s="53">
        <f>Paths!S12*(1-canal_opcost)*canal_share</f>
        <v/>
      </c>
      <c r="F12" s="53">
        <f>Economy!O12*Paths!R12</f>
        <v/>
      </c>
      <c r="G12" s="53">
        <f>SUMPRODUCT((Events!$B$6:$B$158&lt;=$A12)*(Events!$C$6:$C$158&gt;=$A12)*(Events!$E$6:$E$158="Receipt")*Events!$H$6:$H$158)</f>
        <v/>
      </c>
      <c r="H12" s="69">
        <f>Loans!Y12</f>
        <v/>
      </c>
      <c r="I12" s="53">
        <f>'Debt &amp; cash'!S11*fund_yield</f>
        <v/>
      </c>
      <c r="J12" s="69">
        <f>Labour!Q12</f>
        <v/>
      </c>
      <c r="K12" s="69">
        <f>Champions!BD12</f>
        <v/>
      </c>
      <c r="L12" s="69">
        <f>Abroad!N12</f>
        <v/>
      </c>
      <c r="M12" s="53">
        <f>SUM(B12:L12)</f>
        <v/>
      </c>
      <c r="N12" s="53">
        <f>(Paths!W12*army_cost+Paths!X12*res_cost)*Economy!H12/1000000</f>
        <v/>
      </c>
      <c r="O12" s="69">
        <f>Navy!Y12</f>
        <v/>
      </c>
      <c r="P12" s="53">
        <f>SUMPRODUCT((Events!$B$6:$B$158&lt;=$A12)*(Events!$C$6:$C$158&gt;=$A12)*(Events!$E$6:$E$158="War &amp; operations")*Events!$H$6:$H$158)</f>
        <v/>
      </c>
      <c r="Q12" s="53">
        <f>Economy!O12*Paths!T12</f>
        <v/>
      </c>
      <c r="R12" s="53">
        <f>Economy!O12*Paths!U12</f>
        <v/>
      </c>
      <c r="S12" s="53">
        <f>Economy!O12*Paths!V12+SUMPRODUCT((Events!$B$6:$B$158&lt;=$A12)*(Events!$C$6:$C$158&gt;=$A12)*(Events!$E$6:$E$158="Programme")*Events!$H$6:$H$158)+SUMPRODUCT((Events!$B$6:$B$158&lt;=$A12)*(Events!$C$6:$C$158&gt;=$A12)*(Events!$E$6:$E$158="Investment")*Events!$H$6:$H$158)</f>
        <v/>
      </c>
      <c r="T12" s="53">
        <f>(People!T12*assist_cost+Labour!AD12*talent_cost+Labour!L12*gw_admin)*Economy!H12/1000000</f>
        <v/>
      </c>
      <c r="U12" s="53">
        <f>SUMPRODUCT((Events!$B$6:$B$158&lt;=$A12)*(Events!$C$6:$C$158&gt;=$A12)*(Events!$E$6:$E$158="Purchase")*Events!$H$6:$H$158)</f>
        <v/>
      </c>
      <c r="V12" s="53">
        <f>SUMPRODUCT((Events!$B$6:$B$158&lt;=$A12)*(Events!$C$6:$C$158&gt;=$A12)*(Events!$E$6:$E$158="Subsidy &amp; guarantee")*Events!$H$6:$H$158)+SUMPRODUCT((Events!$B$6:$B$158&lt;=$A12)*(Events!$C$6:$C$158&gt;=$A12)*(Events!$E$6:$E$158="Relief")*Events!$H$6:$H$158)</f>
        <v/>
      </c>
      <c r="W12" s="53">
        <f>SUMPRODUCT((Events!$B$6:$B$158&lt;=$A12)*(Events!$C$6:$C$158&gt;=$A12)*(Events!$E$6:$E$158="Bank rescue &amp; capital")*Events!$H$6:$H$158)</f>
        <v/>
      </c>
      <c r="X12" s="53">
        <f>'Debt &amp; cash'!R11*Paths!Y12</f>
        <v/>
      </c>
      <c r="Y12" s="53">
        <f>SUM(N12:X12)</f>
        <v/>
      </c>
      <c r="Z12" s="53">
        <f>M12-Y12</f>
        <v/>
      </c>
      <c r="AA12" s="63">
        <f>M12/Economy!O12</f>
        <v/>
      </c>
      <c r="AB12" s="63">
        <f>Y12/Economy!O12</f>
        <v/>
      </c>
      <c r="AC12" s="63">
        <f>(N12+O12+P12)/Economy!O12</f>
        <v/>
      </c>
    </row>
    <row r="13">
      <c r="A13" s="58" t="n">
        <v>1853</v>
      </c>
      <c r="B13" s="53">
        <f>Economy!O13*Paths!N13*Paths!O13*cust_coll</f>
        <v/>
      </c>
      <c r="C13" s="53">
        <f>(Economy!J13+Economy!L13+Economy!M13+Economy!N13)*Paths!P13*Paths!Q13</f>
        <v/>
      </c>
      <c r="D13" s="53">
        <f>Resources!P13+Resources!Q13</f>
        <v/>
      </c>
      <c r="E13" s="53">
        <f>Paths!S13*(1-canal_opcost)*canal_share</f>
        <v/>
      </c>
      <c r="F13" s="53">
        <f>Economy!O13*Paths!R13</f>
        <v/>
      </c>
      <c r="G13" s="53">
        <f>SUMPRODUCT((Events!$B$6:$B$158&lt;=$A13)*(Events!$C$6:$C$158&gt;=$A13)*(Events!$E$6:$E$158="Receipt")*Events!$H$6:$H$158)</f>
        <v/>
      </c>
      <c r="H13" s="69">
        <f>Loans!Y13</f>
        <v/>
      </c>
      <c r="I13" s="53">
        <f>'Debt &amp; cash'!S12*fund_yield</f>
        <v/>
      </c>
      <c r="J13" s="69">
        <f>Labour!Q13</f>
        <v/>
      </c>
      <c r="K13" s="69">
        <f>Champions!BD13</f>
        <v/>
      </c>
      <c r="L13" s="69">
        <f>Abroad!N13</f>
        <v/>
      </c>
      <c r="M13" s="53">
        <f>SUM(B13:L13)</f>
        <v/>
      </c>
      <c r="N13" s="53">
        <f>(Paths!W13*army_cost+Paths!X13*res_cost)*Economy!H13/1000000</f>
        <v/>
      </c>
      <c r="O13" s="69">
        <f>Navy!Y13</f>
        <v/>
      </c>
      <c r="P13" s="53">
        <f>SUMPRODUCT((Events!$B$6:$B$158&lt;=$A13)*(Events!$C$6:$C$158&gt;=$A13)*(Events!$E$6:$E$158="War &amp; operations")*Events!$H$6:$H$158)</f>
        <v/>
      </c>
      <c r="Q13" s="53">
        <f>Economy!O13*Paths!T13</f>
        <v/>
      </c>
      <c r="R13" s="53">
        <f>Economy!O13*Paths!U13</f>
        <v/>
      </c>
      <c r="S13" s="53">
        <f>Economy!O13*Paths!V13+SUMPRODUCT((Events!$B$6:$B$158&lt;=$A13)*(Events!$C$6:$C$158&gt;=$A13)*(Events!$E$6:$E$158="Programme")*Events!$H$6:$H$158)+SUMPRODUCT((Events!$B$6:$B$158&lt;=$A13)*(Events!$C$6:$C$158&gt;=$A13)*(Events!$E$6:$E$158="Investment")*Events!$H$6:$H$158)</f>
        <v/>
      </c>
      <c r="T13" s="53">
        <f>(People!T13*assist_cost+Labour!AD13*talent_cost+Labour!L13*gw_admin)*Economy!H13/1000000</f>
        <v/>
      </c>
      <c r="U13" s="53">
        <f>SUMPRODUCT((Events!$B$6:$B$158&lt;=$A13)*(Events!$C$6:$C$158&gt;=$A13)*(Events!$E$6:$E$158="Purchase")*Events!$H$6:$H$158)</f>
        <v/>
      </c>
      <c r="V13" s="53">
        <f>SUMPRODUCT((Events!$B$6:$B$158&lt;=$A13)*(Events!$C$6:$C$158&gt;=$A13)*(Events!$E$6:$E$158="Subsidy &amp; guarantee")*Events!$H$6:$H$158)+SUMPRODUCT((Events!$B$6:$B$158&lt;=$A13)*(Events!$C$6:$C$158&gt;=$A13)*(Events!$E$6:$E$158="Relief")*Events!$H$6:$H$158)</f>
        <v/>
      </c>
      <c r="W13" s="53">
        <f>SUMPRODUCT((Events!$B$6:$B$158&lt;=$A13)*(Events!$C$6:$C$158&gt;=$A13)*(Events!$E$6:$E$158="Bank rescue &amp; capital")*Events!$H$6:$H$158)</f>
        <v/>
      </c>
      <c r="X13" s="53">
        <f>'Debt &amp; cash'!R12*Paths!Y13</f>
        <v/>
      </c>
      <c r="Y13" s="53">
        <f>SUM(N13:X13)</f>
        <v/>
      </c>
      <c r="Z13" s="53">
        <f>M13-Y13</f>
        <v/>
      </c>
      <c r="AA13" s="63">
        <f>M13/Economy!O13</f>
        <v/>
      </c>
      <c r="AB13" s="63">
        <f>Y13/Economy!O13</f>
        <v/>
      </c>
      <c r="AC13" s="63">
        <f>(N13+O13+P13)/Economy!O13</f>
        <v/>
      </c>
    </row>
    <row r="14">
      <c r="A14" s="58" t="n">
        <v>1854</v>
      </c>
      <c r="B14" s="53">
        <f>Economy!O14*Paths!N14*Paths!O14*cust_coll</f>
        <v/>
      </c>
      <c r="C14" s="53">
        <f>(Economy!J14+Economy!L14+Economy!M14+Economy!N14)*Paths!P14*Paths!Q14</f>
        <v/>
      </c>
      <c r="D14" s="53">
        <f>Resources!P14+Resources!Q14</f>
        <v/>
      </c>
      <c r="E14" s="53">
        <f>Paths!S14*(1-canal_opcost)*canal_share</f>
        <v/>
      </c>
      <c r="F14" s="53">
        <f>Economy!O14*Paths!R14</f>
        <v/>
      </c>
      <c r="G14" s="53">
        <f>SUMPRODUCT((Events!$B$6:$B$158&lt;=$A14)*(Events!$C$6:$C$158&gt;=$A14)*(Events!$E$6:$E$158="Receipt")*Events!$H$6:$H$158)</f>
        <v/>
      </c>
      <c r="H14" s="69">
        <f>Loans!Y14</f>
        <v/>
      </c>
      <c r="I14" s="53">
        <f>'Debt &amp; cash'!S13*fund_yield</f>
        <v/>
      </c>
      <c r="J14" s="69">
        <f>Labour!Q14</f>
        <v/>
      </c>
      <c r="K14" s="69">
        <f>Champions!BD14</f>
        <v/>
      </c>
      <c r="L14" s="69">
        <f>Abroad!N14</f>
        <v/>
      </c>
      <c r="M14" s="53">
        <f>SUM(B14:L14)</f>
        <v/>
      </c>
      <c r="N14" s="53">
        <f>(Paths!W14*army_cost+Paths!X14*res_cost)*Economy!H14/1000000</f>
        <v/>
      </c>
      <c r="O14" s="69">
        <f>Navy!Y14</f>
        <v/>
      </c>
      <c r="P14" s="53">
        <f>SUMPRODUCT((Events!$B$6:$B$158&lt;=$A14)*(Events!$C$6:$C$158&gt;=$A14)*(Events!$E$6:$E$158="War &amp; operations")*Events!$H$6:$H$158)</f>
        <v/>
      </c>
      <c r="Q14" s="53">
        <f>Economy!O14*Paths!T14</f>
        <v/>
      </c>
      <c r="R14" s="53">
        <f>Economy!O14*Paths!U14</f>
        <v/>
      </c>
      <c r="S14" s="53">
        <f>Economy!O14*Paths!V14+SUMPRODUCT((Events!$B$6:$B$158&lt;=$A14)*(Events!$C$6:$C$158&gt;=$A14)*(Events!$E$6:$E$158="Programme")*Events!$H$6:$H$158)+SUMPRODUCT((Events!$B$6:$B$158&lt;=$A14)*(Events!$C$6:$C$158&gt;=$A14)*(Events!$E$6:$E$158="Investment")*Events!$H$6:$H$158)</f>
        <v/>
      </c>
      <c r="T14" s="53">
        <f>(People!T14*assist_cost+Labour!AD14*talent_cost+Labour!L14*gw_admin)*Economy!H14/1000000</f>
        <v/>
      </c>
      <c r="U14" s="53">
        <f>SUMPRODUCT((Events!$B$6:$B$158&lt;=$A14)*(Events!$C$6:$C$158&gt;=$A14)*(Events!$E$6:$E$158="Purchase")*Events!$H$6:$H$158)</f>
        <v/>
      </c>
      <c r="V14" s="53">
        <f>SUMPRODUCT((Events!$B$6:$B$158&lt;=$A14)*(Events!$C$6:$C$158&gt;=$A14)*(Events!$E$6:$E$158="Subsidy &amp; guarantee")*Events!$H$6:$H$158)+SUMPRODUCT((Events!$B$6:$B$158&lt;=$A14)*(Events!$C$6:$C$158&gt;=$A14)*(Events!$E$6:$E$158="Relief")*Events!$H$6:$H$158)</f>
        <v/>
      </c>
      <c r="W14" s="53">
        <f>SUMPRODUCT((Events!$B$6:$B$158&lt;=$A14)*(Events!$C$6:$C$158&gt;=$A14)*(Events!$E$6:$E$158="Bank rescue &amp; capital")*Events!$H$6:$H$158)</f>
        <v/>
      </c>
      <c r="X14" s="53">
        <f>'Debt &amp; cash'!R13*Paths!Y14</f>
        <v/>
      </c>
      <c r="Y14" s="53">
        <f>SUM(N14:X14)</f>
        <v/>
      </c>
      <c r="Z14" s="53">
        <f>M14-Y14</f>
        <v/>
      </c>
      <c r="AA14" s="63">
        <f>M14/Economy!O14</f>
        <v/>
      </c>
      <c r="AB14" s="63">
        <f>Y14/Economy!O14</f>
        <v/>
      </c>
      <c r="AC14" s="63">
        <f>(N14+O14+P14)/Economy!O14</f>
        <v/>
      </c>
    </row>
    <row r="15">
      <c r="A15" s="58" t="n">
        <v>1855</v>
      </c>
      <c r="B15" s="53">
        <f>Economy!O15*Paths!N15*Paths!O15*cust_coll</f>
        <v/>
      </c>
      <c r="C15" s="53">
        <f>(Economy!J15+Economy!L15+Economy!M15+Economy!N15)*Paths!P15*Paths!Q15</f>
        <v/>
      </c>
      <c r="D15" s="53">
        <f>Resources!P15+Resources!Q15</f>
        <v/>
      </c>
      <c r="E15" s="53">
        <f>Paths!S15*(1-canal_opcost)*canal_share</f>
        <v/>
      </c>
      <c r="F15" s="53">
        <f>Economy!O15*Paths!R15</f>
        <v/>
      </c>
      <c r="G15" s="53">
        <f>SUMPRODUCT((Events!$B$6:$B$158&lt;=$A15)*(Events!$C$6:$C$158&gt;=$A15)*(Events!$E$6:$E$158="Receipt")*Events!$H$6:$H$158)</f>
        <v/>
      </c>
      <c r="H15" s="69">
        <f>Loans!Y15</f>
        <v/>
      </c>
      <c r="I15" s="53">
        <f>'Debt &amp; cash'!S14*fund_yield</f>
        <v/>
      </c>
      <c r="J15" s="69">
        <f>Labour!Q15</f>
        <v/>
      </c>
      <c r="K15" s="69">
        <f>Champions!BD15</f>
        <v/>
      </c>
      <c r="L15" s="69">
        <f>Abroad!N15</f>
        <v/>
      </c>
      <c r="M15" s="53">
        <f>SUM(B15:L15)</f>
        <v/>
      </c>
      <c r="N15" s="53">
        <f>(Paths!W15*army_cost+Paths!X15*res_cost)*Economy!H15/1000000</f>
        <v/>
      </c>
      <c r="O15" s="69">
        <f>Navy!Y15</f>
        <v/>
      </c>
      <c r="P15" s="53">
        <f>SUMPRODUCT((Events!$B$6:$B$158&lt;=$A15)*(Events!$C$6:$C$158&gt;=$A15)*(Events!$E$6:$E$158="War &amp; operations")*Events!$H$6:$H$158)</f>
        <v/>
      </c>
      <c r="Q15" s="53">
        <f>Economy!O15*Paths!T15</f>
        <v/>
      </c>
      <c r="R15" s="53">
        <f>Economy!O15*Paths!U15</f>
        <v/>
      </c>
      <c r="S15" s="53">
        <f>Economy!O15*Paths!V15+SUMPRODUCT((Events!$B$6:$B$158&lt;=$A15)*(Events!$C$6:$C$158&gt;=$A15)*(Events!$E$6:$E$158="Programme")*Events!$H$6:$H$158)+SUMPRODUCT((Events!$B$6:$B$158&lt;=$A15)*(Events!$C$6:$C$158&gt;=$A15)*(Events!$E$6:$E$158="Investment")*Events!$H$6:$H$158)</f>
        <v/>
      </c>
      <c r="T15" s="53">
        <f>(People!T15*assist_cost+Labour!AD15*talent_cost+Labour!L15*gw_admin)*Economy!H15/1000000</f>
        <v/>
      </c>
      <c r="U15" s="53">
        <f>SUMPRODUCT((Events!$B$6:$B$158&lt;=$A15)*(Events!$C$6:$C$158&gt;=$A15)*(Events!$E$6:$E$158="Purchase")*Events!$H$6:$H$158)</f>
        <v/>
      </c>
      <c r="V15" s="53">
        <f>SUMPRODUCT((Events!$B$6:$B$158&lt;=$A15)*(Events!$C$6:$C$158&gt;=$A15)*(Events!$E$6:$E$158="Subsidy &amp; guarantee")*Events!$H$6:$H$158)+SUMPRODUCT((Events!$B$6:$B$158&lt;=$A15)*(Events!$C$6:$C$158&gt;=$A15)*(Events!$E$6:$E$158="Relief")*Events!$H$6:$H$158)</f>
        <v/>
      </c>
      <c r="W15" s="53">
        <f>SUMPRODUCT((Events!$B$6:$B$158&lt;=$A15)*(Events!$C$6:$C$158&gt;=$A15)*(Events!$E$6:$E$158="Bank rescue &amp; capital")*Events!$H$6:$H$158)</f>
        <v/>
      </c>
      <c r="X15" s="53">
        <f>'Debt &amp; cash'!R14*Paths!Y15</f>
        <v/>
      </c>
      <c r="Y15" s="53">
        <f>SUM(N15:X15)</f>
        <v/>
      </c>
      <c r="Z15" s="53">
        <f>M15-Y15</f>
        <v/>
      </c>
      <c r="AA15" s="63">
        <f>M15/Economy!O15</f>
        <v/>
      </c>
      <c r="AB15" s="63">
        <f>Y15/Economy!O15</f>
        <v/>
      </c>
      <c r="AC15" s="63">
        <f>(N15+O15+P15)/Economy!O15</f>
        <v/>
      </c>
    </row>
    <row r="16">
      <c r="A16" s="58" t="n">
        <v>1856</v>
      </c>
      <c r="B16" s="53">
        <f>Economy!O16*Paths!N16*Paths!O16*cust_coll</f>
        <v/>
      </c>
      <c r="C16" s="53">
        <f>(Economy!J16+Economy!L16+Economy!M16+Economy!N16)*Paths!P16*Paths!Q16</f>
        <v/>
      </c>
      <c r="D16" s="53">
        <f>Resources!P16+Resources!Q16</f>
        <v/>
      </c>
      <c r="E16" s="53">
        <f>Paths!S16*(1-canal_opcost)*canal_share</f>
        <v/>
      </c>
      <c r="F16" s="53">
        <f>Economy!O16*Paths!R16</f>
        <v/>
      </c>
      <c r="G16" s="53">
        <f>SUMPRODUCT((Events!$B$6:$B$158&lt;=$A16)*(Events!$C$6:$C$158&gt;=$A16)*(Events!$E$6:$E$158="Receipt")*Events!$H$6:$H$158)</f>
        <v/>
      </c>
      <c r="H16" s="69">
        <f>Loans!Y16</f>
        <v/>
      </c>
      <c r="I16" s="53">
        <f>'Debt &amp; cash'!S15*fund_yield</f>
        <v/>
      </c>
      <c r="J16" s="69">
        <f>Labour!Q16</f>
        <v/>
      </c>
      <c r="K16" s="69">
        <f>Champions!BD16</f>
        <v/>
      </c>
      <c r="L16" s="69">
        <f>Abroad!N16</f>
        <v/>
      </c>
      <c r="M16" s="53">
        <f>SUM(B16:L16)</f>
        <v/>
      </c>
      <c r="N16" s="53">
        <f>(Paths!W16*army_cost+Paths!X16*res_cost)*Economy!H16/1000000</f>
        <v/>
      </c>
      <c r="O16" s="69">
        <f>Navy!Y16</f>
        <v/>
      </c>
      <c r="P16" s="53">
        <f>SUMPRODUCT((Events!$B$6:$B$158&lt;=$A16)*(Events!$C$6:$C$158&gt;=$A16)*(Events!$E$6:$E$158="War &amp; operations")*Events!$H$6:$H$158)</f>
        <v/>
      </c>
      <c r="Q16" s="53">
        <f>Economy!O16*Paths!T16</f>
        <v/>
      </c>
      <c r="R16" s="53">
        <f>Economy!O16*Paths!U16</f>
        <v/>
      </c>
      <c r="S16" s="53">
        <f>Economy!O16*Paths!V16+SUMPRODUCT((Events!$B$6:$B$158&lt;=$A16)*(Events!$C$6:$C$158&gt;=$A16)*(Events!$E$6:$E$158="Programme")*Events!$H$6:$H$158)+SUMPRODUCT((Events!$B$6:$B$158&lt;=$A16)*(Events!$C$6:$C$158&gt;=$A16)*(Events!$E$6:$E$158="Investment")*Events!$H$6:$H$158)</f>
        <v/>
      </c>
      <c r="T16" s="53">
        <f>(People!T16*assist_cost+Labour!AD16*talent_cost+Labour!L16*gw_admin)*Economy!H16/1000000</f>
        <v/>
      </c>
      <c r="U16" s="53">
        <f>SUMPRODUCT((Events!$B$6:$B$158&lt;=$A16)*(Events!$C$6:$C$158&gt;=$A16)*(Events!$E$6:$E$158="Purchase")*Events!$H$6:$H$158)</f>
        <v/>
      </c>
      <c r="V16" s="53">
        <f>SUMPRODUCT((Events!$B$6:$B$158&lt;=$A16)*(Events!$C$6:$C$158&gt;=$A16)*(Events!$E$6:$E$158="Subsidy &amp; guarantee")*Events!$H$6:$H$158)+SUMPRODUCT((Events!$B$6:$B$158&lt;=$A16)*(Events!$C$6:$C$158&gt;=$A16)*(Events!$E$6:$E$158="Relief")*Events!$H$6:$H$158)</f>
        <v/>
      </c>
      <c r="W16" s="53">
        <f>SUMPRODUCT((Events!$B$6:$B$158&lt;=$A16)*(Events!$C$6:$C$158&gt;=$A16)*(Events!$E$6:$E$158="Bank rescue &amp; capital")*Events!$H$6:$H$158)</f>
        <v/>
      </c>
      <c r="X16" s="53">
        <f>'Debt &amp; cash'!R15*Paths!Y16</f>
        <v/>
      </c>
      <c r="Y16" s="53">
        <f>SUM(N16:X16)</f>
        <v/>
      </c>
      <c r="Z16" s="53">
        <f>M16-Y16</f>
        <v/>
      </c>
      <c r="AA16" s="63">
        <f>M16/Economy!O16</f>
        <v/>
      </c>
      <c r="AB16" s="63">
        <f>Y16/Economy!O16</f>
        <v/>
      </c>
      <c r="AC16" s="63">
        <f>(N16+O16+P16)/Economy!O16</f>
        <v/>
      </c>
    </row>
    <row r="17">
      <c r="A17" s="58" t="n">
        <v>1857</v>
      </c>
      <c r="B17" s="53">
        <f>Economy!O17*Paths!N17*Paths!O17*cust_coll</f>
        <v/>
      </c>
      <c r="C17" s="53">
        <f>(Economy!J17+Economy!L17+Economy!M17+Economy!N17)*Paths!P17*Paths!Q17</f>
        <v/>
      </c>
      <c r="D17" s="53">
        <f>Resources!P17+Resources!Q17</f>
        <v/>
      </c>
      <c r="E17" s="53">
        <f>Paths!S17*(1-canal_opcost)*canal_share</f>
        <v/>
      </c>
      <c r="F17" s="53">
        <f>Economy!O17*Paths!R17</f>
        <v/>
      </c>
      <c r="G17" s="53">
        <f>SUMPRODUCT((Events!$B$6:$B$158&lt;=$A17)*(Events!$C$6:$C$158&gt;=$A17)*(Events!$E$6:$E$158="Receipt")*Events!$H$6:$H$158)</f>
        <v/>
      </c>
      <c r="H17" s="69">
        <f>Loans!Y17</f>
        <v/>
      </c>
      <c r="I17" s="53">
        <f>'Debt &amp; cash'!S16*fund_yield</f>
        <v/>
      </c>
      <c r="J17" s="69">
        <f>Labour!Q17</f>
        <v/>
      </c>
      <c r="K17" s="69">
        <f>Champions!BD17</f>
        <v/>
      </c>
      <c r="L17" s="69">
        <f>Abroad!N17</f>
        <v/>
      </c>
      <c r="M17" s="53">
        <f>SUM(B17:L17)</f>
        <v/>
      </c>
      <c r="N17" s="53">
        <f>(Paths!W17*army_cost+Paths!X17*res_cost)*Economy!H17/1000000</f>
        <v/>
      </c>
      <c r="O17" s="69">
        <f>Navy!Y17</f>
        <v/>
      </c>
      <c r="P17" s="53">
        <f>SUMPRODUCT((Events!$B$6:$B$158&lt;=$A17)*(Events!$C$6:$C$158&gt;=$A17)*(Events!$E$6:$E$158="War &amp; operations")*Events!$H$6:$H$158)</f>
        <v/>
      </c>
      <c r="Q17" s="53">
        <f>Economy!O17*Paths!T17</f>
        <v/>
      </c>
      <c r="R17" s="53">
        <f>Economy!O17*Paths!U17</f>
        <v/>
      </c>
      <c r="S17" s="53">
        <f>Economy!O17*Paths!V17+SUMPRODUCT((Events!$B$6:$B$158&lt;=$A17)*(Events!$C$6:$C$158&gt;=$A17)*(Events!$E$6:$E$158="Programme")*Events!$H$6:$H$158)+SUMPRODUCT((Events!$B$6:$B$158&lt;=$A17)*(Events!$C$6:$C$158&gt;=$A17)*(Events!$E$6:$E$158="Investment")*Events!$H$6:$H$158)</f>
        <v/>
      </c>
      <c r="T17" s="53">
        <f>(People!T17*assist_cost+Labour!AD17*talent_cost+Labour!L17*gw_admin)*Economy!H17/1000000</f>
        <v/>
      </c>
      <c r="U17" s="53">
        <f>SUMPRODUCT((Events!$B$6:$B$158&lt;=$A17)*(Events!$C$6:$C$158&gt;=$A17)*(Events!$E$6:$E$158="Purchase")*Events!$H$6:$H$158)</f>
        <v/>
      </c>
      <c r="V17" s="53">
        <f>SUMPRODUCT((Events!$B$6:$B$158&lt;=$A17)*(Events!$C$6:$C$158&gt;=$A17)*(Events!$E$6:$E$158="Subsidy &amp; guarantee")*Events!$H$6:$H$158)+SUMPRODUCT((Events!$B$6:$B$158&lt;=$A17)*(Events!$C$6:$C$158&gt;=$A17)*(Events!$E$6:$E$158="Relief")*Events!$H$6:$H$158)</f>
        <v/>
      </c>
      <c r="W17" s="53">
        <f>SUMPRODUCT((Events!$B$6:$B$158&lt;=$A17)*(Events!$C$6:$C$158&gt;=$A17)*(Events!$E$6:$E$158="Bank rescue &amp; capital")*Events!$H$6:$H$158)</f>
        <v/>
      </c>
      <c r="X17" s="53">
        <f>'Debt &amp; cash'!R16*Paths!Y17</f>
        <v/>
      </c>
      <c r="Y17" s="53">
        <f>SUM(N17:X17)</f>
        <v/>
      </c>
      <c r="Z17" s="53">
        <f>M17-Y17</f>
        <v/>
      </c>
      <c r="AA17" s="63">
        <f>M17/Economy!O17</f>
        <v/>
      </c>
      <c r="AB17" s="63">
        <f>Y17/Economy!O17</f>
        <v/>
      </c>
      <c r="AC17" s="63">
        <f>(N17+O17+P17)/Economy!O17</f>
        <v/>
      </c>
    </row>
    <row r="18">
      <c r="A18" s="58" t="n">
        <v>1858</v>
      </c>
      <c r="B18" s="53">
        <f>Economy!O18*Paths!N18*Paths!O18*cust_coll</f>
        <v/>
      </c>
      <c r="C18" s="53">
        <f>(Economy!J18+Economy!L18+Economy!M18+Economy!N18)*Paths!P18*Paths!Q18</f>
        <v/>
      </c>
      <c r="D18" s="53">
        <f>Resources!P18+Resources!Q18</f>
        <v/>
      </c>
      <c r="E18" s="53">
        <f>Paths!S18*(1-canal_opcost)*canal_share</f>
        <v/>
      </c>
      <c r="F18" s="53">
        <f>Economy!O18*Paths!R18</f>
        <v/>
      </c>
      <c r="G18" s="53">
        <f>SUMPRODUCT((Events!$B$6:$B$158&lt;=$A18)*(Events!$C$6:$C$158&gt;=$A18)*(Events!$E$6:$E$158="Receipt")*Events!$H$6:$H$158)</f>
        <v/>
      </c>
      <c r="H18" s="69">
        <f>Loans!Y18</f>
        <v/>
      </c>
      <c r="I18" s="53">
        <f>'Debt &amp; cash'!S17*fund_yield</f>
        <v/>
      </c>
      <c r="J18" s="69">
        <f>Labour!Q18</f>
        <v/>
      </c>
      <c r="K18" s="69">
        <f>Champions!BD18</f>
        <v/>
      </c>
      <c r="L18" s="69">
        <f>Abroad!N18</f>
        <v/>
      </c>
      <c r="M18" s="53">
        <f>SUM(B18:L18)</f>
        <v/>
      </c>
      <c r="N18" s="53">
        <f>(Paths!W18*army_cost+Paths!X18*res_cost)*Economy!H18/1000000</f>
        <v/>
      </c>
      <c r="O18" s="69">
        <f>Navy!Y18</f>
        <v/>
      </c>
      <c r="P18" s="53">
        <f>SUMPRODUCT((Events!$B$6:$B$158&lt;=$A18)*(Events!$C$6:$C$158&gt;=$A18)*(Events!$E$6:$E$158="War &amp; operations")*Events!$H$6:$H$158)</f>
        <v/>
      </c>
      <c r="Q18" s="53">
        <f>Economy!O18*Paths!T18</f>
        <v/>
      </c>
      <c r="R18" s="53">
        <f>Economy!O18*Paths!U18</f>
        <v/>
      </c>
      <c r="S18" s="53">
        <f>Economy!O18*Paths!V18+SUMPRODUCT((Events!$B$6:$B$158&lt;=$A18)*(Events!$C$6:$C$158&gt;=$A18)*(Events!$E$6:$E$158="Programme")*Events!$H$6:$H$158)+SUMPRODUCT((Events!$B$6:$B$158&lt;=$A18)*(Events!$C$6:$C$158&gt;=$A18)*(Events!$E$6:$E$158="Investment")*Events!$H$6:$H$158)</f>
        <v/>
      </c>
      <c r="T18" s="53">
        <f>(People!T18*assist_cost+Labour!AD18*talent_cost+Labour!L18*gw_admin)*Economy!H18/1000000</f>
        <v/>
      </c>
      <c r="U18" s="53">
        <f>SUMPRODUCT((Events!$B$6:$B$158&lt;=$A18)*(Events!$C$6:$C$158&gt;=$A18)*(Events!$E$6:$E$158="Purchase")*Events!$H$6:$H$158)</f>
        <v/>
      </c>
      <c r="V18" s="53">
        <f>SUMPRODUCT((Events!$B$6:$B$158&lt;=$A18)*(Events!$C$6:$C$158&gt;=$A18)*(Events!$E$6:$E$158="Subsidy &amp; guarantee")*Events!$H$6:$H$158)+SUMPRODUCT((Events!$B$6:$B$158&lt;=$A18)*(Events!$C$6:$C$158&gt;=$A18)*(Events!$E$6:$E$158="Relief")*Events!$H$6:$H$158)</f>
        <v/>
      </c>
      <c r="W18" s="53">
        <f>SUMPRODUCT((Events!$B$6:$B$158&lt;=$A18)*(Events!$C$6:$C$158&gt;=$A18)*(Events!$E$6:$E$158="Bank rescue &amp; capital")*Events!$H$6:$H$158)</f>
        <v/>
      </c>
      <c r="X18" s="53">
        <f>'Debt &amp; cash'!R17*Paths!Y18</f>
        <v/>
      </c>
      <c r="Y18" s="53">
        <f>SUM(N18:X18)</f>
        <v/>
      </c>
      <c r="Z18" s="53">
        <f>M18-Y18</f>
        <v/>
      </c>
      <c r="AA18" s="63">
        <f>M18/Economy!O18</f>
        <v/>
      </c>
      <c r="AB18" s="63">
        <f>Y18/Economy!O18</f>
        <v/>
      </c>
      <c r="AC18" s="63">
        <f>(N18+O18+P18)/Economy!O18</f>
        <v/>
      </c>
    </row>
    <row r="19">
      <c r="A19" s="58" t="n">
        <v>1859</v>
      </c>
      <c r="B19" s="53">
        <f>Economy!O19*Paths!N19*Paths!O19*cust_coll</f>
        <v/>
      </c>
      <c r="C19" s="53">
        <f>(Economy!J19+Economy!L19+Economy!M19+Economy!N19)*Paths!P19*Paths!Q19</f>
        <v/>
      </c>
      <c r="D19" s="53">
        <f>Resources!P19+Resources!Q19</f>
        <v/>
      </c>
      <c r="E19" s="53">
        <f>Paths!S19*(1-canal_opcost)*canal_share</f>
        <v/>
      </c>
      <c r="F19" s="53">
        <f>Economy!O19*Paths!R19</f>
        <v/>
      </c>
      <c r="G19" s="53">
        <f>SUMPRODUCT((Events!$B$6:$B$158&lt;=$A19)*(Events!$C$6:$C$158&gt;=$A19)*(Events!$E$6:$E$158="Receipt")*Events!$H$6:$H$158)</f>
        <v/>
      </c>
      <c r="H19" s="69">
        <f>Loans!Y19</f>
        <v/>
      </c>
      <c r="I19" s="53">
        <f>'Debt &amp; cash'!S18*fund_yield</f>
        <v/>
      </c>
      <c r="J19" s="69">
        <f>Labour!Q19</f>
        <v/>
      </c>
      <c r="K19" s="69">
        <f>Champions!BD19</f>
        <v/>
      </c>
      <c r="L19" s="69">
        <f>Abroad!N19</f>
        <v/>
      </c>
      <c r="M19" s="53">
        <f>SUM(B19:L19)</f>
        <v/>
      </c>
      <c r="N19" s="53">
        <f>(Paths!W19*army_cost+Paths!X19*res_cost)*Economy!H19/1000000</f>
        <v/>
      </c>
      <c r="O19" s="69">
        <f>Navy!Y19</f>
        <v/>
      </c>
      <c r="P19" s="53">
        <f>SUMPRODUCT((Events!$B$6:$B$158&lt;=$A19)*(Events!$C$6:$C$158&gt;=$A19)*(Events!$E$6:$E$158="War &amp; operations")*Events!$H$6:$H$158)</f>
        <v/>
      </c>
      <c r="Q19" s="53">
        <f>Economy!O19*Paths!T19</f>
        <v/>
      </c>
      <c r="R19" s="53">
        <f>Economy!O19*Paths!U19</f>
        <v/>
      </c>
      <c r="S19" s="53">
        <f>Economy!O19*Paths!V19+SUMPRODUCT((Events!$B$6:$B$158&lt;=$A19)*(Events!$C$6:$C$158&gt;=$A19)*(Events!$E$6:$E$158="Programme")*Events!$H$6:$H$158)+SUMPRODUCT((Events!$B$6:$B$158&lt;=$A19)*(Events!$C$6:$C$158&gt;=$A19)*(Events!$E$6:$E$158="Investment")*Events!$H$6:$H$158)</f>
        <v/>
      </c>
      <c r="T19" s="53">
        <f>(People!T19*assist_cost+Labour!AD19*talent_cost+Labour!L19*gw_admin)*Economy!H19/1000000</f>
        <v/>
      </c>
      <c r="U19" s="53">
        <f>SUMPRODUCT((Events!$B$6:$B$158&lt;=$A19)*(Events!$C$6:$C$158&gt;=$A19)*(Events!$E$6:$E$158="Purchase")*Events!$H$6:$H$158)</f>
        <v/>
      </c>
      <c r="V19" s="53">
        <f>SUMPRODUCT((Events!$B$6:$B$158&lt;=$A19)*(Events!$C$6:$C$158&gt;=$A19)*(Events!$E$6:$E$158="Subsidy &amp; guarantee")*Events!$H$6:$H$158)+SUMPRODUCT((Events!$B$6:$B$158&lt;=$A19)*(Events!$C$6:$C$158&gt;=$A19)*(Events!$E$6:$E$158="Relief")*Events!$H$6:$H$158)</f>
        <v/>
      </c>
      <c r="W19" s="53">
        <f>SUMPRODUCT((Events!$B$6:$B$158&lt;=$A19)*(Events!$C$6:$C$158&gt;=$A19)*(Events!$E$6:$E$158="Bank rescue &amp; capital")*Events!$H$6:$H$158)</f>
        <v/>
      </c>
      <c r="X19" s="53">
        <f>'Debt &amp; cash'!R18*Paths!Y19</f>
        <v/>
      </c>
      <c r="Y19" s="53">
        <f>SUM(N19:X19)</f>
        <v/>
      </c>
      <c r="Z19" s="53">
        <f>M19-Y19</f>
        <v/>
      </c>
      <c r="AA19" s="63">
        <f>M19/Economy!O19</f>
        <v/>
      </c>
      <c r="AB19" s="63">
        <f>Y19/Economy!O19</f>
        <v/>
      </c>
      <c r="AC19" s="63">
        <f>(N19+O19+P19)/Economy!O19</f>
        <v/>
      </c>
    </row>
    <row r="20">
      <c r="A20" s="58" t="n">
        <v>1860</v>
      </c>
      <c r="B20" s="53">
        <f>Economy!O20*Paths!N20*Paths!O20*cust_coll</f>
        <v/>
      </c>
      <c r="C20" s="53">
        <f>(Economy!J20+Economy!L20+Economy!M20+Economy!N20)*Paths!P20*Paths!Q20</f>
        <v/>
      </c>
      <c r="D20" s="53">
        <f>Resources!P20+Resources!Q20</f>
        <v/>
      </c>
      <c r="E20" s="53">
        <f>Paths!S20*(1-canal_opcost)*canal_share</f>
        <v/>
      </c>
      <c r="F20" s="53">
        <f>Economy!O20*Paths!R20</f>
        <v/>
      </c>
      <c r="G20" s="53">
        <f>SUMPRODUCT((Events!$B$6:$B$158&lt;=$A20)*(Events!$C$6:$C$158&gt;=$A20)*(Events!$E$6:$E$158="Receipt")*Events!$H$6:$H$158)</f>
        <v/>
      </c>
      <c r="H20" s="69">
        <f>Loans!Y20</f>
        <v/>
      </c>
      <c r="I20" s="53">
        <f>'Debt &amp; cash'!S19*fund_yield</f>
        <v/>
      </c>
      <c r="J20" s="69">
        <f>Labour!Q20</f>
        <v/>
      </c>
      <c r="K20" s="69">
        <f>Champions!BD20</f>
        <v/>
      </c>
      <c r="L20" s="69">
        <f>Abroad!N20</f>
        <v/>
      </c>
      <c r="M20" s="53">
        <f>SUM(B20:L20)</f>
        <v/>
      </c>
      <c r="N20" s="53">
        <f>(Paths!W20*army_cost+Paths!X20*res_cost)*Economy!H20/1000000</f>
        <v/>
      </c>
      <c r="O20" s="69">
        <f>Navy!Y20</f>
        <v/>
      </c>
      <c r="P20" s="53">
        <f>SUMPRODUCT((Events!$B$6:$B$158&lt;=$A20)*(Events!$C$6:$C$158&gt;=$A20)*(Events!$E$6:$E$158="War &amp; operations")*Events!$H$6:$H$158)</f>
        <v/>
      </c>
      <c r="Q20" s="53">
        <f>Economy!O20*Paths!T20</f>
        <v/>
      </c>
      <c r="R20" s="53">
        <f>Economy!O20*Paths!U20</f>
        <v/>
      </c>
      <c r="S20" s="53">
        <f>Economy!O20*Paths!V20+SUMPRODUCT((Events!$B$6:$B$158&lt;=$A20)*(Events!$C$6:$C$158&gt;=$A20)*(Events!$E$6:$E$158="Programme")*Events!$H$6:$H$158)+SUMPRODUCT((Events!$B$6:$B$158&lt;=$A20)*(Events!$C$6:$C$158&gt;=$A20)*(Events!$E$6:$E$158="Investment")*Events!$H$6:$H$158)</f>
        <v/>
      </c>
      <c r="T20" s="53">
        <f>(People!T20*assist_cost+Labour!AD20*talent_cost+Labour!L20*gw_admin)*Economy!H20/1000000</f>
        <v/>
      </c>
      <c r="U20" s="53">
        <f>SUMPRODUCT((Events!$B$6:$B$158&lt;=$A20)*(Events!$C$6:$C$158&gt;=$A20)*(Events!$E$6:$E$158="Purchase")*Events!$H$6:$H$158)</f>
        <v/>
      </c>
      <c r="V20" s="53">
        <f>SUMPRODUCT((Events!$B$6:$B$158&lt;=$A20)*(Events!$C$6:$C$158&gt;=$A20)*(Events!$E$6:$E$158="Subsidy &amp; guarantee")*Events!$H$6:$H$158)+SUMPRODUCT((Events!$B$6:$B$158&lt;=$A20)*(Events!$C$6:$C$158&gt;=$A20)*(Events!$E$6:$E$158="Relief")*Events!$H$6:$H$158)</f>
        <v/>
      </c>
      <c r="W20" s="53">
        <f>SUMPRODUCT((Events!$B$6:$B$158&lt;=$A20)*(Events!$C$6:$C$158&gt;=$A20)*(Events!$E$6:$E$158="Bank rescue &amp; capital")*Events!$H$6:$H$158)</f>
        <v/>
      </c>
      <c r="X20" s="53">
        <f>'Debt &amp; cash'!R19*Paths!Y20</f>
        <v/>
      </c>
      <c r="Y20" s="53">
        <f>SUM(N20:X20)</f>
        <v/>
      </c>
      <c r="Z20" s="53">
        <f>M20-Y20</f>
        <v/>
      </c>
      <c r="AA20" s="63">
        <f>M20/Economy!O20</f>
        <v/>
      </c>
      <c r="AB20" s="63">
        <f>Y20/Economy!O20</f>
        <v/>
      </c>
      <c r="AC20" s="63">
        <f>(N20+O20+P20)/Economy!O20</f>
        <v/>
      </c>
    </row>
    <row r="21">
      <c r="A21" s="61" t="n">
        <v>1861</v>
      </c>
      <c r="B21" s="53">
        <f>Economy!O21*Paths!N21*Paths!O21*cust_coll</f>
        <v/>
      </c>
      <c r="C21" s="53">
        <f>(Economy!J21+Economy!L21+Economy!M21+Economy!N21)*Paths!P21*Paths!Q21</f>
        <v/>
      </c>
      <c r="D21" s="53">
        <f>Resources!P21+Resources!Q21</f>
        <v/>
      </c>
      <c r="E21" s="53">
        <f>Paths!S21*(1-canal_opcost)*canal_share</f>
        <v/>
      </c>
      <c r="F21" s="53">
        <f>Economy!O21*Paths!R21</f>
        <v/>
      </c>
      <c r="G21" s="53">
        <f>SUMPRODUCT((Events!$B$6:$B$158&lt;=$A21)*(Events!$C$6:$C$158&gt;=$A21)*(Events!$E$6:$E$158="Receipt")*Events!$H$6:$H$158)</f>
        <v/>
      </c>
      <c r="H21" s="69">
        <f>Loans!Y21</f>
        <v/>
      </c>
      <c r="I21" s="53">
        <f>'Debt &amp; cash'!S20*fund_yield</f>
        <v/>
      </c>
      <c r="J21" s="69">
        <f>Labour!Q21</f>
        <v/>
      </c>
      <c r="K21" s="69">
        <f>Champions!BD21</f>
        <v/>
      </c>
      <c r="L21" s="69">
        <f>Abroad!N21</f>
        <v/>
      </c>
      <c r="M21" s="53">
        <f>SUM(B21:L21)</f>
        <v/>
      </c>
      <c r="N21" s="53">
        <f>(Paths!W21*army_cost+Paths!X21*res_cost)*Economy!H21/1000000</f>
        <v/>
      </c>
      <c r="O21" s="69">
        <f>Navy!Y21</f>
        <v/>
      </c>
      <c r="P21" s="53">
        <f>SUMPRODUCT((Events!$B$6:$B$158&lt;=$A21)*(Events!$C$6:$C$158&gt;=$A21)*(Events!$E$6:$E$158="War &amp; operations")*Events!$H$6:$H$158)</f>
        <v/>
      </c>
      <c r="Q21" s="53">
        <f>Economy!O21*Paths!T21</f>
        <v/>
      </c>
      <c r="R21" s="53">
        <f>Economy!O21*Paths!U21</f>
        <v/>
      </c>
      <c r="S21" s="53">
        <f>Economy!O21*Paths!V21+SUMPRODUCT((Events!$B$6:$B$158&lt;=$A21)*(Events!$C$6:$C$158&gt;=$A21)*(Events!$E$6:$E$158="Programme")*Events!$H$6:$H$158)+SUMPRODUCT((Events!$B$6:$B$158&lt;=$A21)*(Events!$C$6:$C$158&gt;=$A21)*(Events!$E$6:$E$158="Investment")*Events!$H$6:$H$158)</f>
        <v/>
      </c>
      <c r="T21" s="53">
        <f>(People!T21*assist_cost+Labour!AD21*talent_cost+Labour!L21*gw_admin)*Economy!H21/1000000</f>
        <v/>
      </c>
      <c r="U21" s="53">
        <f>SUMPRODUCT((Events!$B$6:$B$158&lt;=$A21)*(Events!$C$6:$C$158&gt;=$A21)*(Events!$E$6:$E$158="Purchase")*Events!$H$6:$H$158)</f>
        <v/>
      </c>
      <c r="V21" s="53">
        <f>SUMPRODUCT((Events!$B$6:$B$158&lt;=$A21)*(Events!$C$6:$C$158&gt;=$A21)*(Events!$E$6:$E$158="Subsidy &amp; guarantee")*Events!$H$6:$H$158)+SUMPRODUCT((Events!$B$6:$B$158&lt;=$A21)*(Events!$C$6:$C$158&gt;=$A21)*(Events!$E$6:$E$158="Relief")*Events!$H$6:$H$158)</f>
        <v/>
      </c>
      <c r="W21" s="53">
        <f>SUMPRODUCT((Events!$B$6:$B$158&lt;=$A21)*(Events!$C$6:$C$158&gt;=$A21)*(Events!$E$6:$E$158="Bank rescue &amp; capital")*Events!$H$6:$H$158)</f>
        <v/>
      </c>
      <c r="X21" s="53">
        <f>'Debt &amp; cash'!R20*Paths!Y21</f>
        <v/>
      </c>
      <c r="Y21" s="53">
        <f>SUM(N21:X21)</f>
        <v/>
      </c>
      <c r="Z21" s="53">
        <f>M21-Y21</f>
        <v/>
      </c>
      <c r="AA21" s="63">
        <f>M21/Economy!O21</f>
        <v/>
      </c>
      <c r="AB21" s="63">
        <f>Y21/Economy!O21</f>
        <v/>
      </c>
      <c r="AC21" s="63">
        <f>(N21+O21+P21)/Economy!O21</f>
        <v/>
      </c>
    </row>
    <row r="22">
      <c r="A22" s="61" t="n">
        <v>1862</v>
      </c>
      <c r="B22" s="53">
        <f>Economy!O22*Paths!N22*Paths!O22*cust_coll</f>
        <v/>
      </c>
      <c r="C22" s="53">
        <f>(Economy!J22+Economy!L22+Economy!M22+Economy!N22)*Paths!P22*Paths!Q22</f>
        <v/>
      </c>
      <c r="D22" s="53">
        <f>Resources!P22+Resources!Q22</f>
        <v/>
      </c>
      <c r="E22" s="53">
        <f>Paths!S22*(1-canal_opcost)*canal_share</f>
        <v/>
      </c>
      <c r="F22" s="53">
        <f>Economy!O22*Paths!R22</f>
        <v/>
      </c>
      <c r="G22" s="53">
        <f>SUMPRODUCT((Events!$B$6:$B$158&lt;=$A22)*(Events!$C$6:$C$158&gt;=$A22)*(Events!$E$6:$E$158="Receipt")*Events!$H$6:$H$158)</f>
        <v/>
      </c>
      <c r="H22" s="69">
        <f>Loans!Y22</f>
        <v/>
      </c>
      <c r="I22" s="53">
        <f>'Debt &amp; cash'!S21*fund_yield</f>
        <v/>
      </c>
      <c r="J22" s="69">
        <f>Labour!Q22</f>
        <v/>
      </c>
      <c r="K22" s="69">
        <f>Champions!BD22</f>
        <v/>
      </c>
      <c r="L22" s="69">
        <f>Abroad!N22</f>
        <v/>
      </c>
      <c r="M22" s="53">
        <f>SUM(B22:L22)</f>
        <v/>
      </c>
      <c r="N22" s="53">
        <f>(Paths!W22*army_cost+Paths!X22*res_cost)*Economy!H22/1000000</f>
        <v/>
      </c>
      <c r="O22" s="69">
        <f>Navy!Y22</f>
        <v/>
      </c>
      <c r="P22" s="53">
        <f>SUMPRODUCT((Events!$B$6:$B$158&lt;=$A22)*(Events!$C$6:$C$158&gt;=$A22)*(Events!$E$6:$E$158="War &amp; operations")*Events!$H$6:$H$158)</f>
        <v/>
      </c>
      <c r="Q22" s="53">
        <f>Economy!O22*Paths!T22</f>
        <v/>
      </c>
      <c r="R22" s="53">
        <f>Economy!O22*Paths!U22</f>
        <v/>
      </c>
      <c r="S22" s="53">
        <f>Economy!O22*Paths!V22+SUMPRODUCT((Events!$B$6:$B$158&lt;=$A22)*(Events!$C$6:$C$158&gt;=$A22)*(Events!$E$6:$E$158="Programme")*Events!$H$6:$H$158)+SUMPRODUCT((Events!$B$6:$B$158&lt;=$A22)*(Events!$C$6:$C$158&gt;=$A22)*(Events!$E$6:$E$158="Investment")*Events!$H$6:$H$158)</f>
        <v/>
      </c>
      <c r="T22" s="53">
        <f>(People!T22*assist_cost+Labour!AD22*talent_cost+Labour!L22*gw_admin)*Economy!H22/1000000</f>
        <v/>
      </c>
      <c r="U22" s="53">
        <f>SUMPRODUCT((Events!$B$6:$B$158&lt;=$A22)*(Events!$C$6:$C$158&gt;=$A22)*(Events!$E$6:$E$158="Purchase")*Events!$H$6:$H$158)</f>
        <v/>
      </c>
      <c r="V22" s="53">
        <f>SUMPRODUCT((Events!$B$6:$B$158&lt;=$A22)*(Events!$C$6:$C$158&gt;=$A22)*(Events!$E$6:$E$158="Subsidy &amp; guarantee")*Events!$H$6:$H$158)+SUMPRODUCT((Events!$B$6:$B$158&lt;=$A22)*(Events!$C$6:$C$158&gt;=$A22)*(Events!$E$6:$E$158="Relief")*Events!$H$6:$H$158)</f>
        <v/>
      </c>
      <c r="W22" s="53">
        <f>SUMPRODUCT((Events!$B$6:$B$158&lt;=$A22)*(Events!$C$6:$C$158&gt;=$A22)*(Events!$E$6:$E$158="Bank rescue &amp; capital")*Events!$H$6:$H$158)</f>
        <v/>
      </c>
      <c r="X22" s="53">
        <f>'Debt &amp; cash'!R21*Paths!Y22</f>
        <v/>
      </c>
      <c r="Y22" s="53">
        <f>SUM(N22:X22)</f>
        <v/>
      </c>
      <c r="Z22" s="53">
        <f>M22-Y22</f>
        <v/>
      </c>
      <c r="AA22" s="63">
        <f>M22/Economy!O22</f>
        <v/>
      </c>
      <c r="AB22" s="63">
        <f>Y22/Economy!O22</f>
        <v/>
      </c>
      <c r="AC22" s="63">
        <f>(N22+O22+P22)/Economy!O22</f>
        <v/>
      </c>
    </row>
    <row r="23">
      <c r="A23" s="61" t="n">
        <v>1863</v>
      </c>
      <c r="B23" s="53">
        <f>Economy!O23*Paths!N23*Paths!O23*cust_coll</f>
        <v/>
      </c>
      <c r="C23" s="53">
        <f>(Economy!J23+Economy!L23+Economy!M23+Economy!N23)*Paths!P23*Paths!Q23</f>
        <v/>
      </c>
      <c r="D23" s="53">
        <f>Resources!P23+Resources!Q23</f>
        <v/>
      </c>
      <c r="E23" s="53">
        <f>Paths!S23*(1-canal_opcost)*canal_share</f>
        <v/>
      </c>
      <c r="F23" s="53">
        <f>Economy!O23*Paths!R23</f>
        <v/>
      </c>
      <c r="G23" s="53">
        <f>SUMPRODUCT((Events!$B$6:$B$158&lt;=$A23)*(Events!$C$6:$C$158&gt;=$A23)*(Events!$E$6:$E$158="Receipt")*Events!$H$6:$H$158)</f>
        <v/>
      </c>
      <c r="H23" s="69">
        <f>Loans!Y23</f>
        <v/>
      </c>
      <c r="I23" s="53">
        <f>'Debt &amp; cash'!S22*fund_yield</f>
        <v/>
      </c>
      <c r="J23" s="69">
        <f>Labour!Q23</f>
        <v/>
      </c>
      <c r="K23" s="69">
        <f>Champions!BD23</f>
        <v/>
      </c>
      <c r="L23" s="69">
        <f>Abroad!N23</f>
        <v/>
      </c>
      <c r="M23" s="53">
        <f>SUM(B23:L23)</f>
        <v/>
      </c>
      <c r="N23" s="53">
        <f>(Paths!W23*army_cost+Paths!X23*res_cost)*Economy!H23/1000000</f>
        <v/>
      </c>
      <c r="O23" s="69">
        <f>Navy!Y23</f>
        <v/>
      </c>
      <c r="P23" s="53">
        <f>SUMPRODUCT((Events!$B$6:$B$158&lt;=$A23)*(Events!$C$6:$C$158&gt;=$A23)*(Events!$E$6:$E$158="War &amp; operations")*Events!$H$6:$H$158)</f>
        <v/>
      </c>
      <c r="Q23" s="53">
        <f>Economy!O23*Paths!T23</f>
        <v/>
      </c>
      <c r="R23" s="53">
        <f>Economy!O23*Paths!U23</f>
        <v/>
      </c>
      <c r="S23" s="53">
        <f>Economy!O23*Paths!V23+SUMPRODUCT((Events!$B$6:$B$158&lt;=$A23)*(Events!$C$6:$C$158&gt;=$A23)*(Events!$E$6:$E$158="Programme")*Events!$H$6:$H$158)+SUMPRODUCT((Events!$B$6:$B$158&lt;=$A23)*(Events!$C$6:$C$158&gt;=$A23)*(Events!$E$6:$E$158="Investment")*Events!$H$6:$H$158)</f>
        <v/>
      </c>
      <c r="T23" s="53">
        <f>(People!T23*assist_cost+Labour!AD23*talent_cost+Labour!L23*gw_admin)*Economy!H23/1000000</f>
        <v/>
      </c>
      <c r="U23" s="53">
        <f>SUMPRODUCT((Events!$B$6:$B$158&lt;=$A23)*(Events!$C$6:$C$158&gt;=$A23)*(Events!$E$6:$E$158="Purchase")*Events!$H$6:$H$158)</f>
        <v/>
      </c>
      <c r="V23" s="53">
        <f>SUMPRODUCT((Events!$B$6:$B$158&lt;=$A23)*(Events!$C$6:$C$158&gt;=$A23)*(Events!$E$6:$E$158="Subsidy &amp; guarantee")*Events!$H$6:$H$158)+SUMPRODUCT((Events!$B$6:$B$158&lt;=$A23)*(Events!$C$6:$C$158&gt;=$A23)*(Events!$E$6:$E$158="Relief")*Events!$H$6:$H$158)</f>
        <v/>
      </c>
      <c r="W23" s="53">
        <f>SUMPRODUCT((Events!$B$6:$B$158&lt;=$A23)*(Events!$C$6:$C$158&gt;=$A23)*(Events!$E$6:$E$158="Bank rescue &amp; capital")*Events!$H$6:$H$158)</f>
        <v/>
      </c>
      <c r="X23" s="53">
        <f>'Debt &amp; cash'!R22*Paths!Y23</f>
        <v/>
      </c>
      <c r="Y23" s="53">
        <f>SUM(N23:X23)</f>
        <v/>
      </c>
      <c r="Z23" s="53">
        <f>M23-Y23</f>
        <v/>
      </c>
      <c r="AA23" s="63">
        <f>M23/Economy!O23</f>
        <v/>
      </c>
      <c r="AB23" s="63">
        <f>Y23/Economy!O23</f>
        <v/>
      </c>
      <c r="AC23" s="63">
        <f>(N23+O23+P23)/Economy!O23</f>
        <v/>
      </c>
    </row>
    <row r="24">
      <c r="A24" s="61" t="n">
        <v>1864</v>
      </c>
      <c r="B24" s="53">
        <f>Economy!O24*Paths!N24*Paths!O24*cust_coll</f>
        <v/>
      </c>
      <c r="C24" s="53">
        <f>(Economy!J24+Economy!L24+Economy!M24+Economy!N24)*Paths!P24*Paths!Q24</f>
        <v/>
      </c>
      <c r="D24" s="53">
        <f>Resources!P24+Resources!Q24</f>
        <v/>
      </c>
      <c r="E24" s="53">
        <f>Paths!S24*(1-canal_opcost)*canal_share</f>
        <v/>
      </c>
      <c r="F24" s="53">
        <f>Economy!O24*Paths!R24</f>
        <v/>
      </c>
      <c r="G24" s="53">
        <f>SUMPRODUCT((Events!$B$6:$B$158&lt;=$A24)*(Events!$C$6:$C$158&gt;=$A24)*(Events!$E$6:$E$158="Receipt")*Events!$H$6:$H$158)</f>
        <v/>
      </c>
      <c r="H24" s="69">
        <f>Loans!Y24</f>
        <v/>
      </c>
      <c r="I24" s="53">
        <f>'Debt &amp; cash'!S23*fund_yield</f>
        <v/>
      </c>
      <c r="J24" s="69">
        <f>Labour!Q24</f>
        <v/>
      </c>
      <c r="K24" s="69">
        <f>Champions!BD24</f>
        <v/>
      </c>
      <c r="L24" s="69">
        <f>Abroad!N24</f>
        <v/>
      </c>
      <c r="M24" s="53">
        <f>SUM(B24:L24)</f>
        <v/>
      </c>
      <c r="N24" s="53">
        <f>(Paths!W24*army_cost+Paths!X24*res_cost)*Economy!H24/1000000</f>
        <v/>
      </c>
      <c r="O24" s="69">
        <f>Navy!Y24</f>
        <v/>
      </c>
      <c r="P24" s="53">
        <f>SUMPRODUCT((Events!$B$6:$B$158&lt;=$A24)*(Events!$C$6:$C$158&gt;=$A24)*(Events!$E$6:$E$158="War &amp; operations")*Events!$H$6:$H$158)</f>
        <v/>
      </c>
      <c r="Q24" s="53">
        <f>Economy!O24*Paths!T24</f>
        <v/>
      </c>
      <c r="R24" s="53">
        <f>Economy!O24*Paths!U24</f>
        <v/>
      </c>
      <c r="S24" s="53">
        <f>Economy!O24*Paths!V24+SUMPRODUCT((Events!$B$6:$B$158&lt;=$A24)*(Events!$C$6:$C$158&gt;=$A24)*(Events!$E$6:$E$158="Programme")*Events!$H$6:$H$158)+SUMPRODUCT((Events!$B$6:$B$158&lt;=$A24)*(Events!$C$6:$C$158&gt;=$A24)*(Events!$E$6:$E$158="Investment")*Events!$H$6:$H$158)</f>
        <v/>
      </c>
      <c r="T24" s="53">
        <f>(People!T24*assist_cost+Labour!AD24*talent_cost+Labour!L24*gw_admin)*Economy!H24/1000000</f>
        <v/>
      </c>
      <c r="U24" s="53">
        <f>SUMPRODUCT((Events!$B$6:$B$158&lt;=$A24)*(Events!$C$6:$C$158&gt;=$A24)*(Events!$E$6:$E$158="Purchase")*Events!$H$6:$H$158)</f>
        <v/>
      </c>
      <c r="V24" s="53">
        <f>SUMPRODUCT((Events!$B$6:$B$158&lt;=$A24)*(Events!$C$6:$C$158&gt;=$A24)*(Events!$E$6:$E$158="Subsidy &amp; guarantee")*Events!$H$6:$H$158)+SUMPRODUCT((Events!$B$6:$B$158&lt;=$A24)*(Events!$C$6:$C$158&gt;=$A24)*(Events!$E$6:$E$158="Relief")*Events!$H$6:$H$158)</f>
        <v/>
      </c>
      <c r="W24" s="53">
        <f>SUMPRODUCT((Events!$B$6:$B$158&lt;=$A24)*(Events!$C$6:$C$158&gt;=$A24)*(Events!$E$6:$E$158="Bank rescue &amp; capital")*Events!$H$6:$H$158)</f>
        <v/>
      </c>
      <c r="X24" s="53">
        <f>'Debt &amp; cash'!R23*Paths!Y24</f>
        <v/>
      </c>
      <c r="Y24" s="53">
        <f>SUM(N24:X24)</f>
        <v/>
      </c>
      <c r="Z24" s="53">
        <f>M24-Y24</f>
        <v/>
      </c>
      <c r="AA24" s="63">
        <f>M24/Economy!O24</f>
        <v/>
      </c>
      <c r="AB24" s="63">
        <f>Y24/Economy!O24</f>
        <v/>
      </c>
      <c r="AC24" s="63">
        <f>(N24+O24+P24)/Economy!O24</f>
        <v/>
      </c>
    </row>
    <row r="25">
      <c r="A25" s="61" t="n">
        <v>1865</v>
      </c>
      <c r="B25" s="53">
        <f>Economy!O25*Paths!N25*Paths!O25*cust_coll</f>
        <v/>
      </c>
      <c r="C25" s="53">
        <f>(Economy!J25+Economy!L25+Economy!M25+Economy!N25)*Paths!P25*Paths!Q25</f>
        <v/>
      </c>
      <c r="D25" s="53">
        <f>Resources!P25+Resources!Q25</f>
        <v/>
      </c>
      <c r="E25" s="53">
        <f>Paths!S25*(1-canal_opcost)*canal_share</f>
        <v/>
      </c>
      <c r="F25" s="53">
        <f>Economy!O25*Paths!R25</f>
        <v/>
      </c>
      <c r="G25" s="53">
        <f>SUMPRODUCT((Events!$B$6:$B$158&lt;=$A25)*(Events!$C$6:$C$158&gt;=$A25)*(Events!$E$6:$E$158="Receipt")*Events!$H$6:$H$158)</f>
        <v/>
      </c>
      <c r="H25" s="69">
        <f>Loans!Y25</f>
        <v/>
      </c>
      <c r="I25" s="53">
        <f>'Debt &amp; cash'!S24*fund_yield</f>
        <v/>
      </c>
      <c r="J25" s="69">
        <f>Labour!Q25</f>
        <v/>
      </c>
      <c r="K25" s="69">
        <f>Champions!BD25</f>
        <v/>
      </c>
      <c r="L25" s="69">
        <f>Abroad!N25</f>
        <v/>
      </c>
      <c r="M25" s="53">
        <f>SUM(B25:L25)</f>
        <v/>
      </c>
      <c r="N25" s="53">
        <f>(Paths!W25*army_cost+Paths!X25*res_cost)*Economy!H25/1000000</f>
        <v/>
      </c>
      <c r="O25" s="69">
        <f>Navy!Y25</f>
        <v/>
      </c>
      <c r="P25" s="53">
        <f>SUMPRODUCT((Events!$B$6:$B$158&lt;=$A25)*(Events!$C$6:$C$158&gt;=$A25)*(Events!$E$6:$E$158="War &amp; operations")*Events!$H$6:$H$158)</f>
        <v/>
      </c>
      <c r="Q25" s="53">
        <f>Economy!O25*Paths!T25</f>
        <v/>
      </c>
      <c r="R25" s="53">
        <f>Economy!O25*Paths!U25</f>
        <v/>
      </c>
      <c r="S25" s="53">
        <f>Economy!O25*Paths!V25+SUMPRODUCT((Events!$B$6:$B$158&lt;=$A25)*(Events!$C$6:$C$158&gt;=$A25)*(Events!$E$6:$E$158="Programme")*Events!$H$6:$H$158)+SUMPRODUCT((Events!$B$6:$B$158&lt;=$A25)*(Events!$C$6:$C$158&gt;=$A25)*(Events!$E$6:$E$158="Investment")*Events!$H$6:$H$158)</f>
        <v/>
      </c>
      <c r="T25" s="53">
        <f>(People!T25*assist_cost+Labour!AD25*talent_cost+Labour!L25*gw_admin)*Economy!H25/1000000</f>
        <v/>
      </c>
      <c r="U25" s="53">
        <f>SUMPRODUCT((Events!$B$6:$B$158&lt;=$A25)*(Events!$C$6:$C$158&gt;=$A25)*(Events!$E$6:$E$158="Purchase")*Events!$H$6:$H$158)</f>
        <v/>
      </c>
      <c r="V25" s="53">
        <f>SUMPRODUCT((Events!$B$6:$B$158&lt;=$A25)*(Events!$C$6:$C$158&gt;=$A25)*(Events!$E$6:$E$158="Subsidy &amp; guarantee")*Events!$H$6:$H$158)+SUMPRODUCT((Events!$B$6:$B$158&lt;=$A25)*(Events!$C$6:$C$158&gt;=$A25)*(Events!$E$6:$E$158="Relief")*Events!$H$6:$H$158)</f>
        <v/>
      </c>
      <c r="W25" s="53">
        <f>SUMPRODUCT((Events!$B$6:$B$158&lt;=$A25)*(Events!$C$6:$C$158&gt;=$A25)*(Events!$E$6:$E$158="Bank rescue &amp; capital")*Events!$H$6:$H$158)</f>
        <v/>
      </c>
      <c r="X25" s="53">
        <f>'Debt &amp; cash'!R24*Paths!Y25</f>
        <v/>
      </c>
      <c r="Y25" s="53">
        <f>SUM(N25:X25)</f>
        <v/>
      </c>
      <c r="Z25" s="53">
        <f>M25-Y25</f>
        <v/>
      </c>
      <c r="AA25" s="63">
        <f>M25/Economy!O25</f>
        <v/>
      </c>
      <c r="AB25" s="63">
        <f>Y25/Economy!O25</f>
        <v/>
      </c>
      <c r="AC25" s="63">
        <f>(N25+O25+P25)/Economy!O25</f>
        <v/>
      </c>
    </row>
    <row r="26">
      <c r="A26" s="58" t="n">
        <v>1866</v>
      </c>
      <c r="B26" s="53">
        <f>Economy!O26*Paths!N26*Paths!O26*cust_coll</f>
        <v/>
      </c>
      <c r="C26" s="53">
        <f>(Economy!J26+Economy!L26+Economy!M26+Economy!N26)*Paths!P26*Paths!Q26</f>
        <v/>
      </c>
      <c r="D26" s="53">
        <f>Resources!P26+Resources!Q26</f>
        <v/>
      </c>
      <c r="E26" s="53">
        <f>Paths!S26*(1-canal_opcost)*canal_share</f>
        <v/>
      </c>
      <c r="F26" s="53">
        <f>Economy!O26*Paths!R26</f>
        <v/>
      </c>
      <c r="G26" s="53">
        <f>SUMPRODUCT((Events!$B$6:$B$158&lt;=$A26)*(Events!$C$6:$C$158&gt;=$A26)*(Events!$E$6:$E$158="Receipt")*Events!$H$6:$H$158)</f>
        <v/>
      </c>
      <c r="H26" s="69">
        <f>Loans!Y26</f>
        <v/>
      </c>
      <c r="I26" s="53">
        <f>'Debt &amp; cash'!S25*fund_yield</f>
        <v/>
      </c>
      <c r="J26" s="69">
        <f>Labour!Q26</f>
        <v/>
      </c>
      <c r="K26" s="69">
        <f>Champions!BD26</f>
        <v/>
      </c>
      <c r="L26" s="69">
        <f>Abroad!N26</f>
        <v/>
      </c>
      <c r="M26" s="53">
        <f>SUM(B26:L26)</f>
        <v/>
      </c>
      <c r="N26" s="53">
        <f>(Paths!W26*army_cost+Paths!X26*res_cost)*Economy!H26/1000000</f>
        <v/>
      </c>
      <c r="O26" s="69">
        <f>Navy!Y26</f>
        <v/>
      </c>
      <c r="P26" s="53">
        <f>SUMPRODUCT((Events!$B$6:$B$158&lt;=$A26)*(Events!$C$6:$C$158&gt;=$A26)*(Events!$E$6:$E$158="War &amp; operations")*Events!$H$6:$H$158)</f>
        <v/>
      </c>
      <c r="Q26" s="53">
        <f>Economy!O26*Paths!T26</f>
        <v/>
      </c>
      <c r="R26" s="53">
        <f>Economy!O26*Paths!U26</f>
        <v/>
      </c>
      <c r="S26" s="53">
        <f>Economy!O26*Paths!V26+SUMPRODUCT((Events!$B$6:$B$158&lt;=$A26)*(Events!$C$6:$C$158&gt;=$A26)*(Events!$E$6:$E$158="Programme")*Events!$H$6:$H$158)+SUMPRODUCT((Events!$B$6:$B$158&lt;=$A26)*(Events!$C$6:$C$158&gt;=$A26)*(Events!$E$6:$E$158="Investment")*Events!$H$6:$H$158)</f>
        <v/>
      </c>
      <c r="T26" s="53">
        <f>(People!T26*assist_cost+Labour!AD26*talent_cost+Labour!L26*gw_admin)*Economy!H26/1000000</f>
        <v/>
      </c>
      <c r="U26" s="53">
        <f>SUMPRODUCT((Events!$B$6:$B$158&lt;=$A26)*(Events!$C$6:$C$158&gt;=$A26)*(Events!$E$6:$E$158="Purchase")*Events!$H$6:$H$158)</f>
        <v/>
      </c>
      <c r="V26" s="53">
        <f>SUMPRODUCT((Events!$B$6:$B$158&lt;=$A26)*(Events!$C$6:$C$158&gt;=$A26)*(Events!$E$6:$E$158="Subsidy &amp; guarantee")*Events!$H$6:$H$158)+SUMPRODUCT((Events!$B$6:$B$158&lt;=$A26)*(Events!$C$6:$C$158&gt;=$A26)*(Events!$E$6:$E$158="Relief")*Events!$H$6:$H$158)</f>
        <v/>
      </c>
      <c r="W26" s="53">
        <f>SUMPRODUCT((Events!$B$6:$B$158&lt;=$A26)*(Events!$C$6:$C$158&gt;=$A26)*(Events!$E$6:$E$158="Bank rescue &amp; capital")*Events!$H$6:$H$158)</f>
        <v/>
      </c>
      <c r="X26" s="53">
        <f>'Debt &amp; cash'!R25*Paths!Y26</f>
        <v/>
      </c>
      <c r="Y26" s="53">
        <f>SUM(N26:X26)</f>
        <v/>
      </c>
      <c r="Z26" s="53">
        <f>M26-Y26</f>
        <v/>
      </c>
      <c r="AA26" s="63">
        <f>M26/Economy!O26</f>
        <v/>
      </c>
      <c r="AB26" s="63">
        <f>Y26/Economy!O26</f>
        <v/>
      </c>
      <c r="AC26" s="63">
        <f>(N26+O26+P26)/Economy!O26</f>
        <v/>
      </c>
    </row>
    <row r="27">
      <c r="A27" s="58" t="n">
        <v>1867</v>
      </c>
      <c r="B27" s="53">
        <f>Economy!O27*Paths!N27*Paths!O27*cust_coll</f>
        <v/>
      </c>
      <c r="C27" s="53">
        <f>(Economy!J27+Economy!L27+Economy!M27+Economy!N27)*Paths!P27*Paths!Q27</f>
        <v/>
      </c>
      <c r="D27" s="53">
        <f>Resources!P27+Resources!Q27</f>
        <v/>
      </c>
      <c r="E27" s="53">
        <f>Paths!S27*(1-canal_opcost)*canal_share</f>
        <v/>
      </c>
      <c r="F27" s="53">
        <f>Economy!O27*Paths!R27</f>
        <v/>
      </c>
      <c r="G27" s="53">
        <f>SUMPRODUCT((Events!$B$6:$B$158&lt;=$A27)*(Events!$C$6:$C$158&gt;=$A27)*(Events!$E$6:$E$158="Receipt")*Events!$H$6:$H$158)</f>
        <v/>
      </c>
      <c r="H27" s="69">
        <f>Loans!Y27</f>
        <v/>
      </c>
      <c r="I27" s="53">
        <f>'Debt &amp; cash'!S26*fund_yield</f>
        <v/>
      </c>
      <c r="J27" s="69">
        <f>Labour!Q27</f>
        <v/>
      </c>
      <c r="K27" s="69">
        <f>Champions!BD27</f>
        <v/>
      </c>
      <c r="L27" s="69">
        <f>Abroad!N27</f>
        <v/>
      </c>
      <c r="M27" s="53">
        <f>SUM(B27:L27)</f>
        <v/>
      </c>
      <c r="N27" s="53">
        <f>(Paths!W27*army_cost+Paths!X27*res_cost)*Economy!H27/1000000</f>
        <v/>
      </c>
      <c r="O27" s="69">
        <f>Navy!Y27</f>
        <v/>
      </c>
      <c r="P27" s="53">
        <f>SUMPRODUCT((Events!$B$6:$B$158&lt;=$A27)*(Events!$C$6:$C$158&gt;=$A27)*(Events!$E$6:$E$158="War &amp; operations")*Events!$H$6:$H$158)</f>
        <v/>
      </c>
      <c r="Q27" s="53">
        <f>Economy!O27*Paths!T27</f>
        <v/>
      </c>
      <c r="R27" s="53">
        <f>Economy!O27*Paths!U27</f>
        <v/>
      </c>
      <c r="S27" s="53">
        <f>Economy!O27*Paths!V27+SUMPRODUCT((Events!$B$6:$B$158&lt;=$A27)*(Events!$C$6:$C$158&gt;=$A27)*(Events!$E$6:$E$158="Programme")*Events!$H$6:$H$158)+SUMPRODUCT((Events!$B$6:$B$158&lt;=$A27)*(Events!$C$6:$C$158&gt;=$A27)*(Events!$E$6:$E$158="Investment")*Events!$H$6:$H$158)</f>
        <v/>
      </c>
      <c r="T27" s="53">
        <f>(People!T27*assist_cost+Labour!AD27*talent_cost+Labour!L27*gw_admin)*Economy!H27/1000000</f>
        <v/>
      </c>
      <c r="U27" s="53">
        <f>SUMPRODUCT((Events!$B$6:$B$158&lt;=$A27)*(Events!$C$6:$C$158&gt;=$A27)*(Events!$E$6:$E$158="Purchase")*Events!$H$6:$H$158)</f>
        <v/>
      </c>
      <c r="V27" s="53">
        <f>SUMPRODUCT((Events!$B$6:$B$158&lt;=$A27)*(Events!$C$6:$C$158&gt;=$A27)*(Events!$E$6:$E$158="Subsidy &amp; guarantee")*Events!$H$6:$H$158)+SUMPRODUCT((Events!$B$6:$B$158&lt;=$A27)*(Events!$C$6:$C$158&gt;=$A27)*(Events!$E$6:$E$158="Relief")*Events!$H$6:$H$158)</f>
        <v/>
      </c>
      <c r="W27" s="53">
        <f>SUMPRODUCT((Events!$B$6:$B$158&lt;=$A27)*(Events!$C$6:$C$158&gt;=$A27)*(Events!$E$6:$E$158="Bank rescue &amp; capital")*Events!$H$6:$H$158)</f>
        <v/>
      </c>
      <c r="X27" s="53">
        <f>'Debt &amp; cash'!R26*Paths!Y27</f>
        <v/>
      </c>
      <c r="Y27" s="53">
        <f>SUM(N27:X27)</f>
        <v/>
      </c>
      <c r="Z27" s="53">
        <f>M27-Y27</f>
        <v/>
      </c>
      <c r="AA27" s="63">
        <f>M27/Economy!O27</f>
        <v/>
      </c>
      <c r="AB27" s="63">
        <f>Y27/Economy!O27</f>
        <v/>
      </c>
      <c r="AC27" s="63">
        <f>(N27+O27+P27)/Economy!O27</f>
        <v/>
      </c>
    </row>
    <row r="28">
      <c r="A28" s="58" t="n">
        <v>1868</v>
      </c>
      <c r="B28" s="53">
        <f>Economy!O28*Paths!N28*Paths!O28*cust_coll</f>
        <v/>
      </c>
      <c r="C28" s="53">
        <f>(Economy!J28+Economy!L28+Economy!M28+Economy!N28)*Paths!P28*Paths!Q28</f>
        <v/>
      </c>
      <c r="D28" s="53">
        <f>Resources!P28+Resources!Q28</f>
        <v/>
      </c>
      <c r="E28" s="53">
        <f>Paths!S28*(1-canal_opcost)*canal_share</f>
        <v/>
      </c>
      <c r="F28" s="53">
        <f>Economy!O28*Paths!R28</f>
        <v/>
      </c>
      <c r="G28" s="53">
        <f>SUMPRODUCT((Events!$B$6:$B$158&lt;=$A28)*(Events!$C$6:$C$158&gt;=$A28)*(Events!$E$6:$E$158="Receipt")*Events!$H$6:$H$158)</f>
        <v/>
      </c>
      <c r="H28" s="69">
        <f>Loans!Y28</f>
        <v/>
      </c>
      <c r="I28" s="53">
        <f>'Debt &amp; cash'!S27*fund_yield</f>
        <v/>
      </c>
      <c r="J28" s="69">
        <f>Labour!Q28</f>
        <v/>
      </c>
      <c r="K28" s="69">
        <f>Champions!BD28</f>
        <v/>
      </c>
      <c r="L28" s="69">
        <f>Abroad!N28</f>
        <v/>
      </c>
      <c r="M28" s="53">
        <f>SUM(B28:L28)</f>
        <v/>
      </c>
      <c r="N28" s="53">
        <f>(Paths!W28*army_cost+Paths!X28*res_cost)*Economy!H28/1000000</f>
        <v/>
      </c>
      <c r="O28" s="69">
        <f>Navy!Y28</f>
        <v/>
      </c>
      <c r="P28" s="53">
        <f>SUMPRODUCT((Events!$B$6:$B$158&lt;=$A28)*(Events!$C$6:$C$158&gt;=$A28)*(Events!$E$6:$E$158="War &amp; operations")*Events!$H$6:$H$158)</f>
        <v/>
      </c>
      <c r="Q28" s="53">
        <f>Economy!O28*Paths!T28</f>
        <v/>
      </c>
      <c r="R28" s="53">
        <f>Economy!O28*Paths!U28</f>
        <v/>
      </c>
      <c r="S28" s="53">
        <f>Economy!O28*Paths!V28+SUMPRODUCT((Events!$B$6:$B$158&lt;=$A28)*(Events!$C$6:$C$158&gt;=$A28)*(Events!$E$6:$E$158="Programme")*Events!$H$6:$H$158)+SUMPRODUCT((Events!$B$6:$B$158&lt;=$A28)*(Events!$C$6:$C$158&gt;=$A28)*(Events!$E$6:$E$158="Investment")*Events!$H$6:$H$158)</f>
        <v/>
      </c>
      <c r="T28" s="53">
        <f>(People!T28*assist_cost+Labour!AD28*talent_cost+Labour!L28*gw_admin)*Economy!H28/1000000</f>
        <v/>
      </c>
      <c r="U28" s="53">
        <f>SUMPRODUCT((Events!$B$6:$B$158&lt;=$A28)*(Events!$C$6:$C$158&gt;=$A28)*(Events!$E$6:$E$158="Purchase")*Events!$H$6:$H$158)</f>
        <v/>
      </c>
      <c r="V28" s="53">
        <f>SUMPRODUCT((Events!$B$6:$B$158&lt;=$A28)*(Events!$C$6:$C$158&gt;=$A28)*(Events!$E$6:$E$158="Subsidy &amp; guarantee")*Events!$H$6:$H$158)+SUMPRODUCT((Events!$B$6:$B$158&lt;=$A28)*(Events!$C$6:$C$158&gt;=$A28)*(Events!$E$6:$E$158="Relief")*Events!$H$6:$H$158)</f>
        <v/>
      </c>
      <c r="W28" s="53">
        <f>SUMPRODUCT((Events!$B$6:$B$158&lt;=$A28)*(Events!$C$6:$C$158&gt;=$A28)*(Events!$E$6:$E$158="Bank rescue &amp; capital")*Events!$H$6:$H$158)</f>
        <v/>
      </c>
      <c r="X28" s="53">
        <f>'Debt &amp; cash'!R27*Paths!Y28</f>
        <v/>
      </c>
      <c r="Y28" s="53">
        <f>SUM(N28:X28)</f>
        <v/>
      </c>
      <c r="Z28" s="53">
        <f>M28-Y28</f>
        <v/>
      </c>
      <c r="AA28" s="63">
        <f>M28/Economy!O28</f>
        <v/>
      </c>
      <c r="AB28" s="63">
        <f>Y28/Economy!O28</f>
        <v/>
      </c>
      <c r="AC28" s="63">
        <f>(N28+O28+P28)/Economy!O28</f>
        <v/>
      </c>
    </row>
    <row r="29">
      <c r="A29" s="58" t="n">
        <v>1869</v>
      </c>
      <c r="B29" s="53">
        <f>Economy!O29*Paths!N29*Paths!O29*cust_coll</f>
        <v/>
      </c>
      <c r="C29" s="53">
        <f>(Economy!J29+Economy!L29+Economy!M29+Economy!N29)*Paths!P29*Paths!Q29</f>
        <v/>
      </c>
      <c r="D29" s="53">
        <f>Resources!P29+Resources!Q29</f>
        <v/>
      </c>
      <c r="E29" s="53">
        <f>Paths!S29*(1-canal_opcost)*canal_share</f>
        <v/>
      </c>
      <c r="F29" s="53">
        <f>Economy!O29*Paths!R29</f>
        <v/>
      </c>
      <c r="G29" s="53">
        <f>SUMPRODUCT((Events!$B$6:$B$158&lt;=$A29)*(Events!$C$6:$C$158&gt;=$A29)*(Events!$E$6:$E$158="Receipt")*Events!$H$6:$H$158)</f>
        <v/>
      </c>
      <c r="H29" s="69">
        <f>Loans!Y29</f>
        <v/>
      </c>
      <c r="I29" s="53">
        <f>'Debt &amp; cash'!S28*fund_yield</f>
        <v/>
      </c>
      <c r="J29" s="69">
        <f>Labour!Q29</f>
        <v/>
      </c>
      <c r="K29" s="69">
        <f>Champions!BD29</f>
        <v/>
      </c>
      <c r="L29" s="69">
        <f>Abroad!N29</f>
        <v/>
      </c>
      <c r="M29" s="53">
        <f>SUM(B29:L29)</f>
        <v/>
      </c>
      <c r="N29" s="53">
        <f>(Paths!W29*army_cost+Paths!X29*res_cost)*Economy!H29/1000000</f>
        <v/>
      </c>
      <c r="O29" s="69">
        <f>Navy!Y29</f>
        <v/>
      </c>
      <c r="P29" s="53">
        <f>SUMPRODUCT((Events!$B$6:$B$158&lt;=$A29)*(Events!$C$6:$C$158&gt;=$A29)*(Events!$E$6:$E$158="War &amp; operations")*Events!$H$6:$H$158)</f>
        <v/>
      </c>
      <c r="Q29" s="53">
        <f>Economy!O29*Paths!T29</f>
        <v/>
      </c>
      <c r="R29" s="53">
        <f>Economy!O29*Paths!U29</f>
        <v/>
      </c>
      <c r="S29" s="53">
        <f>Economy!O29*Paths!V29+SUMPRODUCT((Events!$B$6:$B$158&lt;=$A29)*(Events!$C$6:$C$158&gt;=$A29)*(Events!$E$6:$E$158="Programme")*Events!$H$6:$H$158)+SUMPRODUCT((Events!$B$6:$B$158&lt;=$A29)*(Events!$C$6:$C$158&gt;=$A29)*(Events!$E$6:$E$158="Investment")*Events!$H$6:$H$158)</f>
        <v/>
      </c>
      <c r="T29" s="53">
        <f>(People!T29*assist_cost+Labour!AD29*talent_cost+Labour!L29*gw_admin)*Economy!H29/1000000</f>
        <v/>
      </c>
      <c r="U29" s="53">
        <f>SUMPRODUCT((Events!$B$6:$B$158&lt;=$A29)*(Events!$C$6:$C$158&gt;=$A29)*(Events!$E$6:$E$158="Purchase")*Events!$H$6:$H$158)</f>
        <v/>
      </c>
      <c r="V29" s="53">
        <f>SUMPRODUCT((Events!$B$6:$B$158&lt;=$A29)*(Events!$C$6:$C$158&gt;=$A29)*(Events!$E$6:$E$158="Subsidy &amp; guarantee")*Events!$H$6:$H$158)+SUMPRODUCT((Events!$B$6:$B$158&lt;=$A29)*(Events!$C$6:$C$158&gt;=$A29)*(Events!$E$6:$E$158="Relief")*Events!$H$6:$H$158)</f>
        <v/>
      </c>
      <c r="W29" s="53">
        <f>SUMPRODUCT((Events!$B$6:$B$158&lt;=$A29)*(Events!$C$6:$C$158&gt;=$A29)*(Events!$E$6:$E$158="Bank rescue &amp; capital")*Events!$H$6:$H$158)</f>
        <v/>
      </c>
      <c r="X29" s="53">
        <f>'Debt &amp; cash'!R28*Paths!Y29</f>
        <v/>
      </c>
      <c r="Y29" s="53">
        <f>SUM(N29:X29)</f>
        <v/>
      </c>
      <c r="Z29" s="53">
        <f>M29-Y29</f>
        <v/>
      </c>
      <c r="AA29" s="63">
        <f>M29/Economy!O29</f>
        <v/>
      </c>
      <c r="AB29" s="63">
        <f>Y29/Economy!O29</f>
        <v/>
      </c>
      <c r="AC29" s="63">
        <f>(N29+O29+P29)/Economy!O29</f>
        <v/>
      </c>
    </row>
    <row r="30">
      <c r="A30" s="61" t="n">
        <v>1870</v>
      </c>
      <c r="B30" s="53">
        <f>Economy!O30*Paths!N30*Paths!O30*cust_coll</f>
        <v/>
      </c>
      <c r="C30" s="53">
        <f>(Economy!J30+Economy!L30+Economy!M30+Economy!N30)*Paths!P30*Paths!Q30</f>
        <v/>
      </c>
      <c r="D30" s="53">
        <f>Resources!P30+Resources!Q30</f>
        <v/>
      </c>
      <c r="E30" s="53">
        <f>Paths!S30*(1-canal_opcost)*canal_share</f>
        <v/>
      </c>
      <c r="F30" s="53">
        <f>Economy!O30*Paths!R30</f>
        <v/>
      </c>
      <c r="G30" s="53">
        <f>SUMPRODUCT((Events!$B$6:$B$158&lt;=$A30)*(Events!$C$6:$C$158&gt;=$A30)*(Events!$E$6:$E$158="Receipt")*Events!$H$6:$H$158)</f>
        <v/>
      </c>
      <c r="H30" s="69">
        <f>Loans!Y30</f>
        <v/>
      </c>
      <c r="I30" s="53">
        <f>'Debt &amp; cash'!S29*fund_yield</f>
        <v/>
      </c>
      <c r="J30" s="69">
        <f>Labour!Q30</f>
        <v/>
      </c>
      <c r="K30" s="69">
        <f>Champions!BD30</f>
        <v/>
      </c>
      <c r="L30" s="69">
        <f>Abroad!N30</f>
        <v/>
      </c>
      <c r="M30" s="53">
        <f>SUM(B30:L30)</f>
        <v/>
      </c>
      <c r="N30" s="53">
        <f>(Paths!W30*army_cost+Paths!X30*res_cost)*Economy!H30/1000000</f>
        <v/>
      </c>
      <c r="O30" s="69">
        <f>Navy!Y30</f>
        <v/>
      </c>
      <c r="P30" s="53">
        <f>SUMPRODUCT((Events!$B$6:$B$158&lt;=$A30)*(Events!$C$6:$C$158&gt;=$A30)*(Events!$E$6:$E$158="War &amp; operations")*Events!$H$6:$H$158)</f>
        <v/>
      </c>
      <c r="Q30" s="53">
        <f>Economy!O30*Paths!T30</f>
        <v/>
      </c>
      <c r="R30" s="53">
        <f>Economy!O30*Paths!U30</f>
        <v/>
      </c>
      <c r="S30" s="53">
        <f>Economy!O30*Paths!V30+SUMPRODUCT((Events!$B$6:$B$158&lt;=$A30)*(Events!$C$6:$C$158&gt;=$A30)*(Events!$E$6:$E$158="Programme")*Events!$H$6:$H$158)+SUMPRODUCT((Events!$B$6:$B$158&lt;=$A30)*(Events!$C$6:$C$158&gt;=$A30)*(Events!$E$6:$E$158="Investment")*Events!$H$6:$H$158)</f>
        <v/>
      </c>
      <c r="T30" s="53">
        <f>(People!T30*assist_cost+Labour!AD30*talent_cost+Labour!L30*gw_admin)*Economy!H30/1000000</f>
        <v/>
      </c>
      <c r="U30" s="53">
        <f>SUMPRODUCT((Events!$B$6:$B$158&lt;=$A30)*(Events!$C$6:$C$158&gt;=$A30)*(Events!$E$6:$E$158="Purchase")*Events!$H$6:$H$158)</f>
        <v/>
      </c>
      <c r="V30" s="53">
        <f>SUMPRODUCT((Events!$B$6:$B$158&lt;=$A30)*(Events!$C$6:$C$158&gt;=$A30)*(Events!$E$6:$E$158="Subsidy &amp; guarantee")*Events!$H$6:$H$158)+SUMPRODUCT((Events!$B$6:$B$158&lt;=$A30)*(Events!$C$6:$C$158&gt;=$A30)*(Events!$E$6:$E$158="Relief")*Events!$H$6:$H$158)</f>
        <v/>
      </c>
      <c r="W30" s="53">
        <f>SUMPRODUCT((Events!$B$6:$B$158&lt;=$A30)*(Events!$C$6:$C$158&gt;=$A30)*(Events!$E$6:$E$158="Bank rescue &amp; capital")*Events!$H$6:$H$158)</f>
        <v/>
      </c>
      <c r="X30" s="53">
        <f>'Debt &amp; cash'!R29*Paths!Y30</f>
        <v/>
      </c>
      <c r="Y30" s="53">
        <f>SUM(N30:X30)</f>
        <v/>
      </c>
      <c r="Z30" s="53">
        <f>M30-Y30</f>
        <v/>
      </c>
      <c r="AA30" s="63">
        <f>M30/Economy!O30</f>
        <v/>
      </c>
      <c r="AB30" s="63">
        <f>Y30/Economy!O30</f>
        <v/>
      </c>
      <c r="AC30" s="63">
        <f>(N30+O30+P30)/Economy!O30</f>
        <v/>
      </c>
    </row>
    <row r="31">
      <c r="A31" s="61" t="n">
        <v>1871</v>
      </c>
      <c r="B31" s="53">
        <f>Economy!O31*Paths!N31*Paths!O31*cust_coll</f>
        <v/>
      </c>
      <c r="C31" s="53">
        <f>(Economy!J31+Economy!L31+Economy!M31+Economy!N31)*Paths!P31*Paths!Q31</f>
        <v/>
      </c>
      <c r="D31" s="53">
        <f>Resources!P31+Resources!Q31</f>
        <v/>
      </c>
      <c r="E31" s="53">
        <f>Paths!S31*(1-canal_opcost)*canal_share</f>
        <v/>
      </c>
      <c r="F31" s="53">
        <f>Economy!O31*Paths!R31</f>
        <v/>
      </c>
      <c r="G31" s="53">
        <f>SUMPRODUCT((Events!$B$6:$B$158&lt;=$A31)*(Events!$C$6:$C$158&gt;=$A31)*(Events!$E$6:$E$158="Receipt")*Events!$H$6:$H$158)</f>
        <v/>
      </c>
      <c r="H31" s="69">
        <f>Loans!Y31</f>
        <v/>
      </c>
      <c r="I31" s="53">
        <f>'Debt &amp; cash'!S30*fund_yield</f>
        <v/>
      </c>
      <c r="J31" s="69">
        <f>Labour!Q31</f>
        <v/>
      </c>
      <c r="K31" s="69">
        <f>Champions!BD31</f>
        <v/>
      </c>
      <c r="L31" s="69">
        <f>Abroad!N31</f>
        <v/>
      </c>
      <c r="M31" s="53">
        <f>SUM(B31:L31)</f>
        <v/>
      </c>
      <c r="N31" s="53">
        <f>(Paths!W31*army_cost+Paths!X31*res_cost)*Economy!H31/1000000</f>
        <v/>
      </c>
      <c r="O31" s="69">
        <f>Navy!Y31</f>
        <v/>
      </c>
      <c r="P31" s="53">
        <f>SUMPRODUCT((Events!$B$6:$B$158&lt;=$A31)*(Events!$C$6:$C$158&gt;=$A31)*(Events!$E$6:$E$158="War &amp; operations")*Events!$H$6:$H$158)</f>
        <v/>
      </c>
      <c r="Q31" s="53">
        <f>Economy!O31*Paths!T31</f>
        <v/>
      </c>
      <c r="R31" s="53">
        <f>Economy!O31*Paths!U31</f>
        <v/>
      </c>
      <c r="S31" s="53">
        <f>Economy!O31*Paths!V31+SUMPRODUCT((Events!$B$6:$B$158&lt;=$A31)*(Events!$C$6:$C$158&gt;=$A31)*(Events!$E$6:$E$158="Programme")*Events!$H$6:$H$158)+SUMPRODUCT((Events!$B$6:$B$158&lt;=$A31)*(Events!$C$6:$C$158&gt;=$A31)*(Events!$E$6:$E$158="Investment")*Events!$H$6:$H$158)</f>
        <v/>
      </c>
      <c r="T31" s="53">
        <f>(People!T31*assist_cost+Labour!AD31*talent_cost+Labour!L31*gw_admin)*Economy!H31/1000000</f>
        <v/>
      </c>
      <c r="U31" s="53">
        <f>SUMPRODUCT((Events!$B$6:$B$158&lt;=$A31)*(Events!$C$6:$C$158&gt;=$A31)*(Events!$E$6:$E$158="Purchase")*Events!$H$6:$H$158)</f>
        <v/>
      </c>
      <c r="V31" s="53">
        <f>SUMPRODUCT((Events!$B$6:$B$158&lt;=$A31)*(Events!$C$6:$C$158&gt;=$A31)*(Events!$E$6:$E$158="Subsidy &amp; guarantee")*Events!$H$6:$H$158)+SUMPRODUCT((Events!$B$6:$B$158&lt;=$A31)*(Events!$C$6:$C$158&gt;=$A31)*(Events!$E$6:$E$158="Relief")*Events!$H$6:$H$158)</f>
        <v/>
      </c>
      <c r="W31" s="53">
        <f>SUMPRODUCT((Events!$B$6:$B$158&lt;=$A31)*(Events!$C$6:$C$158&gt;=$A31)*(Events!$E$6:$E$158="Bank rescue &amp; capital")*Events!$H$6:$H$158)</f>
        <v/>
      </c>
      <c r="X31" s="53">
        <f>'Debt &amp; cash'!R30*Paths!Y31</f>
        <v/>
      </c>
      <c r="Y31" s="53">
        <f>SUM(N31:X31)</f>
        <v/>
      </c>
      <c r="Z31" s="53">
        <f>M31-Y31</f>
        <v/>
      </c>
      <c r="AA31" s="63">
        <f>M31/Economy!O31</f>
        <v/>
      </c>
      <c r="AB31" s="63">
        <f>Y31/Economy!O31</f>
        <v/>
      </c>
      <c r="AC31" s="63">
        <f>(N31+O31+P31)/Economy!O31</f>
        <v/>
      </c>
    </row>
    <row r="32">
      <c r="A32" s="58" t="n">
        <v>1872</v>
      </c>
      <c r="B32" s="53">
        <f>Economy!O32*Paths!N32*Paths!O32*cust_coll</f>
        <v/>
      </c>
      <c r="C32" s="53">
        <f>(Economy!J32+Economy!L32+Economy!M32+Economy!N32)*Paths!P32*Paths!Q32</f>
        <v/>
      </c>
      <c r="D32" s="53">
        <f>Resources!P32+Resources!Q32</f>
        <v/>
      </c>
      <c r="E32" s="53">
        <f>Paths!S32*(1-canal_opcost)*canal_share</f>
        <v/>
      </c>
      <c r="F32" s="53">
        <f>Economy!O32*Paths!R32</f>
        <v/>
      </c>
      <c r="G32" s="53">
        <f>SUMPRODUCT((Events!$B$6:$B$158&lt;=$A32)*(Events!$C$6:$C$158&gt;=$A32)*(Events!$E$6:$E$158="Receipt")*Events!$H$6:$H$158)</f>
        <v/>
      </c>
      <c r="H32" s="69">
        <f>Loans!Y32</f>
        <v/>
      </c>
      <c r="I32" s="53">
        <f>'Debt &amp; cash'!S31*fund_yield</f>
        <v/>
      </c>
      <c r="J32" s="69">
        <f>Labour!Q32</f>
        <v/>
      </c>
      <c r="K32" s="69">
        <f>Champions!BD32</f>
        <v/>
      </c>
      <c r="L32" s="69">
        <f>Abroad!N32</f>
        <v/>
      </c>
      <c r="M32" s="53">
        <f>SUM(B32:L32)</f>
        <v/>
      </c>
      <c r="N32" s="53">
        <f>(Paths!W32*army_cost+Paths!X32*res_cost)*Economy!H32/1000000</f>
        <v/>
      </c>
      <c r="O32" s="69">
        <f>Navy!Y32</f>
        <v/>
      </c>
      <c r="P32" s="53">
        <f>SUMPRODUCT((Events!$B$6:$B$158&lt;=$A32)*(Events!$C$6:$C$158&gt;=$A32)*(Events!$E$6:$E$158="War &amp; operations")*Events!$H$6:$H$158)</f>
        <v/>
      </c>
      <c r="Q32" s="53">
        <f>Economy!O32*Paths!T32</f>
        <v/>
      </c>
      <c r="R32" s="53">
        <f>Economy!O32*Paths!U32</f>
        <v/>
      </c>
      <c r="S32" s="53">
        <f>Economy!O32*Paths!V32+SUMPRODUCT((Events!$B$6:$B$158&lt;=$A32)*(Events!$C$6:$C$158&gt;=$A32)*(Events!$E$6:$E$158="Programme")*Events!$H$6:$H$158)+SUMPRODUCT((Events!$B$6:$B$158&lt;=$A32)*(Events!$C$6:$C$158&gt;=$A32)*(Events!$E$6:$E$158="Investment")*Events!$H$6:$H$158)</f>
        <v/>
      </c>
      <c r="T32" s="53">
        <f>(People!T32*assist_cost+Labour!AD32*talent_cost+Labour!L32*gw_admin)*Economy!H32/1000000</f>
        <v/>
      </c>
      <c r="U32" s="53">
        <f>SUMPRODUCT((Events!$B$6:$B$158&lt;=$A32)*(Events!$C$6:$C$158&gt;=$A32)*(Events!$E$6:$E$158="Purchase")*Events!$H$6:$H$158)</f>
        <v/>
      </c>
      <c r="V32" s="53">
        <f>SUMPRODUCT((Events!$B$6:$B$158&lt;=$A32)*(Events!$C$6:$C$158&gt;=$A32)*(Events!$E$6:$E$158="Subsidy &amp; guarantee")*Events!$H$6:$H$158)+SUMPRODUCT((Events!$B$6:$B$158&lt;=$A32)*(Events!$C$6:$C$158&gt;=$A32)*(Events!$E$6:$E$158="Relief")*Events!$H$6:$H$158)</f>
        <v/>
      </c>
      <c r="W32" s="53">
        <f>SUMPRODUCT((Events!$B$6:$B$158&lt;=$A32)*(Events!$C$6:$C$158&gt;=$A32)*(Events!$E$6:$E$158="Bank rescue &amp; capital")*Events!$H$6:$H$158)</f>
        <v/>
      </c>
      <c r="X32" s="53">
        <f>'Debt &amp; cash'!R31*Paths!Y32</f>
        <v/>
      </c>
      <c r="Y32" s="53">
        <f>SUM(N32:X32)</f>
        <v/>
      </c>
      <c r="Z32" s="53">
        <f>M32-Y32</f>
        <v/>
      </c>
      <c r="AA32" s="63">
        <f>M32/Economy!O32</f>
        <v/>
      </c>
      <c r="AB32" s="63">
        <f>Y32/Economy!O32</f>
        <v/>
      </c>
      <c r="AC32" s="63">
        <f>(N32+O32+P32)/Economy!O32</f>
        <v/>
      </c>
    </row>
    <row r="33">
      <c r="A33" s="58" t="n">
        <v>1873</v>
      </c>
      <c r="B33" s="53">
        <f>Economy!O33*Paths!N33*Paths!O33*cust_coll</f>
        <v/>
      </c>
      <c r="C33" s="53">
        <f>(Economy!J33+Economy!L33+Economy!M33+Economy!N33)*Paths!P33*Paths!Q33</f>
        <v/>
      </c>
      <c r="D33" s="53">
        <f>Resources!P33+Resources!Q33</f>
        <v/>
      </c>
      <c r="E33" s="53">
        <f>Paths!S33*(1-canal_opcost)*canal_share</f>
        <v/>
      </c>
      <c r="F33" s="53">
        <f>Economy!O33*Paths!R33</f>
        <v/>
      </c>
      <c r="G33" s="53">
        <f>SUMPRODUCT((Events!$B$6:$B$158&lt;=$A33)*(Events!$C$6:$C$158&gt;=$A33)*(Events!$E$6:$E$158="Receipt")*Events!$H$6:$H$158)</f>
        <v/>
      </c>
      <c r="H33" s="69">
        <f>Loans!Y33</f>
        <v/>
      </c>
      <c r="I33" s="53">
        <f>'Debt &amp; cash'!S32*fund_yield</f>
        <v/>
      </c>
      <c r="J33" s="69">
        <f>Labour!Q33</f>
        <v/>
      </c>
      <c r="K33" s="69">
        <f>Champions!BD33</f>
        <v/>
      </c>
      <c r="L33" s="69">
        <f>Abroad!N33</f>
        <v/>
      </c>
      <c r="M33" s="53">
        <f>SUM(B33:L33)</f>
        <v/>
      </c>
      <c r="N33" s="53">
        <f>(Paths!W33*army_cost+Paths!X33*res_cost)*Economy!H33/1000000</f>
        <v/>
      </c>
      <c r="O33" s="69">
        <f>Navy!Y33</f>
        <v/>
      </c>
      <c r="P33" s="53">
        <f>SUMPRODUCT((Events!$B$6:$B$158&lt;=$A33)*(Events!$C$6:$C$158&gt;=$A33)*(Events!$E$6:$E$158="War &amp; operations")*Events!$H$6:$H$158)</f>
        <v/>
      </c>
      <c r="Q33" s="53">
        <f>Economy!O33*Paths!T33</f>
        <v/>
      </c>
      <c r="R33" s="53">
        <f>Economy!O33*Paths!U33</f>
        <v/>
      </c>
      <c r="S33" s="53">
        <f>Economy!O33*Paths!V33+SUMPRODUCT((Events!$B$6:$B$158&lt;=$A33)*(Events!$C$6:$C$158&gt;=$A33)*(Events!$E$6:$E$158="Programme")*Events!$H$6:$H$158)+SUMPRODUCT((Events!$B$6:$B$158&lt;=$A33)*(Events!$C$6:$C$158&gt;=$A33)*(Events!$E$6:$E$158="Investment")*Events!$H$6:$H$158)</f>
        <v/>
      </c>
      <c r="T33" s="53">
        <f>(People!T33*assist_cost+Labour!AD33*talent_cost+Labour!L33*gw_admin)*Economy!H33/1000000</f>
        <v/>
      </c>
      <c r="U33" s="53">
        <f>SUMPRODUCT((Events!$B$6:$B$158&lt;=$A33)*(Events!$C$6:$C$158&gt;=$A33)*(Events!$E$6:$E$158="Purchase")*Events!$H$6:$H$158)</f>
        <v/>
      </c>
      <c r="V33" s="53">
        <f>SUMPRODUCT((Events!$B$6:$B$158&lt;=$A33)*(Events!$C$6:$C$158&gt;=$A33)*(Events!$E$6:$E$158="Subsidy &amp; guarantee")*Events!$H$6:$H$158)+SUMPRODUCT((Events!$B$6:$B$158&lt;=$A33)*(Events!$C$6:$C$158&gt;=$A33)*(Events!$E$6:$E$158="Relief")*Events!$H$6:$H$158)</f>
        <v/>
      </c>
      <c r="W33" s="53">
        <f>SUMPRODUCT((Events!$B$6:$B$158&lt;=$A33)*(Events!$C$6:$C$158&gt;=$A33)*(Events!$E$6:$E$158="Bank rescue &amp; capital")*Events!$H$6:$H$158)</f>
        <v/>
      </c>
      <c r="X33" s="53">
        <f>'Debt &amp; cash'!R32*Paths!Y33</f>
        <v/>
      </c>
      <c r="Y33" s="53">
        <f>SUM(N33:X33)</f>
        <v/>
      </c>
      <c r="Z33" s="53">
        <f>M33-Y33</f>
        <v/>
      </c>
      <c r="AA33" s="63">
        <f>M33/Economy!O33</f>
        <v/>
      </c>
      <c r="AB33" s="63">
        <f>Y33/Economy!O33</f>
        <v/>
      </c>
      <c r="AC33" s="63">
        <f>(N33+O33+P33)/Economy!O33</f>
        <v/>
      </c>
    </row>
    <row r="34">
      <c r="A34" s="58" t="n">
        <v>1874</v>
      </c>
      <c r="B34" s="53">
        <f>Economy!O34*Paths!N34*Paths!O34*cust_coll</f>
        <v/>
      </c>
      <c r="C34" s="53">
        <f>(Economy!J34+Economy!L34+Economy!M34+Economy!N34)*Paths!P34*Paths!Q34</f>
        <v/>
      </c>
      <c r="D34" s="53">
        <f>Resources!P34+Resources!Q34</f>
        <v/>
      </c>
      <c r="E34" s="53">
        <f>Paths!S34*(1-canal_opcost)*canal_share</f>
        <v/>
      </c>
      <c r="F34" s="53">
        <f>Economy!O34*Paths!R34</f>
        <v/>
      </c>
      <c r="G34" s="53">
        <f>SUMPRODUCT((Events!$B$6:$B$158&lt;=$A34)*(Events!$C$6:$C$158&gt;=$A34)*(Events!$E$6:$E$158="Receipt")*Events!$H$6:$H$158)</f>
        <v/>
      </c>
      <c r="H34" s="69">
        <f>Loans!Y34</f>
        <v/>
      </c>
      <c r="I34" s="53">
        <f>'Debt &amp; cash'!S33*fund_yield</f>
        <v/>
      </c>
      <c r="J34" s="69">
        <f>Labour!Q34</f>
        <v/>
      </c>
      <c r="K34" s="69">
        <f>Champions!BD34</f>
        <v/>
      </c>
      <c r="L34" s="69">
        <f>Abroad!N34</f>
        <v/>
      </c>
      <c r="M34" s="53">
        <f>SUM(B34:L34)</f>
        <v/>
      </c>
      <c r="N34" s="53">
        <f>(Paths!W34*army_cost+Paths!X34*res_cost)*Economy!H34/1000000</f>
        <v/>
      </c>
      <c r="O34" s="69">
        <f>Navy!Y34</f>
        <v/>
      </c>
      <c r="P34" s="53">
        <f>SUMPRODUCT((Events!$B$6:$B$158&lt;=$A34)*(Events!$C$6:$C$158&gt;=$A34)*(Events!$E$6:$E$158="War &amp; operations")*Events!$H$6:$H$158)</f>
        <v/>
      </c>
      <c r="Q34" s="53">
        <f>Economy!O34*Paths!T34</f>
        <v/>
      </c>
      <c r="R34" s="53">
        <f>Economy!O34*Paths!U34</f>
        <v/>
      </c>
      <c r="S34" s="53">
        <f>Economy!O34*Paths!V34+SUMPRODUCT((Events!$B$6:$B$158&lt;=$A34)*(Events!$C$6:$C$158&gt;=$A34)*(Events!$E$6:$E$158="Programme")*Events!$H$6:$H$158)+SUMPRODUCT((Events!$B$6:$B$158&lt;=$A34)*(Events!$C$6:$C$158&gt;=$A34)*(Events!$E$6:$E$158="Investment")*Events!$H$6:$H$158)</f>
        <v/>
      </c>
      <c r="T34" s="53">
        <f>(People!T34*assist_cost+Labour!AD34*talent_cost+Labour!L34*gw_admin)*Economy!H34/1000000</f>
        <v/>
      </c>
      <c r="U34" s="53">
        <f>SUMPRODUCT((Events!$B$6:$B$158&lt;=$A34)*(Events!$C$6:$C$158&gt;=$A34)*(Events!$E$6:$E$158="Purchase")*Events!$H$6:$H$158)</f>
        <v/>
      </c>
      <c r="V34" s="53">
        <f>SUMPRODUCT((Events!$B$6:$B$158&lt;=$A34)*(Events!$C$6:$C$158&gt;=$A34)*(Events!$E$6:$E$158="Subsidy &amp; guarantee")*Events!$H$6:$H$158)+SUMPRODUCT((Events!$B$6:$B$158&lt;=$A34)*(Events!$C$6:$C$158&gt;=$A34)*(Events!$E$6:$E$158="Relief")*Events!$H$6:$H$158)</f>
        <v/>
      </c>
      <c r="W34" s="53">
        <f>SUMPRODUCT((Events!$B$6:$B$158&lt;=$A34)*(Events!$C$6:$C$158&gt;=$A34)*(Events!$E$6:$E$158="Bank rescue &amp; capital")*Events!$H$6:$H$158)</f>
        <v/>
      </c>
      <c r="X34" s="53">
        <f>'Debt &amp; cash'!R33*Paths!Y34</f>
        <v/>
      </c>
      <c r="Y34" s="53">
        <f>SUM(N34:X34)</f>
        <v/>
      </c>
      <c r="Z34" s="53">
        <f>M34-Y34</f>
        <v/>
      </c>
      <c r="AA34" s="63">
        <f>M34/Economy!O34</f>
        <v/>
      </c>
      <c r="AB34" s="63">
        <f>Y34/Economy!O34</f>
        <v/>
      </c>
      <c r="AC34" s="63">
        <f>(N34+O34+P34)/Economy!O34</f>
        <v/>
      </c>
    </row>
    <row r="35">
      <c r="A35" s="58" t="n">
        <v>1875</v>
      </c>
      <c r="B35" s="53">
        <f>Economy!O35*Paths!N35*Paths!O35*cust_coll</f>
        <v/>
      </c>
      <c r="C35" s="53">
        <f>(Economy!J35+Economy!L35+Economy!M35+Economy!N35)*Paths!P35*Paths!Q35</f>
        <v/>
      </c>
      <c r="D35" s="53">
        <f>Resources!P35+Resources!Q35</f>
        <v/>
      </c>
      <c r="E35" s="53">
        <f>Paths!S35*(1-canal_opcost)*canal_share</f>
        <v/>
      </c>
      <c r="F35" s="53">
        <f>Economy!O35*Paths!R35</f>
        <v/>
      </c>
      <c r="G35" s="53">
        <f>SUMPRODUCT((Events!$B$6:$B$158&lt;=$A35)*(Events!$C$6:$C$158&gt;=$A35)*(Events!$E$6:$E$158="Receipt")*Events!$H$6:$H$158)</f>
        <v/>
      </c>
      <c r="H35" s="69">
        <f>Loans!Y35</f>
        <v/>
      </c>
      <c r="I35" s="53">
        <f>'Debt &amp; cash'!S34*fund_yield</f>
        <v/>
      </c>
      <c r="J35" s="69">
        <f>Labour!Q35</f>
        <v/>
      </c>
      <c r="K35" s="69">
        <f>Champions!BD35</f>
        <v/>
      </c>
      <c r="L35" s="69">
        <f>Abroad!N35</f>
        <v/>
      </c>
      <c r="M35" s="53">
        <f>SUM(B35:L35)</f>
        <v/>
      </c>
      <c r="N35" s="53">
        <f>(Paths!W35*army_cost+Paths!X35*res_cost)*Economy!H35/1000000</f>
        <v/>
      </c>
      <c r="O35" s="69">
        <f>Navy!Y35</f>
        <v/>
      </c>
      <c r="P35" s="53">
        <f>SUMPRODUCT((Events!$B$6:$B$158&lt;=$A35)*(Events!$C$6:$C$158&gt;=$A35)*(Events!$E$6:$E$158="War &amp; operations")*Events!$H$6:$H$158)</f>
        <v/>
      </c>
      <c r="Q35" s="53">
        <f>Economy!O35*Paths!T35</f>
        <v/>
      </c>
      <c r="R35" s="53">
        <f>Economy!O35*Paths!U35</f>
        <v/>
      </c>
      <c r="S35" s="53">
        <f>Economy!O35*Paths!V35+SUMPRODUCT((Events!$B$6:$B$158&lt;=$A35)*(Events!$C$6:$C$158&gt;=$A35)*(Events!$E$6:$E$158="Programme")*Events!$H$6:$H$158)+SUMPRODUCT((Events!$B$6:$B$158&lt;=$A35)*(Events!$C$6:$C$158&gt;=$A35)*(Events!$E$6:$E$158="Investment")*Events!$H$6:$H$158)</f>
        <v/>
      </c>
      <c r="T35" s="53">
        <f>(People!T35*assist_cost+Labour!AD35*talent_cost+Labour!L35*gw_admin)*Economy!H35/1000000</f>
        <v/>
      </c>
      <c r="U35" s="53">
        <f>SUMPRODUCT((Events!$B$6:$B$158&lt;=$A35)*(Events!$C$6:$C$158&gt;=$A35)*(Events!$E$6:$E$158="Purchase")*Events!$H$6:$H$158)</f>
        <v/>
      </c>
      <c r="V35" s="53">
        <f>SUMPRODUCT((Events!$B$6:$B$158&lt;=$A35)*(Events!$C$6:$C$158&gt;=$A35)*(Events!$E$6:$E$158="Subsidy &amp; guarantee")*Events!$H$6:$H$158)+SUMPRODUCT((Events!$B$6:$B$158&lt;=$A35)*(Events!$C$6:$C$158&gt;=$A35)*(Events!$E$6:$E$158="Relief")*Events!$H$6:$H$158)</f>
        <v/>
      </c>
      <c r="W35" s="53">
        <f>SUMPRODUCT((Events!$B$6:$B$158&lt;=$A35)*(Events!$C$6:$C$158&gt;=$A35)*(Events!$E$6:$E$158="Bank rescue &amp; capital")*Events!$H$6:$H$158)</f>
        <v/>
      </c>
      <c r="X35" s="53">
        <f>'Debt &amp; cash'!R34*Paths!Y35</f>
        <v/>
      </c>
      <c r="Y35" s="53">
        <f>SUM(N35:X35)</f>
        <v/>
      </c>
      <c r="Z35" s="53">
        <f>M35-Y35</f>
        <v/>
      </c>
      <c r="AA35" s="63">
        <f>M35/Economy!O35</f>
        <v/>
      </c>
      <c r="AB35" s="63">
        <f>Y35/Economy!O35</f>
        <v/>
      </c>
      <c r="AC35" s="63">
        <f>(N35+O35+P35)/Economy!O35</f>
        <v/>
      </c>
    </row>
    <row r="36">
      <c r="A36" s="58" t="n">
        <v>1876</v>
      </c>
      <c r="B36" s="53">
        <f>Economy!O36*Paths!N36*Paths!O36*cust_coll</f>
        <v/>
      </c>
      <c r="C36" s="53">
        <f>(Economy!J36+Economy!L36+Economy!M36+Economy!N36)*Paths!P36*Paths!Q36</f>
        <v/>
      </c>
      <c r="D36" s="53">
        <f>Resources!P36+Resources!Q36</f>
        <v/>
      </c>
      <c r="E36" s="53">
        <f>Paths!S36*(1-canal_opcost)*canal_share</f>
        <v/>
      </c>
      <c r="F36" s="53">
        <f>Economy!O36*Paths!R36</f>
        <v/>
      </c>
      <c r="G36" s="53">
        <f>SUMPRODUCT((Events!$B$6:$B$158&lt;=$A36)*(Events!$C$6:$C$158&gt;=$A36)*(Events!$E$6:$E$158="Receipt")*Events!$H$6:$H$158)</f>
        <v/>
      </c>
      <c r="H36" s="69">
        <f>Loans!Y36</f>
        <v/>
      </c>
      <c r="I36" s="53">
        <f>'Debt &amp; cash'!S35*fund_yield</f>
        <v/>
      </c>
      <c r="J36" s="69">
        <f>Labour!Q36</f>
        <v/>
      </c>
      <c r="K36" s="69">
        <f>Champions!BD36</f>
        <v/>
      </c>
      <c r="L36" s="69">
        <f>Abroad!N36</f>
        <v/>
      </c>
      <c r="M36" s="53">
        <f>SUM(B36:L36)</f>
        <v/>
      </c>
      <c r="N36" s="53">
        <f>(Paths!W36*army_cost+Paths!X36*res_cost)*Economy!H36/1000000</f>
        <v/>
      </c>
      <c r="O36" s="69">
        <f>Navy!Y36</f>
        <v/>
      </c>
      <c r="P36" s="53">
        <f>SUMPRODUCT((Events!$B$6:$B$158&lt;=$A36)*(Events!$C$6:$C$158&gt;=$A36)*(Events!$E$6:$E$158="War &amp; operations")*Events!$H$6:$H$158)</f>
        <v/>
      </c>
      <c r="Q36" s="53">
        <f>Economy!O36*Paths!T36</f>
        <v/>
      </c>
      <c r="R36" s="53">
        <f>Economy!O36*Paths!U36</f>
        <v/>
      </c>
      <c r="S36" s="53">
        <f>Economy!O36*Paths!V36+SUMPRODUCT((Events!$B$6:$B$158&lt;=$A36)*(Events!$C$6:$C$158&gt;=$A36)*(Events!$E$6:$E$158="Programme")*Events!$H$6:$H$158)+SUMPRODUCT((Events!$B$6:$B$158&lt;=$A36)*(Events!$C$6:$C$158&gt;=$A36)*(Events!$E$6:$E$158="Investment")*Events!$H$6:$H$158)</f>
        <v/>
      </c>
      <c r="T36" s="53">
        <f>(People!T36*assist_cost+Labour!AD36*talent_cost+Labour!L36*gw_admin)*Economy!H36/1000000</f>
        <v/>
      </c>
      <c r="U36" s="53">
        <f>SUMPRODUCT((Events!$B$6:$B$158&lt;=$A36)*(Events!$C$6:$C$158&gt;=$A36)*(Events!$E$6:$E$158="Purchase")*Events!$H$6:$H$158)</f>
        <v/>
      </c>
      <c r="V36" s="53">
        <f>SUMPRODUCT((Events!$B$6:$B$158&lt;=$A36)*(Events!$C$6:$C$158&gt;=$A36)*(Events!$E$6:$E$158="Subsidy &amp; guarantee")*Events!$H$6:$H$158)+SUMPRODUCT((Events!$B$6:$B$158&lt;=$A36)*(Events!$C$6:$C$158&gt;=$A36)*(Events!$E$6:$E$158="Relief")*Events!$H$6:$H$158)</f>
        <v/>
      </c>
      <c r="W36" s="53">
        <f>SUMPRODUCT((Events!$B$6:$B$158&lt;=$A36)*(Events!$C$6:$C$158&gt;=$A36)*(Events!$E$6:$E$158="Bank rescue &amp; capital")*Events!$H$6:$H$158)</f>
        <v/>
      </c>
      <c r="X36" s="53">
        <f>'Debt &amp; cash'!R35*Paths!Y36</f>
        <v/>
      </c>
      <c r="Y36" s="53">
        <f>SUM(N36:X36)</f>
        <v/>
      </c>
      <c r="Z36" s="53">
        <f>M36-Y36</f>
        <v/>
      </c>
      <c r="AA36" s="63">
        <f>M36/Economy!O36</f>
        <v/>
      </c>
      <c r="AB36" s="63">
        <f>Y36/Economy!O36</f>
        <v/>
      </c>
      <c r="AC36" s="63">
        <f>(N36+O36+P36)/Economy!O36</f>
        <v/>
      </c>
    </row>
    <row r="37">
      <c r="A37" s="58" t="n">
        <v>1877</v>
      </c>
      <c r="B37" s="53">
        <f>Economy!O37*Paths!N37*Paths!O37*cust_coll</f>
        <v/>
      </c>
      <c r="C37" s="53">
        <f>(Economy!J37+Economy!L37+Economy!M37+Economy!N37)*Paths!P37*Paths!Q37</f>
        <v/>
      </c>
      <c r="D37" s="53">
        <f>Resources!P37+Resources!Q37</f>
        <v/>
      </c>
      <c r="E37" s="53">
        <f>Paths!S37*(1-canal_opcost)*canal_share</f>
        <v/>
      </c>
      <c r="F37" s="53">
        <f>Economy!O37*Paths!R37</f>
        <v/>
      </c>
      <c r="G37" s="53">
        <f>SUMPRODUCT((Events!$B$6:$B$158&lt;=$A37)*(Events!$C$6:$C$158&gt;=$A37)*(Events!$E$6:$E$158="Receipt")*Events!$H$6:$H$158)</f>
        <v/>
      </c>
      <c r="H37" s="69">
        <f>Loans!Y37</f>
        <v/>
      </c>
      <c r="I37" s="53">
        <f>'Debt &amp; cash'!S36*fund_yield</f>
        <v/>
      </c>
      <c r="J37" s="69">
        <f>Labour!Q37</f>
        <v/>
      </c>
      <c r="K37" s="69">
        <f>Champions!BD37</f>
        <v/>
      </c>
      <c r="L37" s="69">
        <f>Abroad!N37</f>
        <v/>
      </c>
      <c r="M37" s="53">
        <f>SUM(B37:L37)</f>
        <v/>
      </c>
      <c r="N37" s="53">
        <f>(Paths!W37*army_cost+Paths!X37*res_cost)*Economy!H37/1000000</f>
        <v/>
      </c>
      <c r="O37" s="69">
        <f>Navy!Y37</f>
        <v/>
      </c>
      <c r="P37" s="53">
        <f>SUMPRODUCT((Events!$B$6:$B$158&lt;=$A37)*(Events!$C$6:$C$158&gt;=$A37)*(Events!$E$6:$E$158="War &amp; operations")*Events!$H$6:$H$158)</f>
        <v/>
      </c>
      <c r="Q37" s="53">
        <f>Economy!O37*Paths!T37</f>
        <v/>
      </c>
      <c r="R37" s="53">
        <f>Economy!O37*Paths!U37</f>
        <v/>
      </c>
      <c r="S37" s="53">
        <f>Economy!O37*Paths!V37+SUMPRODUCT((Events!$B$6:$B$158&lt;=$A37)*(Events!$C$6:$C$158&gt;=$A37)*(Events!$E$6:$E$158="Programme")*Events!$H$6:$H$158)+SUMPRODUCT((Events!$B$6:$B$158&lt;=$A37)*(Events!$C$6:$C$158&gt;=$A37)*(Events!$E$6:$E$158="Investment")*Events!$H$6:$H$158)</f>
        <v/>
      </c>
      <c r="T37" s="53">
        <f>(People!T37*assist_cost+Labour!AD37*talent_cost+Labour!L37*gw_admin)*Economy!H37/1000000</f>
        <v/>
      </c>
      <c r="U37" s="53">
        <f>SUMPRODUCT((Events!$B$6:$B$158&lt;=$A37)*(Events!$C$6:$C$158&gt;=$A37)*(Events!$E$6:$E$158="Purchase")*Events!$H$6:$H$158)</f>
        <v/>
      </c>
      <c r="V37" s="53">
        <f>SUMPRODUCT((Events!$B$6:$B$158&lt;=$A37)*(Events!$C$6:$C$158&gt;=$A37)*(Events!$E$6:$E$158="Subsidy &amp; guarantee")*Events!$H$6:$H$158)+SUMPRODUCT((Events!$B$6:$B$158&lt;=$A37)*(Events!$C$6:$C$158&gt;=$A37)*(Events!$E$6:$E$158="Relief")*Events!$H$6:$H$158)</f>
        <v/>
      </c>
      <c r="W37" s="53">
        <f>SUMPRODUCT((Events!$B$6:$B$158&lt;=$A37)*(Events!$C$6:$C$158&gt;=$A37)*(Events!$E$6:$E$158="Bank rescue &amp; capital")*Events!$H$6:$H$158)</f>
        <v/>
      </c>
      <c r="X37" s="53">
        <f>'Debt &amp; cash'!R36*Paths!Y37</f>
        <v/>
      </c>
      <c r="Y37" s="53">
        <f>SUM(N37:X37)</f>
        <v/>
      </c>
      <c r="Z37" s="53">
        <f>M37-Y37</f>
        <v/>
      </c>
      <c r="AA37" s="63">
        <f>M37/Economy!O37</f>
        <v/>
      </c>
      <c r="AB37" s="63">
        <f>Y37/Economy!O37</f>
        <v/>
      </c>
      <c r="AC37" s="63">
        <f>(N37+O37+P37)/Economy!O37</f>
        <v/>
      </c>
    </row>
    <row r="38">
      <c r="A38" s="58" t="n">
        <v>1878</v>
      </c>
      <c r="B38" s="53">
        <f>Economy!O38*Paths!N38*Paths!O38*cust_coll</f>
        <v/>
      </c>
      <c r="C38" s="53">
        <f>(Economy!J38+Economy!L38+Economy!M38+Economy!N38)*Paths!P38*Paths!Q38</f>
        <v/>
      </c>
      <c r="D38" s="53">
        <f>Resources!P38+Resources!Q38</f>
        <v/>
      </c>
      <c r="E38" s="53">
        <f>Paths!S38*(1-canal_opcost)*canal_share</f>
        <v/>
      </c>
      <c r="F38" s="53">
        <f>Economy!O38*Paths!R38</f>
        <v/>
      </c>
      <c r="G38" s="53">
        <f>SUMPRODUCT((Events!$B$6:$B$158&lt;=$A38)*(Events!$C$6:$C$158&gt;=$A38)*(Events!$E$6:$E$158="Receipt")*Events!$H$6:$H$158)</f>
        <v/>
      </c>
      <c r="H38" s="69">
        <f>Loans!Y38</f>
        <v/>
      </c>
      <c r="I38" s="53">
        <f>'Debt &amp; cash'!S37*fund_yield</f>
        <v/>
      </c>
      <c r="J38" s="69">
        <f>Labour!Q38</f>
        <v/>
      </c>
      <c r="K38" s="69">
        <f>Champions!BD38</f>
        <v/>
      </c>
      <c r="L38" s="69">
        <f>Abroad!N38</f>
        <v/>
      </c>
      <c r="M38" s="53">
        <f>SUM(B38:L38)</f>
        <v/>
      </c>
      <c r="N38" s="53">
        <f>(Paths!W38*army_cost+Paths!X38*res_cost)*Economy!H38/1000000</f>
        <v/>
      </c>
      <c r="O38" s="69">
        <f>Navy!Y38</f>
        <v/>
      </c>
      <c r="P38" s="53">
        <f>SUMPRODUCT((Events!$B$6:$B$158&lt;=$A38)*(Events!$C$6:$C$158&gt;=$A38)*(Events!$E$6:$E$158="War &amp; operations")*Events!$H$6:$H$158)</f>
        <v/>
      </c>
      <c r="Q38" s="53">
        <f>Economy!O38*Paths!T38</f>
        <v/>
      </c>
      <c r="R38" s="53">
        <f>Economy!O38*Paths!U38</f>
        <v/>
      </c>
      <c r="S38" s="53">
        <f>Economy!O38*Paths!V38+SUMPRODUCT((Events!$B$6:$B$158&lt;=$A38)*(Events!$C$6:$C$158&gt;=$A38)*(Events!$E$6:$E$158="Programme")*Events!$H$6:$H$158)+SUMPRODUCT((Events!$B$6:$B$158&lt;=$A38)*(Events!$C$6:$C$158&gt;=$A38)*(Events!$E$6:$E$158="Investment")*Events!$H$6:$H$158)</f>
        <v/>
      </c>
      <c r="T38" s="53">
        <f>(People!T38*assist_cost+Labour!AD38*talent_cost+Labour!L38*gw_admin)*Economy!H38/1000000</f>
        <v/>
      </c>
      <c r="U38" s="53">
        <f>SUMPRODUCT((Events!$B$6:$B$158&lt;=$A38)*(Events!$C$6:$C$158&gt;=$A38)*(Events!$E$6:$E$158="Purchase")*Events!$H$6:$H$158)</f>
        <v/>
      </c>
      <c r="V38" s="53">
        <f>SUMPRODUCT((Events!$B$6:$B$158&lt;=$A38)*(Events!$C$6:$C$158&gt;=$A38)*(Events!$E$6:$E$158="Subsidy &amp; guarantee")*Events!$H$6:$H$158)+SUMPRODUCT((Events!$B$6:$B$158&lt;=$A38)*(Events!$C$6:$C$158&gt;=$A38)*(Events!$E$6:$E$158="Relief")*Events!$H$6:$H$158)</f>
        <v/>
      </c>
      <c r="W38" s="53">
        <f>SUMPRODUCT((Events!$B$6:$B$158&lt;=$A38)*(Events!$C$6:$C$158&gt;=$A38)*(Events!$E$6:$E$158="Bank rescue &amp; capital")*Events!$H$6:$H$158)</f>
        <v/>
      </c>
      <c r="X38" s="53">
        <f>'Debt &amp; cash'!R37*Paths!Y38</f>
        <v/>
      </c>
      <c r="Y38" s="53">
        <f>SUM(N38:X38)</f>
        <v/>
      </c>
      <c r="Z38" s="53">
        <f>M38-Y38</f>
        <v/>
      </c>
      <c r="AA38" s="63">
        <f>M38/Economy!O38</f>
        <v/>
      </c>
      <c r="AB38" s="63">
        <f>Y38/Economy!O38</f>
        <v/>
      </c>
      <c r="AC38" s="63">
        <f>(N38+O38+P38)/Economy!O38</f>
        <v/>
      </c>
    </row>
    <row r="39">
      <c r="A39" s="58" t="n">
        <v>1879</v>
      </c>
      <c r="B39" s="53">
        <f>Economy!O39*Paths!N39*Paths!O39*cust_coll</f>
        <v/>
      </c>
      <c r="C39" s="53">
        <f>(Economy!J39+Economy!L39+Economy!M39+Economy!N39)*Paths!P39*Paths!Q39</f>
        <v/>
      </c>
      <c r="D39" s="53">
        <f>Resources!P39+Resources!Q39</f>
        <v/>
      </c>
      <c r="E39" s="53">
        <f>Paths!S39*(1-canal_opcost)*canal_share</f>
        <v/>
      </c>
      <c r="F39" s="53">
        <f>Economy!O39*Paths!R39</f>
        <v/>
      </c>
      <c r="G39" s="53">
        <f>SUMPRODUCT((Events!$B$6:$B$158&lt;=$A39)*(Events!$C$6:$C$158&gt;=$A39)*(Events!$E$6:$E$158="Receipt")*Events!$H$6:$H$158)</f>
        <v/>
      </c>
      <c r="H39" s="69">
        <f>Loans!Y39</f>
        <v/>
      </c>
      <c r="I39" s="53">
        <f>'Debt &amp; cash'!S38*fund_yield</f>
        <v/>
      </c>
      <c r="J39" s="69">
        <f>Labour!Q39</f>
        <v/>
      </c>
      <c r="K39" s="69">
        <f>Champions!BD39</f>
        <v/>
      </c>
      <c r="L39" s="69">
        <f>Abroad!N39</f>
        <v/>
      </c>
      <c r="M39" s="53">
        <f>SUM(B39:L39)</f>
        <v/>
      </c>
      <c r="N39" s="53">
        <f>(Paths!W39*army_cost+Paths!X39*res_cost)*Economy!H39/1000000</f>
        <v/>
      </c>
      <c r="O39" s="69">
        <f>Navy!Y39</f>
        <v/>
      </c>
      <c r="P39" s="53">
        <f>SUMPRODUCT((Events!$B$6:$B$158&lt;=$A39)*(Events!$C$6:$C$158&gt;=$A39)*(Events!$E$6:$E$158="War &amp; operations")*Events!$H$6:$H$158)</f>
        <v/>
      </c>
      <c r="Q39" s="53">
        <f>Economy!O39*Paths!T39</f>
        <v/>
      </c>
      <c r="R39" s="53">
        <f>Economy!O39*Paths!U39</f>
        <v/>
      </c>
      <c r="S39" s="53">
        <f>Economy!O39*Paths!V39+SUMPRODUCT((Events!$B$6:$B$158&lt;=$A39)*(Events!$C$6:$C$158&gt;=$A39)*(Events!$E$6:$E$158="Programme")*Events!$H$6:$H$158)+SUMPRODUCT((Events!$B$6:$B$158&lt;=$A39)*(Events!$C$6:$C$158&gt;=$A39)*(Events!$E$6:$E$158="Investment")*Events!$H$6:$H$158)</f>
        <v/>
      </c>
      <c r="T39" s="53">
        <f>(People!T39*assist_cost+Labour!AD39*talent_cost+Labour!L39*gw_admin)*Economy!H39/1000000</f>
        <v/>
      </c>
      <c r="U39" s="53">
        <f>SUMPRODUCT((Events!$B$6:$B$158&lt;=$A39)*(Events!$C$6:$C$158&gt;=$A39)*(Events!$E$6:$E$158="Purchase")*Events!$H$6:$H$158)</f>
        <v/>
      </c>
      <c r="V39" s="53">
        <f>SUMPRODUCT((Events!$B$6:$B$158&lt;=$A39)*(Events!$C$6:$C$158&gt;=$A39)*(Events!$E$6:$E$158="Subsidy &amp; guarantee")*Events!$H$6:$H$158)+SUMPRODUCT((Events!$B$6:$B$158&lt;=$A39)*(Events!$C$6:$C$158&gt;=$A39)*(Events!$E$6:$E$158="Relief")*Events!$H$6:$H$158)</f>
        <v/>
      </c>
      <c r="W39" s="53">
        <f>SUMPRODUCT((Events!$B$6:$B$158&lt;=$A39)*(Events!$C$6:$C$158&gt;=$A39)*(Events!$E$6:$E$158="Bank rescue &amp; capital")*Events!$H$6:$H$158)</f>
        <v/>
      </c>
      <c r="X39" s="53">
        <f>'Debt &amp; cash'!R38*Paths!Y39</f>
        <v/>
      </c>
      <c r="Y39" s="53">
        <f>SUM(N39:X39)</f>
        <v/>
      </c>
      <c r="Z39" s="53">
        <f>M39-Y39</f>
        <v/>
      </c>
      <c r="AA39" s="63">
        <f>M39/Economy!O39</f>
        <v/>
      </c>
      <c r="AB39" s="63">
        <f>Y39/Economy!O39</f>
        <v/>
      </c>
      <c r="AC39" s="63">
        <f>(N39+O39+P39)/Economy!O39</f>
        <v/>
      </c>
    </row>
    <row r="40">
      <c r="A40" s="58" t="n">
        <v>1880</v>
      </c>
      <c r="B40" s="53">
        <f>Economy!O40*Paths!N40*Paths!O40*cust_coll</f>
        <v/>
      </c>
      <c r="C40" s="53">
        <f>(Economy!J40+Economy!L40+Economy!M40+Economy!N40)*Paths!P40*Paths!Q40</f>
        <v/>
      </c>
      <c r="D40" s="53">
        <f>Resources!P40+Resources!Q40</f>
        <v/>
      </c>
      <c r="E40" s="53">
        <f>Paths!S40*(1-canal_opcost)*canal_share</f>
        <v/>
      </c>
      <c r="F40" s="53">
        <f>Economy!O40*Paths!R40</f>
        <v/>
      </c>
      <c r="G40" s="53">
        <f>SUMPRODUCT((Events!$B$6:$B$158&lt;=$A40)*(Events!$C$6:$C$158&gt;=$A40)*(Events!$E$6:$E$158="Receipt")*Events!$H$6:$H$158)</f>
        <v/>
      </c>
      <c r="H40" s="69">
        <f>Loans!Y40</f>
        <v/>
      </c>
      <c r="I40" s="53">
        <f>'Debt &amp; cash'!S39*fund_yield</f>
        <v/>
      </c>
      <c r="J40" s="69">
        <f>Labour!Q40</f>
        <v/>
      </c>
      <c r="K40" s="69">
        <f>Champions!BD40</f>
        <v/>
      </c>
      <c r="L40" s="69">
        <f>Abroad!N40</f>
        <v/>
      </c>
      <c r="M40" s="53">
        <f>SUM(B40:L40)</f>
        <v/>
      </c>
      <c r="N40" s="53">
        <f>(Paths!W40*army_cost+Paths!X40*res_cost)*Economy!H40/1000000</f>
        <v/>
      </c>
      <c r="O40" s="69">
        <f>Navy!Y40</f>
        <v/>
      </c>
      <c r="P40" s="53">
        <f>SUMPRODUCT((Events!$B$6:$B$158&lt;=$A40)*(Events!$C$6:$C$158&gt;=$A40)*(Events!$E$6:$E$158="War &amp; operations")*Events!$H$6:$H$158)</f>
        <v/>
      </c>
      <c r="Q40" s="53">
        <f>Economy!O40*Paths!T40</f>
        <v/>
      </c>
      <c r="R40" s="53">
        <f>Economy!O40*Paths!U40</f>
        <v/>
      </c>
      <c r="S40" s="53">
        <f>Economy!O40*Paths!V40+SUMPRODUCT((Events!$B$6:$B$158&lt;=$A40)*(Events!$C$6:$C$158&gt;=$A40)*(Events!$E$6:$E$158="Programme")*Events!$H$6:$H$158)+SUMPRODUCT((Events!$B$6:$B$158&lt;=$A40)*(Events!$C$6:$C$158&gt;=$A40)*(Events!$E$6:$E$158="Investment")*Events!$H$6:$H$158)</f>
        <v/>
      </c>
      <c r="T40" s="53">
        <f>(People!T40*assist_cost+Labour!AD40*talent_cost+Labour!L40*gw_admin)*Economy!H40/1000000</f>
        <v/>
      </c>
      <c r="U40" s="53">
        <f>SUMPRODUCT((Events!$B$6:$B$158&lt;=$A40)*(Events!$C$6:$C$158&gt;=$A40)*(Events!$E$6:$E$158="Purchase")*Events!$H$6:$H$158)</f>
        <v/>
      </c>
      <c r="V40" s="53">
        <f>SUMPRODUCT((Events!$B$6:$B$158&lt;=$A40)*(Events!$C$6:$C$158&gt;=$A40)*(Events!$E$6:$E$158="Subsidy &amp; guarantee")*Events!$H$6:$H$158)+SUMPRODUCT((Events!$B$6:$B$158&lt;=$A40)*(Events!$C$6:$C$158&gt;=$A40)*(Events!$E$6:$E$158="Relief")*Events!$H$6:$H$158)</f>
        <v/>
      </c>
      <c r="W40" s="53">
        <f>SUMPRODUCT((Events!$B$6:$B$158&lt;=$A40)*(Events!$C$6:$C$158&gt;=$A40)*(Events!$E$6:$E$158="Bank rescue &amp; capital")*Events!$H$6:$H$158)</f>
        <v/>
      </c>
      <c r="X40" s="53">
        <f>'Debt &amp; cash'!R39*Paths!Y40</f>
        <v/>
      </c>
      <c r="Y40" s="53">
        <f>SUM(N40:X40)</f>
        <v/>
      </c>
      <c r="Z40" s="53">
        <f>M40-Y40</f>
        <v/>
      </c>
      <c r="AA40" s="63">
        <f>M40/Economy!O40</f>
        <v/>
      </c>
      <c r="AB40" s="63">
        <f>Y40/Economy!O40</f>
        <v/>
      </c>
      <c r="AC40" s="63">
        <f>(N40+O40+P40)/Economy!O40</f>
        <v/>
      </c>
    </row>
    <row r="41">
      <c r="A41" s="58" t="n">
        <v>1881</v>
      </c>
      <c r="B41" s="53">
        <f>Economy!O41*Paths!N41*Paths!O41*cust_coll</f>
        <v/>
      </c>
      <c r="C41" s="53">
        <f>(Economy!J41+Economy!L41+Economy!M41+Economy!N41)*Paths!P41*Paths!Q41</f>
        <v/>
      </c>
      <c r="D41" s="53">
        <f>Resources!P41+Resources!Q41</f>
        <v/>
      </c>
      <c r="E41" s="53">
        <f>Paths!S41*(1-canal_opcost)*canal_share</f>
        <v/>
      </c>
      <c r="F41" s="53">
        <f>Economy!O41*Paths!R41</f>
        <v/>
      </c>
      <c r="G41" s="53">
        <f>SUMPRODUCT((Events!$B$6:$B$158&lt;=$A41)*(Events!$C$6:$C$158&gt;=$A41)*(Events!$E$6:$E$158="Receipt")*Events!$H$6:$H$158)</f>
        <v/>
      </c>
      <c r="H41" s="69">
        <f>Loans!Y41</f>
        <v/>
      </c>
      <c r="I41" s="53">
        <f>'Debt &amp; cash'!S40*fund_yield</f>
        <v/>
      </c>
      <c r="J41" s="69">
        <f>Labour!Q41</f>
        <v/>
      </c>
      <c r="K41" s="69">
        <f>Champions!BD41</f>
        <v/>
      </c>
      <c r="L41" s="69">
        <f>Abroad!N41</f>
        <v/>
      </c>
      <c r="M41" s="53">
        <f>SUM(B41:L41)</f>
        <v/>
      </c>
      <c r="N41" s="53">
        <f>(Paths!W41*army_cost+Paths!X41*res_cost)*Economy!H41/1000000</f>
        <v/>
      </c>
      <c r="O41" s="69">
        <f>Navy!Y41</f>
        <v/>
      </c>
      <c r="P41" s="53">
        <f>SUMPRODUCT((Events!$B$6:$B$158&lt;=$A41)*(Events!$C$6:$C$158&gt;=$A41)*(Events!$E$6:$E$158="War &amp; operations")*Events!$H$6:$H$158)</f>
        <v/>
      </c>
      <c r="Q41" s="53">
        <f>Economy!O41*Paths!T41</f>
        <v/>
      </c>
      <c r="R41" s="53">
        <f>Economy!O41*Paths!U41</f>
        <v/>
      </c>
      <c r="S41" s="53">
        <f>Economy!O41*Paths!V41+SUMPRODUCT((Events!$B$6:$B$158&lt;=$A41)*(Events!$C$6:$C$158&gt;=$A41)*(Events!$E$6:$E$158="Programme")*Events!$H$6:$H$158)+SUMPRODUCT((Events!$B$6:$B$158&lt;=$A41)*(Events!$C$6:$C$158&gt;=$A41)*(Events!$E$6:$E$158="Investment")*Events!$H$6:$H$158)</f>
        <v/>
      </c>
      <c r="T41" s="53">
        <f>(People!T41*assist_cost+Labour!AD41*talent_cost+Labour!L41*gw_admin)*Economy!H41/1000000</f>
        <v/>
      </c>
      <c r="U41" s="53">
        <f>SUMPRODUCT((Events!$B$6:$B$158&lt;=$A41)*(Events!$C$6:$C$158&gt;=$A41)*(Events!$E$6:$E$158="Purchase")*Events!$H$6:$H$158)</f>
        <v/>
      </c>
      <c r="V41" s="53">
        <f>SUMPRODUCT((Events!$B$6:$B$158&lt;=$A41)*(Events!$C$6:$C$158&gt;=$A41)*(Events!$E$6:$E$158="Subsidy &amp; guarantee")*Events!$H$6:$H$158)+SUMPRODUCT((Events!$B$6:$B$158&lt;=$A41)*(Events!$C$6:$C$158&gt;=$A41)*(Events!$E$6:$E$158="Relief")*Events!$H$6:$H$158)</f>
        <v/>
      </c>
      <c r="W41" s="53">
        <f>SUMPRODUCT((Events!$B$6:$B$158&lt;=$A41)*(Events!$C$6:$C$158&gt;=$A41)*(Events!$E$6:$E$158="Bank rescue &amp; capital")*Events!$H$6:$H$158)</f>
        <v/>
      </c>
      <c r="X41" s="53">
        <f>'Debt &amp; cash'!R40*Paths!Y41</f>
        <v/>
      </c>
      <c r="Y41" s="53">
        <f>SUM(N41:X41)</f>
        <v/>
      </c>
      <c r="Z41" s="53">
        <f>M41-Y41</f>
        <v/>
      </c>
      <c r="AA41" s="63">
        <f>M41/Economy!O41</f>
        <v/>
      </c>
      <c r="AB41" s="63">
        <f>Y41/Economy!O41</f>
        <v/>
      </c>
      <c r="AC41" s="63">
        <f>(N41+O41+P41)/Economy!O41</f>
        <v/>
      </c>
    </row>
    <row r="42">
      <c r="A42" s="58" t="n">
        <v>1882</v>
      </c>
      <c r="B42" s="53">
        <f>Economy!O42*Paths!N42*Paths!O42*cust_coll</f>
        <v/>
      </c>
      <c r="C42" s="53">
        <f>(Economy!J42+Economy!L42+Economy!M42+Economy!N42)*Paths!P42*Paths!Q42</f>
        <v/>
      </c>
      <c r="D42" s="53">
        <f>Resources!P42+Resources!Q42</f>
        <v/>
      </c>
      <c r="E42" s="53">
        <f>Paths!S42*(1-canal_opcost)*canal_share</f>
        <v/>
      </c>
      <c r="F42" s="53">
        <f>Economy!O42*Paths!R42</f>
        <v/>
      </c>
      <c r="G42" s="53">
        <f>SUMPRODUCT((Events!$B$6:$B$158&lt;=$A42)*(Events!$C$6:$C$158&gt;=$A42)*(Events!$E$6:$E$158="Receipt")*Events!$H$6:$H$158)</f>
        <v/>
      </c>
      <c r="H42" s="69">
        <f>Loans!Y42</f>
        <v/>
      </c>
      <c r="I42" s="53">
        <f>'Debt &amp; cash'!S41*fund_yield</f>
        <v/>
      </c>
      <c r="J42" s="69">
        <f>Labour!Q42</f>
        <v/>
      </c>
      <c r="K42" s="69">
        <f>Champions!BD42</f>
        <v/>
      </c>
      <c r="L42" s="69">
        <f>Abroad!N42</f>
        <v/>
      </c>
      <c r="M42" s="53">
        <f>SUM(B42:L42)</f>
        <v/>
      </c>
      <c r="N42" s="53">
        <f>(Paths!W42*army_cost+Paths!X42*res_cost)*Economy!H42/1000000</f>
        <v/>
      </c>
      <c r="O42" s="69">
        <f>Navy!Y42</f>
        <v/>
      </c>
      <c r="P42" s="53">
        <f>SUMPRODUCT((Events!$B$6:$B$158&lt;=$A42)*(Events!$C$6:$C$158&gt;=$A42)*(Events!$E$6:$E$158="War &amp; operations")*Events!$H$6:$H$158)</f>
        <v/>
      </c>
      <c r="Q42" s="53">
        <f>Economy!O42*Paths!T42</f>
        <v/>
      </c>
      <c r="R42" s="53">
        <f>Economy!O42*Paths!U42</f>
        <v/>
      </c>
      <c r="S42" s="53">
        <f>Economy!O42*Paths!V42+SUMPRODUCT((Events!$B$6:$B$158&lt;=$A42)*(Events!$C$6:$C$158&gt;=$A42)*(Events!$E$6:$E$158="Programme")*Events!$H$6:$H$158)+SUMPRODUCT((Events!$B$6:$B$158&lt;=$A42)*(Events!$C$6:$C$158&gt;=$A42)*(Events!$E$6:$E$158="Investment")*Events!$H$6:$H$158)</f>
        <v/>
      </c>
      <c r="T42" s="53">
        <f>(People!T42*assist_cost+Labour!AD42*talent_cost+Labour!L42*gw_admin)*Economy!H42/1000000</f>
        <v/>
      </c>
      <c r="U42" s="53">
        <f>SUMPRODUCT((Events!$B$6:$B$158&lt;=$A42)*(Events!$C$6:$C$158&gt;=$A42)*(Events!$E$6:$E$158="Purchase")*Events!$H$6:$H$158)</f>
        <v/>
      </c>
      <c r="V42" s="53">
        <f>SUMPRODUCT((Events!$B$6:$B$158&lt;=$A42)*(Events!$C$6:$C$158&gt;=$A42)*(Events!$E$6:$E$158="Subsidy &amp; guarantee")*Events!$H$6:$H$158)+SUMPRODUCT((Events!$B$6:$B$158&lt;=$A42)*(Events!$C$6:$C$158&gt;=$A42)*(Events!$E$6:$E$158="Relief")*Events!$H$6:$H$158)</f>
        <v/>
      </c>
      <c r="W42" s="53">
        <f>SUMPRODUCT((Events!$B$6:$B$158&lt;=$A42)*(Events!$C$6:$C$158&gt;=$A42)*(Events!$E$6:$E$158="Bank rescue &amp; capital")*Events!$H$6:$H$158)</f>
        <v/>
      </c>
      <c r="X42" s="53">
        <f>'Debt &amp; cash'!R41*Paths!Y42</f>
        <v/>
      </c>
      <c r="Y42" s="53">
        <f>SUM(N42:X42)</f>
        <v/>
      </c>
      <c r="Z42" s="53">
        <f>M42-Y42</f>
        <v/>
      </c>
      <c r="AA42" s="63">
        <f>M42/Economy!O42</f>
        <v/>
      </c>
      <c r="AB42" s="63">
        <f>Y42/Economy!O42</f>
        <v/>
      </c>
      <c r="AC42" s="63">
        <f>(N42+O42+P42)/Economy!O42</f>
        <v/>
      </c>
    </row>
    <row r="43">
      <c r="A43" s="58" t="n">
        <v>1883</v>
      </c>
      <c r="B43" s="53">
        <f>Economy!O43*Paths!N43*Paths!O43*cust_coll</f>
        <v/>
      </c>
      <c r="C43" s="53">
        <f>(Economy!J43+Economy!L43+Economy!M43+Economy!N43)*Paths!P43*Paths!Q43</f>
        <v/>
      </c>
      <c r="D43" s="53">
        <f>Resources!P43+Resources!Q43</f>
        <v/>
      </c>
      <c r="E43" s="53">
        <f>Paths!S43*(1-canal_opcost)*canal_share</f>
        <v/>
      </c>
      <c r="F43" s="53">
        <f>Economy!O43*Paths!R43</f>
        <v/>
      </c>
      <c r="G43" s="53">
        <f>SUMPRODUCT((Events!$B$6:$B$158&lt;=$A43)*(Events!$C$6:$C$158&gt;=$A43)*(Events!$E$6:$E$158="Receipt")*Events!$H$6:$H$158)</f>
        <v/>
      </c>
      <c r="H43" s="69">
        <f>Loans!Y43</f>
        <v/>
      </c>
      <c r="I43" s="53">
        <f>'Debt &amp; cash'!S42*fund_yield</f>
        <v/>
      </c>
      <c r="J43" s="69">
        <f>Labour!Q43</f>
        <v/>
      </c>
      <c r="K43" s="69">
        <f>Champions!BD43</f>
        <v/>
      </c>
      <c r="L43" s="69">
        <f>Abroad!N43</f>
        <v/>
      </c>
      <c r="M43" s="53">
        <f>SUM(B43:L43)</f>
        <v/>
      </c>
      <c r="N43" s="53">
        <f>(Paths!W43*army_cost+Paths!X43*res_cost)*Economy!H43/1000000</f>
        <v/>
      </c>
      <c r="O43" s="69">
        <f>Navy!Y43</f>
        <v/>
      </c>
      <c r="P43" s="53">
        <f>SUMPRODUCT((Events!$B$6:$B$158&lt;=$A43)*(Events!$C$6:$C$158&gt;=$A43)*(Events!$E$6:$E$158="War &amp; operations")*Events!$H$6:$H$158)</f>
        <v/>
      </c>
      <c r="Q43" s="53">
        <f>Economy!O43*Paths!T43</f>
        <v/>
      </c>
      <c r="R43" s="53">
        <f>Economy!O43*Paths!U43</f>
        <v/>
      </c>
      <c r="S43" s="53">
        <f>Economy!O43*Paths!V43+SUMPRODUCT((Events!$B$6:$B$158&lt;=$A43)*(Events!$C$6:$C$158&gt;=$A43)*(Events!$E$6:$E$158="Programme")*Events!$H$6:$H$158)+SUMPRODUCT((Events!$B$6:$B$158&lt;=$A43)*(Events!$C$6:$C$158&gt;=$A43)*(Events!$E$6:$E$158="Investment")*Events!$H$6:$H$158)</f>
        <v/>
      </c>
      <c r="T43" s="53">
        <f>(People!T43*assist_cost+Labour!AD43*talent_cost+Labour!L43*gw_admin)*Economy!H43/1000000</f>
        <v/>
      </c>
      <c r="U43" s="53">
        <f>SUMPRODUCT((Events!$B$6:$B$158&lt;=$A43)*(Events!$C$6:$C$158&gt;=$A43)*(Events!$E$6:$E$158="Purchase")*Events!$H$6:$H$158)</f>
        <v/>
      </c>
      <c r="V43" s="53">
        <f>SUMPRODUCT((Events!$B$6:$B$158&lt;=$A43)*(Events!$C$6:$C$158&gt;=$A43)*(Events!$E$6:$E$158="Subsidy &amp; guarantee")*Events!$H$6:$H$158)+SUMPRODUCT((Events!$B$6:$B$158&lt;=$A43)*(Events!$C$6:$C$158&gt;=$A43)*(Events!$E$6:$E$158="Relief")*Events!$H$6:$H$158)</f>
        <v/>
      </c>
      <c r="W43" s="53">
        <f>SUMPRODUCT((Events!$B$6:$B$158&lt;=$A43)*(Events!$C$6:$C$158&gt;=$A43)*(Events!$E$6:$E$158="Bank rescue &amp; capital")*Events!$H$6:$H$158)</f>
        <v/>
      </c>
      <c r="X43" s="53">
        <f>'Debt &amp; cash'!R42*Paths!Y43</f>
        <v/>
      </c>
      <c r="Y43" s="53">
        <f>SUM(N43:X43)</f>
        <v/>
      </c>
      <c r="Z43" s="53">
        <f>M43-Y43</f>
        <v/>
      </c>
      <c r="AA43" s="63">
        <f>M43/Economy!O43</f>
        <v/>
      </c>
      <c r="AB43" s="63">
        <f>Y43/Economy!O43</f>
        <v/>
      </c>
      <c r="AC43" s="63">
        <f>(N43+O43+P43)/Economy!O43</f>
        <v/>
      </c>
    </row>
    <row r="44">
      <c r="A44" s="58" t="n">
        <v>1884</v>
      </c>
      <c r="B44" s="53">
        <f>Economy!O44*Paths!N44*Paths!O44*cust_coll</f>
        <v/>
      </c>
      <c r="C44" s="53">
        <f>(Economy!J44+Economy!L44+Economy!M44+Economy!N44)*Paths!P44*Paths!Q44</f>
        <v/>
      </c>
      <c r="D44" s="53">
        <f>Resources!P44+Resources!Q44</f>
        <v/>
      </c>
      <c r="E44" s="53">
        <f>Paths!S44*(1-canal_opcost)*canal_share</f>
        <v/>
      </c>
      <c r="F44" s="53">
        <f>Economy!O44*Paths!R44</f>
        <v/>
      </c>
      <c r="G44" s="53">
        <f>SUMPRODUCT((Events!$B$6:$B$158&lt;=$A44)*(Events!$C$6:$C$158&gt;=$A44)*(Events!$E$6:$E$158="Receipt")*Events!$H$6:$H$158)</f>
        <v/>
      </c>
      <c r="H44" s="69">
        <f>Loans!Y44</f>
        <v/>
      </c>
      <c r="I44" s="53">
        <f>'Debt &amp; cash'!S43*fund_yield</f>
        <v/>
      </c>
      <c r="J44" s="69">
        <f>Labour!Q44</f>
        <v/>
      </c>
      <c r="K44" s="69">
        <f>Champions!BD44</f>
        <v/>
      </c>
      <c r="L44" s="69">
        <f>Abroad!N44</f>
        <v/>
      </c>
      <c r="M44" s="53">
        <f>SUM(B44:L44)</f>
        <v/>
      </c>
      <c r="N44" s="53">
        <f>(Paths!W44*army_cost+Paths!X44*res_cost)*Economy!H44/1000000</f>
        <v/>
      </c>
      <c r="O44" s="69">
        <f>Navy!Y44</f>
        <v/>
      </c>
      <c r="P44" s="53">
        <f>SUMPRODUCT((Events!$B$6:$B$158&lt;=$A44)*(Events!$C$6:$C$158&gt;=$A44)*(Events!$E$6:$E$158="War &amp; operations")*Events!$H$6:$H$158)</f>
        <v/>
      </c>
      <c r="Q44" s="53">
        <f>Economy!O44*Paths!T44</f>
        <v/>
      </c>
      <c r="R44" s="53">
        <f>Economy!O44*Paths!U44</f>
        <v/>
      </c>
      <c r="S44" s="53">
        <f>Economy!O44*Paths!V44+SUMPRODUCT((Events!$B$6:$B$158&lt;=$A44)*(Events!$C$6:$C$158&gt;=$A44)*(Events!$E$6:$E$158="Programme")*Events!$H$6:$H$158)+SUMPRODUCT((Events!$B$6:$B$158&lt;=$A44)*(Events!$C$6:$C$158&gt;=$A44)*(Events!$E$6:$E$158="Investment")*Events!$H$6:$H$158)</f>
        <v/>
      </c>
      <c r="T44" s="53">
        <f>(People!T44*assist_cost+Labour!AD44*talent_cost+Labour!L44*gw_admin)*Economy!H44/1000000</f>
        <v/>
      </c>
      <c r="U44" s="53">
        <f>SUMPRODUCT((Events!$B$6:$B$158&lt;=$A44)*(Events!$C$6:$C$158&gt;=$A44)*(Events!$E$6:$E$158="Purchase")*Events!$H$6:$H$158)</f>
        <v/>
      </c>
      <c r="V44" s="53">
        <f>SUMPRODUCT((Events!$B$6:$B$158&lt;=$A44)*(Events!$C$6:$C$158&gt;=$A44)*(Events!$E$6:$E$158="Subsidy &amp; guarantee")*Events!$H$6:$H$158)+SUMPRODUCT((Events!$B$6:$B$158&lt;=$A44)*(Events!$C$6:$C$158&gt;=$A44)*(Events!$E$6:$E$158="Relief")*Events!$H$6:$H$158)</f>
        <v/>
      </c>
      <c r="W44" s="53">
        <f>SUMPRODUCT((Events!$B$6:$B$158&lt;=$A44)*(Events!$C$6:$C$158&gt;=$A44)*(Events!$E$6:$E$158="Bank rescue &amp; capital")*Events!$H$6:$H$158)</f>
        <v/>
      </c>
      <c r="X44" s="53">
        <f>'Debt &amp; cash'!R43*Paths!Y44</f>
        <v/>
      </c>
      <c r="Y44" s="53">
        <f>SUM(N44:X44)</f>
        <v/>
      </c>
      <c r="Z44" s="53">
        <f>M44-Y44</f>
        <v/>
      </c>
      <c r="AA44" s="63">
        <f>M44/Economy!O44</f>
        <v/>
      </c>
      <c r="AB44" s="63">
        <f>Y44/Economy!O44</f>
        <v/>
      </c>
      <c r="AC44" s="63">
        <f>(N44+O44+P44)/Economy!O44</f>
        <v/>
      </c>
    </row>
    <row r="45">
      <c r="A45" s="58" t="n">
        <v>1885</v>
      </c>
      <c r="B45" s="53">
        <f>Economy!O45*Paths!N45*Paths!O45*cust_coll</f>
        <v/>
      </c>
      <c r="C45" s="53">
        <f>(Economy!J45+Economy!L45+Economy!M45+Economy!N45)*Paths!P45*Paths!Q45</f>
        <v/>
      </c>
      <c r="D45" s="53">
        <f>Resources!P45+Resources!Q45</f>
        <v/>
      </c>
      <c r="E45" s="53">
        <f>Paths!S45*(1-canal_opcost)*canal_share</f>
        <v/>
      </c>
      <c r="F45" s="53">
        <f>Economy!O45*Paths!R45</f>
        <v/>
      </c>
      <c r="G45" s="53">
        <f>SUMPRODUCT((Events!$B$6:$B$158&lt;=$A45)*(Events!$C$6:$C$158&gt;=$A45)*(Events!$E$6:$E$158="Receipt")*Events!$H$6:$H$158)</f>
        <v/>
      </c>
      <c r="H45" s="69">
        <f>Loans!Y45</f>
        <v/>
      </c>
      <c r="I45" s="53">
        <f>'Debt &amp; cash'!S44*fund_yield</f>
        <v/>
      </c>
      <c r="J45" s="69">
        <f>Labour!Q45</f>
        <v/>
      </c>
      <c r="K45" s="69">
        <f>Champions!BD45</f>
        <v/>
      </c>
      <c r="L45" s="69">
        <f>Abroad!N45</f>
        <v/>
      </c>
      <c r="M45" s="53">
        <f>SUM(B45:L45)</f>
        <v/>
      </c>
      <c r="N45" s="53">
        <f>(Paths!W45*army_cost+Paths!X45*res_cost)*Economy!H45/1000000</f>
        <v/>
      </c>
      <c r="O45" s="69">
        <f>Navy!Y45</f>
        <v/>
      </c>
      <c r="P45" s="53">
        <f>SUMPRODUCT((Events!$B$6:$B$158&lt;=$A45)*(Events!$C$6:$C$158&gt;=$A45)*(Events!$E$6:$E$158="War &amp; operations")*Events!$H$6:$H$158)</f>
        <v/>
      </c>
      <c r="Q45" s="53">
        <f>Economy!O45*Paths!T45</f>
        <v/>
      </c>
      <c r="R45" s="53">
        <f>Economy!O45*Paths!U45</f>
        <v/>
      </c>
      <c r="S45" s="53">
        <f>Economy!O45*Paths!V45+SUMPRODUCT((Events!$B$6:$B$158&lt;=$A45)*(Events!$C$6:$C$158&gt;=$A45)*(Events!$E$6:$E$158="Programme")*Events!$H$6:$H$158)+SUMPRODUCT((Events!$B$6:$B$158&lt;=$A45)*(Events!$C$6:$C$158&gt;=$A45)*(Events!$E$6:$E$158="Investment")*Events!$H$6:$H$158)</f>
        <v/>
      </c>
      <c r="T45" s="53">
        <f>(People!T45*assist_cost+Labour!AD45*talent_cost+Labour!L45*gw_admin)*Economy!H45/1000000</f>
        <v/>
      </c>
      <c r="U45" s="53">
        <f>SUMPRODUCT((Events!$B$6:$B$158&lt;=$A45)*(Events!$C$6:$C$158&gt;=$A45)*(Events!$E$6:$E$158="Purchase")*Events!$H$6:$H$158)</f>
        <v/>
      </c>
      <c r="V45" s="53">
        <f>SUMPRODUCT((Events!$B$6:$B$158&lt;=$A45)*(Events!$C$6:$C$158&gt;=$A45)*(Events!$E$6:$E$158="Subsidy &amp; guarantee")*Events!$H$6:$H$158)+SUMPRODUCT((Events!$B$6:$B$158&lt;=$A45)*(Events!$C$6:$C$158&gt;=$A45)*(Events!$E$6:$E$158="Relief")*Events!$H$6:$H$158)</f>
        <v/>
      </c>
      <c r="W45" s="53">
        <f>SUMPRODUCT((Events!$B$6:$B$158&lt;=$A45)*(Events!$C$6:$C$158&gt;=$A45)*(Events!$E$6:$E$158="Bank rescue &amp; capital")*Events!$H$6:$H$158)</f>
        <v/>
      </c>
      <c r="X45" s="53">
        <f>'Debt &amp; cash'!R44*Paths!Y45</f>
        <v/>
      </c>
      <c r="Y45" s="53">
        <f>SUM(N45:X45)</f>
        <v/>
      </c>
      <c r="Z45" s="53">
        <f>M45-Y45</f>
        <v/>
      </c>
      <c r="AA45" s="63">
        <f>M45/Economy!O45</f>
        <v/>
      </c>
      <c r="AB45" s="63">
        <f>Y45/Economy!O45</f>
        <v/>
      </c>
      <c r="AC45" s="63">
        <f>(N45+O45+P45)/Economy!O45</f>
        <v/>
      </c>
    </row>
    <row r="46">
      <c r="A46" s="58" t="n">
        <v>1886</v>
      </c>
      <c r="B46" s="53">
        <f>Economy!O46*Paths!N46*Paths!O46*cust_coll</f>
        <v/>
      </c>
      <c r="C46" s="53">
        <f>(Economy!J46+Economy!L46+Economy!M46+Economy!N46)*Paths!P46*Paths!Q46</f>
        <v/>
      </c>
      <c r="D46" s="53">
        <f>Resources!P46+Resources!Q46</f>
        <v/>
      </c>
      <c r="E46" s="53">
        <f>Paths!S46*(1-canal_opcost)*canal_share</f>
        <v/>
      </c>
      <c r="F46" s="53">
        <f>Economy!O46*Paths!R46</f>
        <v/>
      </c>
      <c r="G46" s="53">
        <f>SUMPRODUCT((Events!$B$6:$B$158&lt;=$A46)*(Events!$C$6:$C$158&gt;=$A46)*(Events!$E$6:$E$158="Receipt")*Events!$H$6:$H$158)</f>
        <v/>
      </c>
      <c r="H46" s="69">
        <f>Loans!Y46</f>
        <v/>
      </c>
      <c r="I46" s="53">
        <f>'Debt &amp; cash'!S45*fund_yield</f>
        <v/>
      </c>
      <c r="J46" s="69">
        <f>Labour!Q46</f>
        <v/>
      </c>
      <c r="K46" s="69">
        <f>Champions!BD46</f>
        <v/>
      </c>
      <c r="L46" s="69">
        <f>Abroad!N46</f>
        <v/>
      </c>
      <c r="M46" s="53">
        <f>SUM(B46:L46)</f>
        <v/>
      </c>
      <c r="N46" s="53">
        <f>(Paths!W46*army_cost+Paths!X46*res_cost)*Economy!H46/1000000</f>
        <v/>
      </c>
      <c r="O46" s="69">
        <f>Navy!Y46</f>
        <v/>
      </c>
      <c r="P46" s="53">
        <f>SUMPRODUCT((Events!$B$6:$B$158&lt;=$A46)*(Events!$C$6:$C$158&gt;=$A46)*(Events!$E$6:$E$158="War &amp; operations")*Events!$H$6:$H$158)</f>
        <v/>
      </c>
      <c r="Q46" s="53">
        <f>Economy!O46*Paths!T46</f>
        <v/>
      </c>
      <c r="R46" s="53">
        <f>Economy!O46*Paths!U46</f>
        <v/>
      </c>
      <c r="S46" s="53">
        <f>Economy!O46*Paths!V46+SUMPRODUCT((Events!$B$6:$B$158&lt;=$A46)*(Events!$C$6:$C$158&gt;=$A46)*(Events!$E$6:$E$158="Programme")*Events!$H$6:$H$158)+SUMPRODUCT((Events!$B$6:$B$158&lt;=$A46)*(Events!$C$6:$C$158&gt;=$A46)*(Events!$E$6:$E$158="Investment")*Events!$H$6:$H$158)</f>
        <v/>
      </c>
      <c r="T46" s="53">
        <f>(People!T46*assist_cost+Labour!AD46*talent_cost+Labour!L46*gw_admin)*Economy!H46/1000000</f>
        <v/>
      </c>
      <c r="U46" s="53">
        <f>SUMPRODUCT((Events!$B$6:$B$158&lt;=$A46)*(Events!$C$6:$C$158&gt;=$A46)*(Events!$E$6:$E$158="Purchase")*Events!$H$6:$H$158)</f>
        <v/>
      </c>
      <c r="V46" s="53">
        <f>SUMPRODUCT((Events!$B$6:$B$158&lt;=$A46)*(Events!$C$6:$C$158&gt;=$A46)*(Events!$E$6:$E$158="Subsidy &amp; guarantee")*Events!$H$6:$H$158)+SUMPRODUCT((Events!$B$6:$B$158&lt;=$A46)*(Events!$C$6:$C$158&gt;=$A46)*(Events!$E$6:$E$158="Relief")*Events!$H$6:$H$158)</f>
        <v/>
      </c>
      <c r="W46" s="53">
        <f>SUMPRODUCT((Events!$B$6:$B$158&lt;=$A46)*(Events!$C$6:$C$158&gt;=$A46)*(Events!$E$6:$E$158="Bank rescue &amp; capital")*Events!$H$6:$H$158)</f>
        <v/>
      </c>
      <c r="X46" s="53">
        <f>'Debt &amp; cash'!R45*Paths!Y46</f>
        <v/>
      </c>
      <c r="Y46" s="53">
        <f>SUM(N46:X46)</f>
        <v/>
      </c>
      <c r="Z46" s="53">
        <f>M46-Y46</f>
        <v/>
      </c>
      <c r="AA46" s="63">
        <f>M46/Economy!O46</f>
        <v/>
      </c>
      <c r="AB46" s="63">
        <f>Y46/Economy!O46</f>
        <v/>
      </c>
      <c r="AC46" s="63">
        <f>(N46+O46+P46)/Economy!O46</f>
        <v/>
      </c>
    </row>
    <row r="47">
      <c r="A47" s="58" t="n">
        <v>1887</v>
      </c>
      <c r="B47" s="53">
        <f>Economy!O47*Paths!N47*Paths!O47*cust_coll</f>
        <v/>
      </c>
      <c r="C47" s="53">
        <f>(Economy!J47+Economy!L47+Economy!M47+Economy!N47)*Paths!P47*Paths!Q47</f>
        <v/>
      </c>
      <c r="D47" s="53">
        <f>Resources!P47+Resources!Q47</f>
        <v/>
      </c>
      <c r="E47" s="53">
        <f>Paths!S47*(1-canal_opcost)*canal_share</f>
        <v/>
      </c>
      <c r="F47" s="53">
        <f>Economy!O47*Paths!R47</f>
        <v/>
      </c>
      <c r="G47" s="53">
        <f>SUMPRODUCT((Events!$B$6:$B$158&lt;=$A47)*(Events!$C$6:$C$158&gt;=$A47)*(Events!$E$6:$E$158="Receipt")*Events!$H$6:$H$158)</f>
        <v/>
      </c>
      <c r="H47" s="69">
        <f>Loans!Y47</f>
        <v/>
      </c>
      <c r="I47" s="53">
        <f>'Debt &amp; cash'!S46*fund_yield</f>
        <v/>
      </c>
      <c r="J47" s="69">
        <f>Labour!Q47</f>
        <v/>
      </c>
      <c r="K47" s="69">
        <f>Champions!BD47</f>
        <v/>
      </c>
      <c r="L47" s="69">
        <f>Abroad!N47</f>
        <v/>
      </c>
      <c r="M47" s="53">
        <f>SUM(B47:L47)</f>
        <v/>
      </c>
      <c r="N47" s="53">
        <f>(Paths!W47*army_cost+Paths!X47*res_cost)*Economy!H47/1000000</f>
        <v/>
      </c>
      <c r="O47" s="69">
        <f>Navy!Y47</f>
        <v/>
      </c>
      <c r="P47" s="53">
        <f>SUMPRODUCT((Events!$B$6:$B$158&lt;=$A47)*(Events!$C$6:$C$158&gt;=$A47)*(Events!$E$6:$E$158="War &amp; operations")*Events!$H$6:$H$158)</f>
        <v/>
      </c>
      <c r="Q47" s="53">
        <f>Economy!O47*Paths!T47</f>
        <v/>
      </c>
      <c r="R47" s="53">
        <f>Economy!O47*Paths!U47</f>
        <v/>
      </c>
      <c r="S47" s="53">
        <f>Economy!O47*Paths!V47+SUMPRODUCT((Events!$B$6:$B$158&lt;=$A47)*(Events!$C$6:$C$158&gt;=$A47)*(Events!$E$6:$E$158="Programme")*Events!$H$6:$H$158)+SUMPRODUCT((Events!$B$6:$B$158&lt;=$A47)*(Events!$C$6:$C$158&gt;=$A47)*(Events!$E$6:$E$158="Investment")*Events!$H$6:$H$158)</f>
        <v/>
      </c>
      <c r="T47" s="53">
        <f>(People!T47*assist_cost+Labour!AD47*talent_cost+Labour!L47*gw_admin)*Economy!H47/1000000</f>
        <v/>
      </c>
      <c r="U47" s="53">
        <f>SUMPRODUCT((Events!$B$6:$B$158&lt;=$A47)*(Events!$C$6:$C$158&gt;=$A47)*(Events!$E$6:$E$158="Purchase")*Events!$H$6:$H$158)</f>
        <v/>
      </c>
      <c r="V47" s="53">
        <f>SUMPRODUCT((Events!$B$6:$B$158&lt;=$A47)*(Events!$C$6:$C$158&gt;=$A47)*(Events!$E$6:$E$158="Subsidy &amp; guarantee")*Events!$H$6:$H$158)+SUMPRODUCT((Events!$B$6:$B$158&lt;=$A47)*(Events!$C$6:$C$158&gt;=$A47)*(Events!$E$6:$E$158="Relief")*Events!$H$6:$H$158)</f>
        <v/>
      </c>
      <c r="W47" s="53">
        <f>SUMPRODUCT((Events!$B$6:$B$158&lt;=$A47)*(Events!$C$6:$C$158&gt;=$A47)*(Events!$E$6:$E$158="Bank rescue &amp; capital")*Events!$H$6:$H$158)</f>
        <v/>
      </c>
      <c r="X47" s="53">
        <f>'Debt &amp; cash'!R46*Paths!Y47</f>
        <v/>
      </c>
      <c r="Y47" s="53">
        <f>SUM(N47:X47)</f>
        <v/>
      </c>
      <c r="Z47" s="53">
        <f>M47-Y47</f>
        <v/>
      </c>
      <c r="AA47" s="63">
        <f>M47/Economy!O47</f>
        <v/>
      </c>
      <c r="AB47" s="63">
        <f>Y47/Economy!O47</f>
        <v/>
      </c>
      <c r="AC47" s="63">
        <f>(N47+O47+P47)/Economy!O47</f>
        <v/>
      </c>
    </row>
    <row r="48">
      <c r="A48" s="58" t="n">
        <v>1888</v>
      </c>
      <c r="B48" s="53">
        <f>Economy!O48*Paths!N48*Paths!O48*cust_coll</f>
        <v/>
      </c>
      <c r="C48" s="53">
        <f>(Economy!J48+Economy!L48+Economy!M48+Economy!N48)*Paths!P48*Paths!Q48</f>
        <v/>
      </c>
      <c r="D48" s="53">
        <f>Resources!P48+Resources!Q48</f>
        <v/>
      </c>
      <c r="E48" s="53">
        <f>Paths!S48*(1-canal_opcost)*canal_share</f>
        <v/>
      </c>
      <c r="F48" s="53">
        <f>Economy!O48*Paths!R48</f>
        <v/>
      </c>
      <c r="G48" s="53">
        <f>SUMPRODUCT((Events!$B$6:$B$158&lt;=$A48)*(Events!$C$6:$C$158&gt;=$A48)*(Events!$E$6:$E$158="Receipt")*Events!$H$6:$H$158)</f>
        <v/>
      </c>
      <c r="H48" s="69">
        <f>Loans!Y48</f>
        <v/>
      </c>
      <c r="I48" s="53">
        <f>'Debt &amp; cash'!S47*fund_yield</f>
        <v/>
      </c>
      <c r="J48" s="69">
        <f>Labour!Q48</f>
        <v/>
      </c>
      <c r="K48" s="69">
        <f>Champions!BD48</f>
        <v/>
      </c>
      <c r="L48" s="69">
        <f>Abroad!N48</f>
        <v/>
      </c>
      <c r="M48" s="53">
        <f>SUM(B48:L48)</f>
        <v/>
      </c>
      <c r="N48" s="53">
        <f>(Paths!W48*army_cost+Paths!X48*res_cost)*Economy!H48/1000000</f>
        <v/>
      </c>
      <c r="O48" s="69">
        <f>Navy!Y48</f>
        <v/>
      </c>
      <c r="P48" s="53">
        <f>SUMPRODUCT((Events!$B$6:$B$158&lt;=$A48)*(Events!$C$6:$C$158&gt;=$A48)*(Events!$E$6:$E$158="War &amp; operations")*Events!$H$6:$H$158)</f>
        <v/>
      </c>
      <c r="Q48" s="53">
        <f>Economy!O48*Paths!T48</f>
        <v/>
      </c>
      <c r="R48" s="53">
        <f>Economy!O48*Paths!U48</f>
        <v/>
      </c>
      <c r="S48" s="53">
        <f>Economy!O48*Paths!V48+SUMPRODUCT((Events!$B$6:$B$158&lt;=$A48)*(Events!$C$6:$C$158&gt;=$A48)*(Events!$E$6:$E$158="Programme")*Events!$H$6:$H$158)+SUMPRODUCT((Events!$B$6:$B$158&lt;=$A48)*(Events!$C$6:$C$158&gt;=$A48)*(Events!$E$6:$E$158="Investment")*Events!$H$6:$H$158)</f>
        <v/>
      </c>
      <c r="T48" s="53">
        <f>(People!T48*assist_cost+Labour!AD48*talent_cost+Labour!L48*gw_admin)*Economy!H48/1000000</f>
        <v/>
      </c>
      <c r="U48" s="53">
        <f>SUMPRODUCT((Events!$B$6:$B$158&lt;=$A48)*(Events!$C$6:$C$158&gt;=$A48)*(Events!$E$6:$E$158="Purchase")*Events!$H$6:$H$158)</f>
        <v/>
      </c>
      <c r="V48" s="53">
        <f>SUMPRODUCT((Events!$B$6:$B$158&lt;=$A48)*(Events!$C$6:$C$158&gt;=$A48)*(Events!$E$6:$E$158="Subsidy &amp; guarantee")*Events!$H$6:$H$158)+SUMPRODUCT((Events!$B$6:$B$158&lt;=$A48)*(Events!$C$6:$C$158&gt;=$A48)*(Events!$E$6:$E$158="Relief")*Events!$H$6:$H$158)</f>
        <v/>
      </c>
      <c r="W48" s="53">
        <f>SUMPRODUCT((Events!$B$6:$B$158&lt;=$A48)*(Events!$C$6:$C$158&gt;=$A48)*(Events!$E$6:$E$158="Bank rescue &amp; capital")*Events!$H$6:$H$158)</f>
        <v/>
      </c>
      <c r="X48" s="53">
        <f>'Debt &amp; cash'!R47*Paths!Y48</f>
        <v/>
      </c>
      <c r="Y48" s="53">
        <f>SUM(N48:X48)</f>
        <v/>
      </c>
      <c r="Z48" s="53">
        <f>M48-Y48</f>
        <v/>
      </c>
      <c r="AA48" s="63">
        <f>M48/Economy!O48</f>
        <v/>
      </c>
      <c r="AB48" s="63">
        <f>Y48/Economy!O48</f>
        <v/>
      </c>
      <c r="AC48" s="63">
        <f>(N48+O48+P48)/Economy!O48</f>
        <v/>
      </c>
    </row>
    <row r="49">
      <c r="A49" s="58" t="n">
        <v>1889</v>
      </c>
      <c r="B49" s="53">
        <f>Economy!O49*Paths!N49*Paths!O49*cust_coll</f>
        <v/>
      </c>
      <c r="C49" s="53">
        <f>(Economy!J49+Economy!L49+Economy!M49+Economy!N49)*Paths!P49*Paths!Q49</f>
        <v/>
      </c>
      <c r="D49" s="53">
        <f>Resources!P49+Resources!Q49</f>
        <v/>
      </c>
      <c r="E49" s="53">
        <f>Paths!S49*(1-canal_opcost)*canal_share</f>
        <v/>
      </c>
      <c r="F49" s="53">
        <f>Economy!O49*Paths!R49</f>
        <v/>
      </c>
      <c r="G49" s="53">
        <f>SUMPRODUCT((Events!$B$6:$B$158&lt;=$A49)*(Events!$C$6:$C$158&gt;=$A49)*(Events!$E$6:$E$158="Receipt")*Events!$H$6:$H$158)</f>
        <v/>
      </c>
      <c r="H49" s="69">
        <f>Loans!Y49</f>
        <v/>
      </c>
      <c r="I49" s="53">
        <f>'Debt &amp; cash'!S48*fund_yield</f>
        <v/>
      </c>
      <c r="J49" s="69">
        <f>Labour!Q49</f>
        <v/>
      </c>
      <c r="K49" s="69">
        <f>Champions!BD49</f>
        <v/>
      </c>
      <c r="L49" s="69">
        <f>Abroad!N49</f>
        <v/>
      </c>
      <c r="M49" s="53">
        <f>SUM(B49:L49)</f>
        <v/>
      </c>
      <c r="N49" s="53">
        <f>(Paths!W49*army_cost+Paths!X49*res_cost)*Economy!H49/1000000</f>
        <v/>
      </c>
      <c r="O49" s="69">
        <f>Navy!Y49</f>
        <v/>
      </c>
      <c r="P49" s="53">
        <f>SUMPRODUCT((Events!$B$6:$B$158&lt;=$A49)*(Events!$C$6:$C$158&gt;=$A49)*(Events!$E$6:$E$158="War &amp; operations")*Events!$H$6:$H$158)</f>
        <v/>
      </c>
      <c r="Q49" s="53">
        <f>Economy!O49*Paths!T49</f>
        <v/>
      </c>
      <c r="R49" s="53">
        <f>Economy!O49*Paths!U49</f>
        <v/>
      </c>
      <c r="S49" s="53">
        <f>Economy!O49*Paths!V49+SUMPRODUCT((Events!$B$6:$B$158&lt;=$A49)*(Events!$C$6:$C$158&gt;=$A49)*(Events!$E$6:$E$158="Programme")*Events!$H$6:$H$158)+SUMPRODUCT((Events!$B$6:$B$158&lt;=$A49)*(Events!$C$6:$C$158&gt;=$A49)*(Events!$E$6:$E$158="Investment")*Events!$H$6:$H$158)</f>
        <v/>
      </c>
      <c r="T49" s="53">
        <f>(People!T49*assist_cost+Labour!AD49*talent_cost+Labour!L49*gw_admin)*Economy!H49/1000000</f>
        <v/>
      </c>
      <c r="U49" s="53">
        <f>SUMPRODUCT((Events!$B$6:$B$158&lt;=$A49)*(Events!$C$6:$C$158&gt;=$A49)*(Events!$E$6:$E$158="Purchase")*Events!$H$6:$H$158)</f>
        <v/>
      </c>
      <c r="V49" s="53">
        <f>SUMPRODUCT((Events!$B$6:$B$158&lt;=$A49)*(Events!$C$6:$C$158&gt;=$A49)*(Events!$E$6:$E$158="Subsidy &amp; guarantee")*Events!$H$6:$H$158)+SUMPRODUCT((Events!$B$6:$B$158&lt;=$A49)*(Events!$C$6:$C$158&gt;=$A49)*(Events!$E$6:$E$158="Relief")*Events!$H$6:$H$158)</f>
        <v/>
      </c>
      <c r="W49" s="53">
        <f>SUMPRODUCT((Events!$B$6:$B$158&lt;=$A49)*(Events!$C$6:$C$158&gt;=$A49)*(Events!$E$6:$E$158="Bank rescue &amp; capital")*Events!$H$6:$H$158)</f>
        <v/>
      </c>
      <c r="X49" s="53">
        <f>'Debt &amp; cash'!R48*Paths!Y49</f>
        <v/>
      </c>
      <c r="Y49" s="53">
        <f>SUM(N49:X49)</f>
        <v/>
      </c>
      <c r="Z49" s="53">
        <f>M49-Y49</f>
        <v/>
      </c>
      <c r="AA49" s="63">
        <f>M49/Economy!O49</f>
        <v/>
      </c>
      <c r="AB49" s="63">
        <f>Y49/Economy!O49</f>
        <v/>
      </c>
      <c r="AC49" s="63">
        <f>(N49+O49+P49)/Economy!O49</f>
        <v/>
      </c>
    </row>
    <row r="50">
      <c r="A50" s="58" t="n">
        <v>1890</v>
      </c>
      <c r="B50" s="53">
        <f>Economy!O50*Paths!N50*Paths!O50*cust_coll</f>
        <v/>
      </c>
      <c r="C50" s="53">
        <f>(Economy!J50+Economy!L50+Economy!M50+Economy!N50)*Paths!P50*Paths!Q50</f>
        <v/>
      </c>
      <c r="D50" s="53">
        <f>Resources!P50+Resources!Q50</f>
        <v/>
      </c>
      <c r="E50" s="53">
        <f>Paths!S50*(1-canal_opcost)*canal_share</f>
        <v/>
      </c>
      <c r="F50" s="53">
        <f>Economy!O50*Paths!R50</f>
        <v/>
      </c>
      <c r="G50" s="53">
        <f>SUMPRODUCT((Events!$B$6:$B$158&lt;=$A50)*(Events!$C$6:$C$158&gt;=$A50)*(Events!$E$6:$E$158="Receipt")*Events!$H$6:$H$158)</f>
        <v/>
      </c>
      <c r="H50" s="69">
        <f>Loans!Y50</f>
        <v/>
      </c>
      <c r="I50" s="53">
        <f>'Debt &amp; cash'!S49*fund_yield</f>
        <v/>
      </c>
      <c r="J50" s="69">
        <f>Labour!Q50</f>
        <v/>
      </c>
      <c r="K50" s="69">
        <f>Champions!BD50</f>
        <v/>
      </c>
      <c r="L50" s="69">
        <f>Abroad!N50</f>
        <v/>
      </c>
      <c r="M50" s="53">
        <f>SUM(B50:L50)</f>
        <v/>
      </c>
      <c r="N50" s="53">
        <f>(Paths!W50*army_cost+Paths!X50*res_cost)*Economy!H50/1000000</f>
        <v/>
      </c>
      <c r="O50" s="69">
        <f>Navy!Y50</f>
        <v/>
      </c>
      <c r="P50" s="53">
        <f>SUMPRODUCT((Events!$B$6:$B$158&lt;=$A50)*(Events!$C$6:$C$158&gt;=$A50)*(Events!$E$6:$E$158="War &amp; operations")*Events!$H$6:$H$158)</f>
        <v/>
      </c>
      <c r="Q50" s="53">
        <f>Economy!O50*Paths!T50</f>
        <v/>
      </c>
      <c r="R50" s="53">
        <f>Economy!O50*Paths!U50</f>
        <v/>
      </c>
      <c r="S50" s="53">
        <f>Economy!O50*Paths!V50+SUMPRODUCT((Events!$B$6:$B$158&lt;=$A50)*(Events!$C$6:$C$158&gt;=$A50)*(Events!$E$6:$E$158="Programme")*Events!$H$6:$H$158)+SUMPRODUCT((Events!$B$6:$B$158&lt;=$A50)*(Events!$C$6:$C$158&gt;=$A50)*(Events!$E$6:$E$158="Investment")*Events!$H$6:$H$158)</f>
        <v/>
      </c>
      <c r="T50" s="53">
        <f>(People!T50*assist_cost+Labour!AD50*talent_cost+Labour!L50*gw_admin)*Economy!H50/1000000</f>
        <v/>
      </c>
      <c r="U50" s="53">
        <f>SUMPRODUCT((Events!$B$6:$B$158&lt;=$A50)*(Events!$C$6:$C$158&gt;=$A50)*(Events!$E$6:$E$158="Purchase")*Events!$H$6:$H$158)</f>
        <v/>
      </c>
      <c r="V50" s="53">
        <f>SUMPRODUCT((Events!$B$6:$B$158&lt;=$A50)*(Events!$C$6:$C$158&gt;=$A50)*(Events!$E$6:$E$158="Subsidy &amp; guarantee")*Events!$H$6:$H$158)+SUMPRODUCT((Events!$B$6:$B$158&lt;=$A50)*(Events!$C$6:$C$158&gt;=$A50)*(Events!$E$6:$E$158="Relief")*Events!$H$6:$H$158)</f>
        <v/>
      </c>
      <c r="W50" s="53">
        <f>SUMPRODUCT((Events!$B$6:$B$158&lt;=$A50)*(Events!$C$6:$C$158&gt;=$A50)*(Events!$E$6:$E$158="Bank rescue &amp; capital")*Events!$H$6:$H$158)</f>
        <v/>
      </c>
      <c r="X50" s="53">
        <f>'Debt &amp; cash'!R49*Paths!Y50</f>
        <v/>
      </c>
      <c r="Y50" s="53">
        <f>SUM(N50:X50)</f>
        <v/>
      </c>
      <c r="Z50" s="53">
        <f>M50-Y50</f>
        <v/>
      </c>
      <c r="AA50" s="63">
        <f>M50/Economy!O50</f>
        <v/>
      </c>
      <c r="AB50" s="63">
        <f>Y50/Economy!O50</f>
        <v/>
      </c>
      <c r="AC50" s="63">
        <f>(N50+O50+P50)/Economy!O50</f>
        <v/>
      </c>
    </row>
    <row r="51">
      <c r="A51" s="58" t="n">
        <v>1891</v>
      </c>
      <c r="B51" s="53">
        <f>Economy!O51*Paths!N51*Paths!O51*cust_coll</f>
        <v/>
      </c>
      <c r="C51" s="53">
        <f>(Economy!J51+Economy!L51+Economy!M51+Economy!N51)*Paths!P51*Paths!Q51</f>
        <v/>
      </c>
      <c r="D51" s="53">
        <f>Resources!P51+Resources!Q51</f>
        <v/>
      </c>
      <c r="E51" s="53">
        <f>Paths!S51*(1-canal_opcost)*canal_share</f>
        <v/>
      </c>
      <c r="F51" s="53">
        <f>Economy!O51*Paths!R51</f>
        <v/>
      </c>
      <c r="G51" s="53">
        <f>SUMPRODUCT((Events!$B$6:$B$158&lt;=$A51)*(Events!$C$6:$C$158&gt;=$A51)*(Events!$E$6:$E$158="Receipt")*Events!$H$6:$H$158)</f>
        <v/>
      </c>
      <c r="H51" s="69">
        <f>Loans!Y51</f>
        <v/>
      </c>
      <c r="I51" s="53">
        <f>'Debt &amp; cash'!S50*fund_yield</f>
        <v/>
      </c>
      <c r="J51" s="69">
        <f>Labour!Q51</f>
        <v/>
      </c>
      <c r="K51" s="69">
        <f>Champions!BD51</f>
        <v/>
      </c>
      <c r="L51" s="69">
        <f>Abroad!N51</f>
        <v/>
      </c>
      <c r="M51" s="53">
        <f>SUM(B51:L51)</f>
        <v/>
      </c>
      <c r="N51" s="53">
        <f>(Paths!W51*army_cost+Paths!X51*res_cost)*Economy!H51/1000000</f>
        <v/>
      </c>
      <c r="O51" s="69">
        <f>Navy!Y51</f>
        <v/>
      </c>
      <c r="P51" s="53">
        <f>SUMPRODUCT((Events!$B$6:$B$158&lt;=$A51)*(Events!$C$6:$C$158&gt;=$A51)*(Events!$E$6:$E$158="War &amp; operations")*Events!$H$6:$H$158)</f>
        <v/>
      </c>
      <c r="Q51" s="53">
        <f>Economy!O51*Paths!T51</f>
        <v/>
      </c>
      <c r="R51" s="53">
        <f>Economy!O51*Paths!U51</f>
        <v/>
      </c>
      <c r="S51" s="53">
        <f>Economy!O51*Paths!V51+SUMPRODUCT((Events!$B$6:$B$158&lt;=$A51)*(Events!$C$6:$C$158&gt;=$A51)*(Events!$E$6:$E$158="Programme")*Events!$H$6:$H$158)+SUMPRODUCT((Events!$B$6:$B$158&lt;=$A51)*(Events!$C$6:$C$158&gt;=$A51)*(Events!$E$6:$E$158="Investment")*Events!$H$6:$H$158)</f>
        <v/>
      </c>
      <c r="T51" s="53">
        <f>(People!T51*assist_cost+Labour!AD51*talent_cost+Labour!L51*gw_admin)*Economy!H51/1000000</f>
        <v/>
      </c>
      <c r="U51" s="53">
        <f>SUMPRODUCT((Events!$B$6:$B$158&lt;=$A51)*(Events!$C$6:$C$158&gt;=$A51)*(Events!$E$6:$E$158="Purchase")*Events!$H$6:$H$158)</f>
        <v/>
      </c>
      <c r="V51" s="53">
        <f>SUMPRODUCT((Events!$B$6:$B$158&lt;=$A51)*(Events!$C$6:$C$158&gt;=$A51)*(Events!$E$6:$E$158="Subsidy &amp; guarantee")*Events!$H$6:$H$158)+SUMPRODUCT((Events!$B$6:$B$158&lt;=$A51)*(Events!$C$6:$C$158&gt;=$A51)*(Events!$E$6:$E$158="Relief")*Events!$H$6:$H$158)</f>
        <v/>
      </c>
      <c r="W51" s="53">
        <f>SUMPRODUCT((Events!$B$6:$B$158&lt;=$A51)*(Events!$C$6:$C$158&gt;=$A51)*(Events!$E$6:$E$158="Bank rescue &amp; capital")*Events!$H$6:$H$158)</f>
        <v/>
      </c>
      <c r="X51" s="53">
        <f>'Debt &amp; cash'!R50*Paths!Y51</f>
        <v/>
      </c>
      <c r="Y51" s="53">
        <f>SUM(N51:X51)</f>
        <v/>
      </c>
      <c r="Z51" s="53">
        <f>M51-Y51</f>
        <v/>
      </c>
      <c r="AA51" s="63">
        <f>M51/Economy!O51</f>
        <v/>
      </c>
      <c r="AB51" s="63">
        <f>Y51/Economy!O51</f>
        <v/>
      </c>
      <c r="AC51" s="63">
        <f>(N51+O51+P51)/Economy!O51</f>
        <v/>
      </c>
    </row>
    <row r="52">
      <c r="A52" s="58" t="n">
        <v>1892</v>
      </c>
      <c r="B52" s="53">
        <f>Economy!O52*Paths!N52*Paths!O52*cust_coll</f>
        <v/>
      </c>
      <c r="C52" s="53">
        <f>(Economy!J52+Economy!L52+Economy!M52+Economy!N52)*Paths!P52*Paths!Q52</f>
        <v/>
      </c>
      <c r="D52" s="53">
        <f>Resources!P52+Resources!Q52</f>
        <v/>
      </c>
      <c r="E52" s="53">
        <f>Paths!S52*(1-canal_opcost)*canal_share</f>
        <v/>
      </c>
      <c r="F52" s="53">
        <f>Economy!O52*Paths!R52</f>
        <v/>
      </c>
      <c r="G52" s="53">
        <f>SUMPRODUCT((Events!$B$6:$B$158&lt;=$A52)*(Events!$C$6:$C$158&gt;=$A52)*(Events!$E$6:$E$158="Receipt")*Events!$H$6:$H$158)</f>
        <v/>
      </c>
      <c r="H52" s="69">
        <f>Loans!Y52</f>
        <v/>
      </c>
      <c r="I52" s="53">
        <f>'Debt &amp; cash'!S51*fund_yield</f>
        <v/>
      </c>
      <c r="J52" s="69">
        <f>Labour!Q52</f>
        <v/>
      </c>
      <c r="K52" s="69">
        <f>Champions!BD52</f>
        <v/>
      </c>
      <c r="L52" s="69">
        <f>Abroad!N52</f>
        <v/>
      </c>
      <c r="M52" s="53">
        <f>SUM(B52:L52)</f>
        <v/>
      </c>
      <c r="N52" s="53">
        <f>(Paths!W52*army_cost+Paths!X52*res_cost)*Economy!H52/1000000</f>
        <v/>
      </c>
      <c r="O52" s="69">
        <f>Navy!Y52</f>
        <v/>
      </c>
      <c r="P52" s="53">
        <f>SUMPRODUCT((Events!$B$6:$B$158&lt;=$A52)*(Events!$C$6:$C$158&gt;=$A52)*(Events!$E$6:$E$158="War &amp; operations")*Events!$H$6:$H$158)</f>
        <v/>
      </c>
      <c r="Q52" s="53">
        <f>Economy!O52*Paths!T52</f>
        <v/>
      </c>
      <c r="R52" s="53">
        <f>Economy!O52*Paths!U52</f>
        <v/>
      </c>
      <c r="S52" s="53">
        <f>Economy!O52*Paths!V52+SUMPRODUCT((Events!$B$6:$B$158&lt;=$A52)*(Events!$C$6:$C$158&gt;=$A52)*(Events!$E$6:$E$158="Programme")*Events!$H$6:$H$158)+SUMPRODUCT((Events!$B$6:$B$158&lt;=$A52)*(Events!$C$6:$C$158&gt;=$A52)*(Events!$E$6:$E$158="Investment")*Events!$H$6:$H$158)</f>
        <v/>
      </c>
      <c r="T52" s="53">
        <f>(People!T52*assist_cost+Labour!AD52*talent_cost+Labour!L52*gw_admin)*Economy!H52/1000000</f>
        <v/>
      </c>
      <c r="U52" s="53">
        <f>SUMPRODUCT((Events!$B$6:$B$158&lt;=$A52)*(Events!$C$6:$C$158&gt;=$A52)*(Events!$E$6:$E$158="Purchase")*Events!$H$6:$H$158)</f>
        <v/>
      </c>
      <c r="V52" s="53">
        <f>SUMPRODUCT((Events!$B$6:$B$158&lt;=$A52)*(Events!$C$6:$C$158&gt;=$A52)*(Events!$E$6:$E$158="Subsidy &amp; guarantee")*Events!$H$6:$H$158)+SUMPRODUCT((Events!$B$6:$B$158&lt;=$A52)*(Events!$C$6:$C$158&gt;=$A52)*(Events!$E$6:$E$158="Relief")*Events!$H$6:$H$158)</f>
        <v/>
      </c>
      <c r="W52" s="53">
        <f>SUMPRODUCT((Events!$B$6:$B$158&lt;=$A52)*(Events!$C$6:$C$158&gt;=$A52)*(Events!$E$6:$E$158="Bank rescue &amp; capital")*Events!$H$6:$H$158)</f>
        <v/>
      </c>
      <c r="X52" s="53">
        <f>'Debt &amp; cash'!R51*Paths!Y52</f>
        <v/>
      </c>
      <c r="Y52" s="53">
        <f>SUM(N52:X52)</f>
        <v/>
      </c>
      <c r="Z52" s="53">
        <f>M52-Y52</f>
        <v/>
      </c>
      <c r="AA52" s="63">
        <f>M52/Economy!O52</f>
        <v/>
      </c>
      <c r="AB52" s="63">
        <f>Y52/Economy!O52</f>
        <v/>
      </c>
      <c r="AC52" s="63">
        <f>(N52+O52+P52)/Economy!O52</f>
        <v/>
      </c>
    </row>
    <row r="53">
      <c r="A53" s="58" t="n">
        <v>1893</v>
      </c>
      <c r="B53" s="53">
        <f>Economy!O53*Paths!N53*Paths!O53*cust_coll</f>
        <v/>
      </c>
      <c r="C53" s="53">
        <f>(Economy!J53+Economy!L53+Economy!M53+Economy!N53)*Paths!P53*Paths!Q53</f>
        <v/>
      </c>
      <c r="D53" s="53">
        <f>Resources!P53+Resources!Q53</f>
        <v/>
      </c>
      <c r="E53" s="53">
        <f>Paths!S53*(1-canal_opcost)*canal_share</f>
        <v/>
      </c>
      <c r="F53" s="53">
        <f>Economy!O53*Paths!R53</f>
        <v/>
      </c>
      <c r="G53" s="53">
        <f>SUMPRODUCT((Events!$B$6:$B$158&lt;=$A53)*(Events!$C$6:$C$158&gt;=$A53)*(Events!$E$6:$E$158="Receipt")*Events!$H$6:$H$158)</f>
        <v/>
      </c>
      <c r="H53" s="69">
        <f>Loans!Y53</f>
        <v/>
      </c>
      <c r="I53" s="53">
        <f>'Debt &amp; cash'!S52*fund_yield</f>
        <v/>
      </c>
      <c r="J53" s="69">
        <f>Labour!Q53</f>
        <v/>
      </c>
      <c r="K53" s="69">
        <f>Champions!BD53</f>
        <v/>
      </c>
      <c r="L53" s="69">
        <f>Abroad!N53</f>
        <v/>
      </c>
      <c r="M53" s="53">
        <f>SUM(B53:L53)</f>
        <v/>
      </c>
      <c r="N53" s="53">
        <f>(Paths!W53*army_cost+Paths!X53*res_cost)*Economy!H53/1000000</f>
        <v/>
      </c>
      <c r="O53" s="69">
        <f>Navy!Y53</f>
        <v/>
      </c>
      <c r="P53" s="53">
        <f>SUMPRODUCT((Events!$B$6:$B$158&lt;=$A53)*(Events!$C$6:$C$158&gt;=$A53)*(Events!$E$6:$E$158="War &amp; operations")*Events!$H$6:$H$158)</f>
        <v/>
      </c>
      <c r="Q53" s="53">
        <f>Economy!O53*Paths!T53</f>
        <v/>
      </c>
      <c r="R53" s="53">
        <f>Economy!O53*Paths!U53</f>
        <v/>
      </c>
      <c r="S53" s="53">
        <f>Economy!O53*Paths!V53+SUMPRODUCT((Events!$B$6:$B$158&lt;=$A53)*(Events!$C$6:$C$158&gt;=$A53)*(Events!$E$6:$E$158="Programme")*Events!$H$6:$H$158)+SUMPRODUCT((Events!$B$6:$B$158&lt;=$A53)*(Events!$C$6:$C$158&gt;=$A53)*(Events!$E$6:$E$158="Investment")*Events!$H$6:$H$158)</f>
        <v/>
      </c>
      <c r="T53" s="53">
        <f>(People!T53*assist_cost+Labour!AD53*talent_cost+Labour!L53*gw_admin)*Economy!H53/1000000</f>
        <v/>
      </c>
      <c r="U53" s="53">
        <f>SUMPRODUCT((Events!$B$6:$B$158&lt;=$A53)*(Events!$C$6:$C$158&gt;=$A53)*(Events!$E$6:$E$158="Purchase")*Events!$H$6:$H$158)</f>
        <v/>
      </c>
      <c r="V53" s="53">
        <f>SUMPRODUCT((Events!$B$6:$B$158&lt;=$A53)*(Events!$C$6:$C$158&gt;=$A53)*(Events!$E$6:$E$158="Subsidy &amp; guarantee")*Events!$H$6:$H$158)+SUMPRODUCT((Events!$B$6:$B$158&lt;=$A53)*(Events!$C$6:$C$158&gt;=$A53)*(Events!$E$6:$E$158="Relief")*Events!$H$6:$H$158)</f>
        <v/>
      </c>
      <c r="W53" s="53">
        <f>SUMPRODUCT((Events!$B$6:$B$158&lt;=$A53)*(Events!$C$6:$C$158&gt;=$A53)*(Events!$E$6:$E$158="Bank rescue &amp; capital")*Events!$H$6:$H$158)</f>
        <v/>
      </c>
      <c r="X53" s="53">
        <f>'Debt &amp; cash'!R52*Paths!Y53</f>
        <v/>
      </c>
      <c r="Y53" s="53">
        <f>SUM(N53:X53)</f>
        <v/>
      </c>
      <c r="Z53" s="53">
        <f>M53-Y53</f>
        <v/>
      </c>
      <c r="AA53" s="63">
        <f>M53/Economy!O53</f>
        <v/>
      </c>
      <c r="AB53" s="63">
        <f>Y53/Economy!O53</f>
        <v/>
      </c>
      <c r="AC53" s="63">
        <f>(N53+O53+P53)/Economy!O53</f>
        <v/>
      </c>
    </row>
    <row r="54">
      <c r="A54" s="58" t="n">
        <v>1894</v>
      </c>
      <c r="B54" s="53">
        <f>Economy!O54*Paths!N54*Paths!O54*cust_coll</f>
        <v/>
      </c>
      <c r="C54" s="53">
        <f>(Economy!J54+Economy!L54+Economy!M54+Economy!N54)*Paths!P54*Paths!Q54</f>
        <v/>
      </c>
      <c r="D54" s="53">
        <f>Resources!P54+Resources!Q54</f>
        <v/>
      </c>
      <c r="E54" s="53">
        <f>Paths!S54*(1-canal_opcost)*canal_share</f>
        <v/>
      </c>
      <c r="F54" s="53">
        <f>Economy!O54*Paths!R54</f>
        <v/>
      </c>
      <c r="G54" s="53">
        <f>SUMPRODUCT((Events!$B$6:$B$158&lt;=$A54)*(Events!$C$6:$C$158&gt;=$A54)*(Events!$E$6:$E$158="Receipt")*Events!$H$6:$H$158)</f>
        <v/>
      </c>
      <c r="H54" s="69">
        <f>Loans!Y54</f>
        <v/>
      </c>
      <c r="I54" s="53">
        <f>'Debt &amp; cash'!S53*fund_yield</f>
        <v/>
      </c>
      <c r="J54" s="69">
        <f>Labour!Q54</f>
        <v/>
      </c>
      <c r="K54" s="69">
        <f>Champions!BD54</f>
        <v/>
      </c>
      <c r="L54" s="69">
        <f>Abroad!N54</f>
        <v/>
      </c>
      <c r="M54" s="53">
        <f>SUM(B54:L54)</f>
        <v/>
      </c>
      <c r="N54" s="53">
        <f>(Paths!W54*army_cost+Paths!X54*res_cost)*Economy!H54/1000000</f>
        <v/>
      </c>
      <c r="O54" s="69">
        <f>Navy!Y54</f>
        <v/>
      </c>
      <c r="P54" s="53">
        <f>SUMPRODUCT((Events!$B$6:$B$158&lt;=$A54)*(Events!$C$6:$C$158&gt;=$A54)*(Events!$E$6:$E$158="War &amp; operations")*Events!$H$6:$H$158)</f>
        <v/>
      </c>
      <c r="Q54" s="53">
        <f>Economy!O54*Paths!T54</f>
        <v/>
      </c>
      <c r="R54" s="53">
        <f>Economy!O54*Paths!U54</f>
        <v/>
      </c>
      <c r="S54" s="53">
        <f>Economy!O54*Paths!V54+SUMPRODUCT((Events!$B$6:$B$158&lt;=$A54)*(Events!$C$6:$C$158&gt;=$A54)*(Events!$E$6:$E$158="Programme")*Events!$H$6:$H$158)+SUMPRODUCT((Events!$B$6:$B$158&lt;=$A54)*(Events!$C$6:$C$158&gt;=$A54)*(Events!$E$6:$E$158="Investment")*Events!$H$6:$H$158)</f>
        <v/>
      </c>
      <c r="T54" s="53">
        <f>(People!T54*assist_cost+Labour!AD54*talent_cost+Labour!L54*gw_admin)*Economy!H54/1000000</f>
        <v/>
      </c>
      <c r="U54" s="53">
        <f>SUMPRODUCT((Events!$B$6:$B$158&lt;=$A54)*(Events!$C$6:$C$158&gt;=$A54)*(Events!$E$6:$E$158="Purchase")*Events!$H$6:$H$158)</f>
        <v/>
      </c>
      <c r="V54" s="53">
        <f>SUMPRODUCT((Events!$B$6:$B$158&lt;=$A54)*(Events!$C$6:$C$158&gt;=$A54)*(Events!$E$6:$E$158="Subsidy &amp; guarantee")*Events!$H$6:$H$158)+SUMPRODUCT((Events!$B$6:$B$158&lt;=$A54)*(Events!$C$6:$C$158&gt;=$A54)*(Events!$E$6:$E$158="Relief")*Events!$H$6:$H$158)</f>
        <v/>
      </c>
      <c r="W54" s="53">
        <f>SUMPRODUCT((Events!$B$6:$B$158&lt;=$A54)*(Events!$C$6:$C$158&gt;=$A54)*(Events!$E$6:$E$158="Bank rescue &amp; capital")*Events!$H$6:$H$158)</f>
        <v/>
      </c>
      <c r="X54" s="53">
        <f>'Debt &amp; cash'!R53*Paths!Y54</f>
        <v/>
      </c>
      <c r="Y54" s="53">
        <f>SUM(N54:X54)</f>
        <v/>
      </c>
      <c r="Z54" s="53">
        <f>M54-Y54</f>
        <v/>
      </c>
      <c r="AA54" s="63">
        <f>M54/Economy!O54</f>
        <v/>
      </c>
      <c r="AB54" s="63">
        <f>Y54/Economy!O54</f>
        <v/>
      </c>
      <c r="AC54" s="63">
        <f>(N54+O54+P54)/Economy!O54</f>
        <v/>
      </c>
    </row>
    <row r="55">
      <c r="A55" s="58" t="n">
        <v>1895</v>
      </c>
      <c r="B55" s="53">
        <f>Economy!O55*Paths!N55*Paths!O55*cust_coll</f>
        <v/>
      </c>
      <c r="C55" s="53">
        <f>(Economy!J55+Economy!L55+Economy!M55+Economy!N55)*Paths!P55*Paths!Q55</f>
        <v/>
      </c>
      <c r="D55" s="53">
        <f>Resources!P55+Resources!Q55</f>
        <v/>
      </c>
      <c r="E55" s="53">
        <f>Paths!S55*(1-canal_opcost)*canal_share</f>
        <v/>
      </c>
      <c r="F55" s="53">
        <f>Economy!O55*Paths!R55</f>
        <v/>
      </c>
      <c r="G55" s="53">
        <f>SUMPRODUCT((Events!$B$6:$B$158&lt;=$A55)*(Events!$C$6:$C$158&gt;=$A55)*(Events!$E$6:$E$158="Receipt")*Events!$H$6:$H$158)</f>
        <v/>
      </c>
      <c r="H55" s="69">
        <f>Loans!Y55</f>
        <v/>
      </c>
      <c r="I55" s="53">
        <f>'Debt &amp; cash'!S54*fund_yield</f>
        <v/>
      </c>
      <c r="J55" s="69">
        <f>Labour!Q55</f>
        <v/>
      </c>
      <c r="K55" s="69">
        <f>Champions!BD55</f>
        <v/>
      </c>
      <c r="L55" s="69">
        <f>Abroad!N55</f>
        <v/>
      </c>
      <c r="M55" s="53">
        <f>SUM(B55:L55)</f>
        <v/>
      </c>
      <c r="N55" s="53">
        <f>(Paths!W55*army_cost+Paths!X55*res_cost)*Economy!H55/1000000</f>
        <v/>
      </c>
      <c r="O55" s="69">
        <f>Navy!Y55</f>
        <v/>
      </c>
      <c r="P55" s="53">
        <f>SUMPRODUCT((Events!$B$6:$B$158&lt;=$A55)*(Events!$C$6:$C$158&gt;=$A55)*(Events!$E$6:$E$158="War &amp; operations")*Events!$H$6:$H$158)</f>
        <v/>
      </c>
      <c r="Q55" s="53">
        <f>Economy!O55*Paths!T55</f>
        <v/>
      </c>
      <c r="R55" s="53">
        <f>Economy!O55*Paths!U55</f>
        <v/>
      </c>
      <c r="S55" s="53">
        <f>Economy!O55*Paths!V55+SUMPRODUCT((Events!$B$6:$B$158&lt;=$A55)*(Events!$C$6:$C$158&gt;=$A55)*(Events!$E$6:$E$158="Programme")*Events!$H$6:$H$158)+SUMPRODUCT((Events!$B$6:$B$158&lt;=$A55)*(Events!$C$6:$C$158&gt;=$A55)*(Events!$E$6:$E$158="Investment")*Events!$H$6:$H$158)</f>
        <v/>
      </c>
      <c r="T55" s="53">
        <f>(People!T55*assist_cost+Labour!AD55*talent_cost+Labour!L55*gw_admin)*Economy!H55/1000000</f>
        <v/>
      </c>
      <c r="U55" s="53">
        <f>SUMPRODUCT((Events!$B$6:$B$158&lt;=$A55)*(Events!$C$6:$C$158&gt;=$A55)*(Events!$E$6:$E$158="Purchase")*Events!$H$6:$H$158)</f>
        <v/>
      </c>
      <c r="V55" s="53">
        <f>SUMPRODUCT((Events!$B$6:$B$158&lt;=$A55)*(Events!$C$6:$C$158&gt;=$A55)*(Events!$E$6:$E$158="Subsidy &amp; guarantee")*Events!$H$6:$H$158)+SUMPRODUCT((Events!$B$6:$B$158&lt;=$A55)*(Events!$C$6:$C$158&gt;=$A55)*(Events!$E$6:$E$158="Relief")*Events!$H$6:$H$158)</f>
        <v/>
      </c>
      <c r="W55" s="53">
        <f>SUMPRODUCT((Events!$B$6:$B$158&lt;=$A55)*(Events!$C$6:$C$158&gt;=$A55)*(Events!$E$6:$E$158="Bank rescue &amp; capital")*Events!$H$6:$H$158)</f>
        <v/>
      </c>
      <c r="X55" s="53">
        <f>'Debt &amp; cash'!R54*Paths!Y55</f>
        <v/>
      </c>
      <c r="Y55" s="53">
        <f>SUM(N55:X55)</f>
        <v/>
      </c>
      <c r="Z55" s="53">
        <f>M55-Y55</f>
        <v/>
      </c>
      <c r="AA55" s="63">
        <f>M55/Economy!O55</f>
        <v/>
      </c>
      <c r="AB55" s="63">
        <f>Y55/Economy!O55</f>
        <v/>
      </c>
      <c r="AC55" s="63">
        <f>(N55+O55+P55)/Economy!O55</f>
        <v/>
      </c>
    </row>
    <row r="56">
      <c r="A56" s="58" t="n">
        <v>1896</v>
      </c>
      <c r="B56" s="53">
        <f>Economy!O56*Paths!N56*Paths!O56*cust_coll</f>
        <v/>
      </c>
      <c r="C56" s="53">
        <f>(Economy!J56+Economy!L56+Economy!M56+Economy!N56)*Paths!P56*Paths!Q56</f>
        <v/>
      </c>
      <c r="D56" s="53">
        <f>Resources!P56+Resources!Q56</f>
        <v/>
      </c>
      <c r="E56" s="53">
        <f>Paths!S56*(1-canal_opcost)*canal_share</f>
        <v/>
      </c>
      <c r="F56" s="53">
        <f>Economy!O56*Paths!R56</f>
        <v/>
      </c>
      <c r="G56" s="53">
        <f>SUMPRODUCT((Events!$B$6:$B$158&lt;=$A56)*(Events!$C$6:$C$158&gt;=$A56)*(Events!$E$6:$E$158="Receipt")*Events!$H$6:$H$158)</f>
        <v/>
      </c>
      <c r="H56" s="69">
        <f>Loans!Y56</f>
        <v/>
      </c>
      <c r="I56" s="53">
        <f>'Debt &amp; cash'!S55*fund_yield</f>
        <v/>
      </c>
      <c r="J56" s="69">
        <f>Labour!Q56</f>
        <v/>
      </c>
      <c r="K56" s="69">
        <f>Champions!BD56</f>
        <v/>
      </c>
      <c r="L56" s="69">
        <f>Abroad!N56</f>
        <v/>
      </c>
      <c r="M56" s="53">
        <f>SUM(B56:L56)</f>
        <v/>
      </c>
      <c r="N56" s="53">
        <f>(Paths!W56*army_cost+Paths!X56*res_cost)*Economy!H56/1000000</f>
        <v/>
      </c>
      <c r="O56" s="69">
        <f>Navy!Y56</f>
        <v/>
      </c>
      <c r="P56" s="53">
        <f>SUMPRODUCT((Events!$B$6:$B$158&lt;=$A56)*(Events!$C$6:$C$158&gt;=$A56)*(Events!$E$6:$E$158="War &amp; operations")*Events!$H$6:$H$158)</f>
        <v/>
      </c>
      <c r="Q56" s="53">
        <f>Economy!O56*Paths!T56</f>
        <v/>
      </c>
      <c r="R56" s="53">
        <f>Economy!O56*Paths!U56</f>
        <v/>
      </c>
      <c r="S56" s="53">
        <f>Economy!O56*Paths!V56+SUMPRODUCT((Events!$B$6:$B$158&lt;=$A56)*(Events!$C$6:$C$158&gt;=$A56)*(Events!$E$6:$E$158="Programme")*Events!$H$6:$H$158)+SUMPRODUCT((Events!$B$6:$B$158&lt;=$A56)*(Events!$C$6:$C$158&gt;=$A56)*(Events!$E$6:$E$158="Investment")*Events!$H$6:$H$158)</f>
        <v/>
      </c>
      <c r="T56" s="53">
        <f>(People!T56*assist_cost+Labour!AD56*talent_cost+Labour!L56*gw_admin)*Economy!H56/1000000</f>
        <v/>
      </c>
      <c r="U56" s="53">
        <f>SUMPRODUCT((Events!$B$6:$B$158&lt;=$A56)*(Events!$C$6:$C$158&gt;=$A56)*(Events!$E$6:$E$158="Purchase")*Events!$H$6:$H$158)</f>
        <v/>
      </c>
      <c r="V56" s="53">
        <f>SUMPRODUCT((Events!$B$6:$B$158&lt;=$A56)*(Events!$C$6:$C$158&gt;=$A56)*(Events!$E$6:$E$158="Subsidy &amp; guarantee")*Events!$H$6:$H$158)+SUMPRODUCT((Events!$B$6:$B$158&lt;=$A56)*(Events!$C$6:$C$158&gt;=$A56)*(Events!$E$6:$E$158="Relief")*Events!$H$6:$H$158)</f>
        <v/>
      </c>
      <c r="W56" s="53">
        <f>SUMPRODUCT((Events!$B$6:$B$158&lt;=$A56)*(Events!$C$6:$C$158&gt;=$A56)*(Events!$E$6:$E$158="Bank rescue &amp; capital")*Events!$H$6:$H$158)</f>
        <v/>
      </c>
      <c r="X56" s="53">
        <f>'Debt &amp; cash'!R55*Paths!Y56</f>
        <v/>
      </c>
      <c r="Y56" s="53">
        <f>SUM(N56:X56)</f>
        <v/>
      </c>
      <c r="Z56" s="53">
        <f>M56-Y56</f>
        <v/>
      </c>
      <c r="AA56" s="63">
        <f>M56/Economy!O56</f>
        <v/>
      </c>
      <c r="AB56" s="63">
        <f>Y56/Economy!O56</f>
        <v/>
      </c>
      <c r="AC56" s="63">
        <f>(N56+O56+P56)/Economy!O56</f>
        <v/>
      </c>
    </row>
    <row r="57">
      <c r="A57" s="58" t="n">
        <v>1897</v>
      </c>
      <c r="B57" s="53">
        <f>Economy!O57*Paths!N57*Paths!O57*cust_coll</f>
        <v/>
      </c>
      <c r="C57" s="53">
        <f>(Economy!J57+Economy!L57+Economy!M57+Economy!N57)*Paths!P57*Paths!Q57</f>
        <v/>
      </c>
      <c r="D57" s="53">
        <f>Resources!P57+Resources!Q57</f>
        <v/>
      </c>
      <c r="E57" s="53">
        <f>Paths!S57*(1-canal_opcost)*canal_share</f>
        <v/>
      </c>
      <c r="F57" s="53">
        <f>Economy!O57*Paths!R57</f>
        <v/>
      </c>
      <c r="G57" s="53">
        <f>SUMPRODUCT((Events!$B$6:$B$158&lt;=$A57)*(Events!$C$6:$C$158&gt;=$A57)*(Events!$E$6:$E$158="Receipt")*Events!$H$6:$H$158)</f>
        <v/>
      </c>
      <c r="H57" s="69">
        <f>Loans!Y57</f>
        <v/>
      </c>
      <c r="I57" s="53">
        <f>'Debt &amp; cash'!S56*fund_yield</f>
        <v/>
      </c>
      <c r="J57" s="69">
        <f>Labour!Q57</f>
        <v/>
      </c>
      <c r="K57" s="69">
        <f>Champions!BD57</f>
        <v/>
      </c>
      <c r="L57" s="69">
        <f>Abroad!N57</f>
        <v/>
      </c>
      <c r="M57" s="53">
        <f>SUM(B57:L57)</f>
        <v/>
      </c>
      <c r="N57" s="53">
        <f>(Paths!W57*army_cost+Paths!X57*res_cost)*Economy!H57/1000000</f>
        <v/>
      </c>
      <c r="O57" s="69">
        <f>Navy!Y57</f>
        <v/>
      </c>
      <c r="P57" s="53">
        <f>SUMPRODUCT((Events!$B$6:$B$158&lt;=$A57)*(Events!$C$6:$C$158&gt;=$A57)*(Events!$E$6:$E$158="War &amp; operations")*Events!$H$6:$H$158)</f>
        <v/>
      </c>
      <c r="Q57" s="53">
        <f>Economy!O57*Paths!T57</f>
        <v/>
      </c>
      <c r="R57" s="53">
        <f>Economy!O57*Paths!U57</f>
        <v/>
      </c>
      <c r="S57" s="53">
        <f>Economy!O57*Paths!V57+SUMPRODUCT((Events!$B$6:$B$158&lt;=$A57)*(Events!$C$6:$C$158&gt;=$A57)*(Events!$E$6:$E$158="Programme")*Events!$H$6:$H$158)+SUMPRODUCT((Events!$B$6:$B$158&lt;=$A57)*(Events!$C$6:$C$158&gt;=$A57)*(Events!$E$6:$E$158="Investment")*Events!$H$6:$H$158)</f>
        <v/>
      </c>
      <c r="T57" s="53">
        <f>(People!T57*assist_cost+Labour!AD57*talent_cost+Labour!L57*gw_admin)*Economy!H57/1000000</f>
        <v/>
      </c>
      <c r="U57" s="53">
        <f>SUMPRODUCT((Events!$B$6:$B$158&lt;=$A57)*(Events!$C$6:$C$158&gt;=$A57)*(Events!$E$6:$E$158="Purchase")*Events!$H$6:$H$158)</f>
        <v/>
      </c>
      <c r="V57" s="53">
        <f>SUMPRODUCT((Events!$B$6:$B$158&lt;=$A57)*(Events!$C$6:$C$158&gt;=$A57)*(Events!$E$6:$E$158="Subsidy &amp; guarantee")*Events!$H$6:$H$158)+SUMPRODUCT((Events!$B$6:$B$158&lt;=$A57)*(Events!$C$6:$C$158&gt;=$A57)*(Events!$E$6:$E$158="Relief")*Events!$H$6:$H$158)</f>
        <v/>
      </c>
      <c r="W57" s="53">
        <f>SUMPRODUCT((Events!$B$6:$B$158&lt;=$A57)*(Events!$C$6:$C$158&gt;=$A57)*(Events!$E$6:$E$158="Bank rescue &amp; capital")*Events!$H$6:$H$158)</f>
        <v/>
      </c>
      <c r="X57" s="53">
        <f>'Debt &amp; cash'!R56*Paths!Y57</f>
        <v/>
      </c>
      <c r="Y57" s="53">
        <f>SUM(N57:X57)</f>
        <v/>
      </c>
      <c r="Z57" s="53">
        <f>M57-Y57</f>
        <v/>
      </c>
      <c r="AA57" s="63">
        <f>M57/Economy!O57</f>
        <v/>
      </c>
      <c r="AB57" s="63">
        <f>Y57/Economy!O57</f>
        <v/>
      </c>
      <c r="AC57" s="63">
        <f>(N57+O57+P57)/Economy!O57</f>
        <v/>
      </c>
    </row>
    <row r="58">
      <c r="A58" s="58" t="n">
        <v>1898</v>
      </c>
      <c r="B58" s="53">
        <f>Economy!O58*Paths!N58*Paths!O58*cust_coll</f>
        <v/>
      </c>
      <c r="C58" s="53">
        <f>(Economy!J58+Economy!L58+Economy!M58+Economy!N58)*Paths!P58*Paths!Q58</f>
        <v/>
      </c>
      <c r="D58" s="53">
        <f>Resources!P58+Resources!Q58</f>
        <v/>
      </c>
      <c r="E58" s="53">
        <f>Paths!S58*(1-canal_opcost)*canal_share</f>
        <v/>
      </c>
      <c r="F58" s="53">
        <f>Economy!O58*Paths!R58</f>
        <v/>
      </c>
      <c r="G58" s="53">
        <f>SUMPRODUCT((Events!$B$6:$B$158&lt;=$A58)*(Events!$C$6:$C$158&gt;=$A58)*(Events!$E$6:$E$158="Receipt")*Events!$H$6:$H$158)</f>
        <v/>
      </c>
      <c r="H58" s="69">
        <f>Loans!Y58</f>
        <v/>
      </c>
      <c r="I58" s="53">
        <f>'Debt &amp; cash'!S57*fund_yield</f>
        <v/>
      </c>
      <c r="J58" s="69">
        <f>Labour!Q58</f>
        <v/>
      </c>
      <c r="K58" s="69">
        <f>Champions!BD58</f>
        <v/>
      </c>
      <c r="L58" s="69">
        <f>Abroad!N58</f>
        <v/>
      </c>
      <c r="M58" s="53">
        <f>SUM(B58:L58)</f>
        <v/>
      </c>
      <c r="N58" s="53">
        <f>(Paths!W58*army_cost+Paths!X58*res_cost)*Economy!H58/1000000</f>
        <v/>
      </c>
      <c r="O58" s="69">
        <f>Navy!Y58</f>
        <v/>
      </c>
      <c r="P58" s="53">
        <f>SUMPRODUCT((Events!$B$6:$B$158&lt;=$A58)*(Events!$C$6:$C$158&gt;=$A58)*(Events!$E$6:$E$158="War &amp; operations")*Events!$H$6:$H$158)</f>
        <v/>
      </c>
      <c r="Q58" s="53">
        <f>Economy!O58*Paths!T58</f>
        <v/>
      </c>
      <c r="R58" s="53">
        <f>Economy!O58*Paths!U58</f>
        <v/>
      </c>
      <c r="S58" s="53">
        <f>Economy!O58*Paths!V58+SUMPRODUCT((Events!$B$6:$B$158&lt;=$A58)*(Events!$C$6:$C$158&gt;=$A58)*(Events!$E$6:$E$158="Programme")*Events!$H$6:$H$158)+SUMPRODUCT((Events!$B$6:$B$158&lt;=$A58)*(Events!$C$6:$C$158&gt;=$A58)*(Events!$E$6:$E$158="Investment")*Events!$H$6:$H$158)</f>
        <v/>
      </c>
      <c r="T58" s="53">
        <f>(People!T58*assist_cost+Labour!AD58*talent_cost+Labour!L58*gw_admin)*Economy!H58/1000000</f>
        <v/>
      </c>
      <c r="U58" s="53">
        <f>SUMPRODUCT((Events!$B$6:$B$158&lt;=$A58)*(Events!$C$6:$C$158&gt;=$A58)*(Events!$E$6:$E$158="Purchase")*Events!$H$6:$H$158)</f>
        <v/>
      </c>
      <c r="V58" s="53">
        <f>SUMPRODUCT((Events!$B$6:$B$158&lt;=$A58)*(Events!$C$6:$C$158&gt;=$A58)*(Events!$E$6:$E$158="Subsidy &amp; guarantee")*Events!$H$6:$H$158)+SUMPRODUCT((Events!$B$6:$B$158&lt;=$A58)*(Events!$C$6:$C$158&gt;=$A58)*(Events!$E$6:$E$158="Relief")*Events!$H$6:$H$158)</f>
        <v/>
      </c>
      <c r="W58" s="53">
        <f>SUMPRODUCT((Events!$B$6:$B$158&lt;=$A58)*(Events!$C$6:$C$158&gt;=$A58)*(Events!$E$6:$E$158="Bank rescue &amp; capital")*Events!$H$6:$H$158)</f>
        <v/>
      </c>
      <c r="X58" s="53">
        <f>'Debt &amp; cash'!R57*Paths!Y58</f>
        <v/>
      </c>
      <c r="Y58" s="53">
        <f>SUM(N58:X58)</f>
        <v/>
      </c>
      <c r="Z58" s="53">
        <f>M58-Y58</f>
        <v/>
      </c>
      <c r="AA58" s="63">
        <f>M58/Economy!O58</f>
        <v/>
      </c>
      <c r="AB58" s="63">
        <f>Y58/Economy!O58</f>
        <v/>
      </c>
      <c r="AC58" s="63">
        <f>(N58+O58+P58)/Economy!O58</f>
        <v/>
      </c>
    </row>
    <row r="59">
      <c r="A59" s="58" t="n">
        <v>1899</v>
      </c>
      <c r="B59" s="53">
        <f>Economy!O59*Paths!N59*Paths!O59*cust_coll</f>
        <v/>
      </c>
      <c r="C59" s="53">
        <f>(Economy!J59+Economy!L59+Economy!M59+Economy!N59)*Paths!P59*Paths!Q59</f>
        <v/>
      </c>
      <c r="D59" s="53">
        <f>Resources!P59+Resources!Q59</f>
        <v/>
      </c>
      <c r="E59" s="53">
        <f>Paths!S59*(1-canal_opcost)*canal_share</f>
        <v/>
      </c>
      <c r="F59" s="53">
        <f>Economy!O59*Paths!R59</f>
        <v/>
      </c>
      <c r="G59" s="53">
        <f>SUMPRODUCT((Events!$B$6:$B$158&lt;=$A59)*(Events!$C$6:$C$158&gt;=$A59)*(Events!$E$6:$E$158="Receipt")*Events!$H$6:$H$158)</f>
        <v/>
      </c>
      <c r="H59" s="69">
        <f>Loans!Y59</f>
        <v/>
      </c>
      <c r="I59" s="53">
        <f>'Debt &amp; cash'!S58*fund_yield</f>
        <v/>
      </c>
      <c r="J59" s="69">
        <f>Labour!Q59</f>
        <v/>
      </c>
      <c r="K59" s="69">
        <f>Champions!BD59</f>
        <v/>
      </c>
      <c r="L59" s="69">
        <f>Abroad!N59</f>
        <v/>
      </c>
      <c r="M59" s="53">
        <f>SUM(B59:L59)</f>
        <v/>
      </c>
      <c r="N59" s="53">
        <f>(Paths!W59*army_cost+Paths!X59*res_cost)*Economy!H59/1000000</f>
        <v/>
      </c>
      <c r="O59" s="69">
        <f>Navy!Y59</f>
        <v/>
      </c>
      <c r="P59" s="53">
        <f>SUMPRODUCT((Events!$B$6:$B$158&lt;=$A59)*(Events!$C$6:$C$158&gt;=$A59)*(Events!$E$6:$E$158="War &amp; operations")*Events!$H$6:$H$158)</f>
        <v/>
      </c>
      <c r="Q59" s="53">
        <f>Economy!O59*Paths!T59</f>
        <v/>
      </c>
      <c r="R59" s="53">
        <f>Economy!O59*Paths!U59</f>
        <v/>
      </c>
      <c r="S59" s="53">
        <f>Economy!O59*Paths!V59+SUMPRODUCT((Events!$B$6:$B$158&lt;=$A59)*(Events!$C$6:$C$158&gt;=$A59)*(Events!$E$6:$E$158="Programme")*Events!$H$6:$H$158)+SUMPRODUCT((Events!$B$6:$B$158&lt;=$A59)*(Events!$C$6:$C$158&gt;=$A59)*(Events!$E$6:$E$158="Investment")*Events!$H$6:$H$158)</f>
        <v/>
      </c>
      <c r="T59" s="53">
        <f>(People!T59*assist_cost+Labour!AD59*talent_cost+Labour!L59*gw_admin)*Economy!H59/1000000</f>
        <v/>
      </c>
      <c r="U59" s="53">
        <f>SUMPRODUCT((Events!$B$6:$B$158&lt;=$A59)*(Events!$C$6:$C$158&gt;=$A59)*(Events!$E$6:$E$158="Purchase")*Events!$H$6:$H$158)</f>
        <v/>
      </c>
      <c r="V59" s="53">
        <f>SUMPRODUCT((Events!$B$6:$B$158&lt;=$A59)*(Events!$C$6:$C$158&gt;=$A59)*(Events!$E$6:$E$158="Subsidy &amp; guarantee")*Events!$H$6:$H$158)+SUMPRODUCT((Events!$B$6:$B$158&lt;=$A59)*(Events!$C$6:$C$158&gt;=$A59)*(Events!$E$6:$E$158="Relief")*Events!$H$6:$H$158)</f>
        <v/>
      </c>
      <c r="W59" s="53">
        <f>SUMPRODUCT((Events!$B$6:$B$158&lt;=$A59)*(Events!$C$6:$C$158&gt;=$A59)*(Events!$E$6:$E$158="Bank rescue &amp; capital")*Events!$H$6:$H$158)</f>
        <v/>
      </c>
      <c r="X59" s="53">
        <f>'Debt &amp; cash'!R58*Paths!Y59</f>
        <v/>
      </c>
      <c r="Y59" s="53">
        <f>SUM(N59:X59)</f>
        <v/>
      </c>
      <c r="Z59" s="53">
        <f>M59-Y59</f>
        <v/>
      </c>
      <c r="AA59" s="63">
        <f>M59/Economy!O59</f>
        <v/>
      </c>
      <c r="AB59" s="63">
        <f>Y59/Economy!O59</f>
        <v/>
      </c>
      <c r="AC59" s="63">
        <f>(N59+O59+P59)/Economy!O59</f>
        <v/>
      </c>
    </row>
    <row r="60">
      <c r="A60" s="58" t="n">
        <v>1900</v>
      </c>
      <c r="B60" s="53">
        <f>Economy!O60*Paths!N60*Paths!O60*cust_coll</f>
        <v/>
      </c>
      <c r="C60" s="53">
        <f>(Economy!J60+Economy!L60+Economy!M60+Economy!N60)*Paths!P60*Paths!Q60</f>
        <v/>
      </c>
      <c r="D60" s="53">
        <f>Resources!P60+Resources!Q60</f>
        <v/>
      </c>
      <c r="E60" s="53">
        <f>Paths!S60*(1-canal_opcost)*canal_share</f>
        <v/>
      </c>
      <c r="F60" s="53">
        <f>Economy!O60*Paths!R60</f>
        <v/>
      </c>
      <c r="G60" s="53">
        <f>SUMPRODUCT((Events!$B$6:$B$158&lt;=$A60)*(Events!$C$6:$C$158&gt;=$A60)*(Events!$E$6:$E$158="Receipt")*Events!$H$6:$H$158)</f>
        <v/>
      </c>
      <c r="H60" s="69">
        <f>Loans!Y60</f>
        <v/>
      </c>
      <c r="I60" s="53">
        <f>'Debt &amp; cash'!S59*fund_yield</f>
        <v/>
      </c>
      <c r="J60" s="69">
        <f>Labour!Q60</f>
        <v/>
      </c>
      <c r="K60" s="69">
        <f>Champions!BD60</f>
        <v/>
      </c>
      <c r="L60" s="69">
        <f>Abroad!N60</f>
        <v/>
      </c>
      <c r="M60" s="53">
        <f>SUM(B60:L60)</f>
        <v/>
      </c>
      <c r="N60" s="53">
        <f>(Paths!W60*army_cost+Paths!X60*res_cost)*Economy!H60/1000000</f>
        <v/>
      </c>
      <c r="O60" s="69">
        <f>Navy!Y60</f>
        <v/>
      </c>
      <c r="P60" s="53">
        <f>SUMPRODUCT((Events!$B$6:$B$158&lt;=$A60)*(Events!$C$6:$C$158&gt;=$A60)*(Events!$E$6:$E$158="War &amp; operations")*Events!$H$6:$H$158)</f>
        <v/>
      </c>
      <c r="Q60" s="53">
        <f>Economy!O60*Paths!T60</f>
        <v/>
      </c>
      <c r="R60" s="53">
        <f>Economy!O60*Paths!U60</f>
        <v/>
      </c>
      <c r="S60" s="53">
        <f>Economy!O60*Paths!V60+SUMPRODUCT((Events!$B$6:$B$158&lt;=$A60)*(Events!$C$6:$C$158&gt;=$A60)*(Events!$E$6:$E$158="Programme")*Events!$H$6:$H$158)+SUMPRODUCT((Events!$B$6:$B$158&lt;=$A60)*(Events!$C$6:$C$158&gt;=$A60)*(Events!$E$6:$E$158="Investment")*Events!$H$6:$H$158)</f>
        <v/>
      </c>
      <c r="T60" s="53">
        <f>(People!T60*assist_cost+Labour!AD60*talent_cost+Labour!L60*gw_admin)*Economy!H60/1000000</f>
        <v/>
      </c>
      <c r="U60" s="53">
        <f>SUMPRODUCT((Events!$B$6:$B$158&lt;=$A60)*(Events!$C$6:$C$158&gt;=$A60)*(Events!$E$6:$E$158="Purchase")*Events!$H$6:$H$158)</f>
        <v/>
      </c>
      <c r="V60" s="53">
        <f>SUMPRODUCT((Events!$B$6:$B$158&lt;=$A60)*(Events!$C$6:$C$158&gt;=$A60)*(Events!$E$6:$E$158="Subsidy &amp; guarantee")*Events!$H$6:$H$158)+SUMPRODUCT((Events!$B$6:$B$158&lt;=$A60)*(Events!$C$6:$C$158&gt;=$A60)*(Events!$E$6:$E$158="Relief")*Events!$H$6:$H$158)</f>
        <v/>
      </c>
      <c r="W60" s="53">
        <f>SUMPRODUCT((Events!$B$6:$B$158&lt;=$A60)*(Events!$C$6:$C$158&gt;=$A60)*(Events!$E$6:$E$158="Bank rescue &amp; capital")*Events!$H$6:$H$158)</f>
        <v/>
      </c>
      <c r="X60" s="53">
        <f>'Debt &amp; cash'!R59*Paths!Y60</f>
        <v/>
      </c>
      <c r="Y60" s="53">
        <f>SUM(N60:X60)</f>
        <v/>
      </c>
      <c r="Z60" s="53">
        <f>M60-Y60</f>
        <v/>
      </c>
      <c r="AA60" s="63">
        <f>M60/Economy!O60</f>
        <v/>
      </c>
      <c r="AB60" s="63">
        <f>Y60/Economy!O60</f>
        <v/>
      </c>
      <c r="AC60" s="63">
        <f>(N60+O60+P60)/Economy!O60</f>
        <v/>
      </c>
    </row>
    <row r="61">
      <c r="A61" s="58" t="n">
        <v>1901</v>
      </c>
      <c r="B61" s="53">
        <f>Economy!O61*Paths!N61*Paths!O61*cust_coll</f>
        <v/>
      </c>
      <c r="C61" s="53">
        <f>(Economy!J61+Economy!L61+Economy!M61+Economy!N61)*Paths!P61*Paths!Q61</f>
        <v/>
      </c>
      <c r="D61" s="53">
        <f>Resources!P61+Resources!Q61</f>
        <v/>
      </c>
      <c r="E61" s="53">
        <f>Paths!S61*(1-canal_opcost)*canal_share</f>
        <v/>
      </c>
      <c r="F61" s="53">
        <f>Economy!O61*Paths!R61</f>
        <v/>
      </c>
      <c r="G61" s="53">
        <f>SUMPRODUCT((Events!$B$6:$B$158&lt;=$A61)*(Events!$C$6:$C$158&gt;=$A61)*(Events!$E$6:$E$158="Receipt")*Events!$H$6:$H$158)</f>
        <v/>
      </c>
      <c r="H61" s="69">
        <f>Loans!Y61</f>
        <v/>
      </c>
      <c r="I61" s="53">
        <f>'Debt &amp; cash'!S60*fund_yield</f>
        <v/>
      </c>
      <c r="J61" s="69">
        <f>Labour!Q61</f>
        <v/>
      </c>
      <c r="K61" s="69">
        <f>Champions!BD61</f>
        <v/>
      </c>
      <c r="L61" s="69">
        <f>Abroad!N61</f>
        <v/>
      </c>
      <c r="M61" s="53">
        <f>SUM(B61:L61)</f>
        <v/>
      </c>
      <c r="N61" s="53">
        <f>(Paths!W61*army_cost+Paths!X61*res_cost)*Economy!H61/1000000</f>
        <v/>
      </c>
      <c r="O61" s="69">
        <f>Navy!Y61</f>
        <v/>
      </c>
      <c r="P61" s="53">
        <f>SUMPRODUCT((Events!$B$6:$B$158&lt;=$A61)*(Events!$C$6:$C$158&gt;=$A61)*(Events!$E$6:$E$158="War &amp; operations")*Events!$H$6:$H$158)</f>
        <v/>
      </c>
      <c r="Q61" s="53">
        <f>Economy!O61*Paths!T61</f>
        <v/>
      </c>
      <c r="R61" s="53">
        <f>Economy!O61*Paths!U61</f>
        <v/>
      </c>
      <c r="S61" s="53">
        <f>Economy!O61*Paths!V61+SUMPRODUCT((Events!$B$6:$B$158&lt;=$A61)*(Events!$C$6:$C$158&gt;=$A61)*(Events!$E$6:$E$158="Programme")*Events!$H$6:$H$158)+SUMPRODUCT((Events!$B$6:$B$158&lt;=$A61)*(Events!$C$6:$C$158&gt;=$A61)*(Events!$E$6:$E$158="Investment")*Events!$H$6:$H$158)</f>
        <v/>
      </c>
      <c r="T61" s="53">
        <f>(People!T61*assist_cost+Labour!AD61*talent_cost+Labour!L61*gw_admin)*Economy!H61/1000000</f>
        <v/>
      </c>
      <c r="U61" s="53">
        <f>SUMPRODUCT((Events!$B$6:$B$158&lt;=$A61)*(Events!$C$6:$C$158&gt;=$A61)*(Events!$E$6:$E$158="Purchase")*Events!$H$6:$H$158)</f>
        <v/>
      </c>
      <c r="V61" s="53">
        <f>SUMPRODUCT((Events!$B$6:$B$158&lt;=$A61)*(Events!$C$6:$C$158&gt;=$A61)*(Events!$E$6:$E$158="Subsidy &amp; guarantee")*Events!$H$6:$H$158)+SUMPRODUCT((Events!$B$6:$B$158&lt;=$A61)*(Events!$C$6:$C$158&gt;=$A61)*(Events!$E$6:$E$158="Relief")*Events!$H$6:$H$158)</f>
        <v/>
      </c>
      <c r="W61" s="53">
        <f>SUMPRODUCT((Events!$B$6:$B$158&lt;=$A61)*(Events!$C$6:$C$158&gt;=$A61)*(Events!$E$6:$E$158="Bank rescue &amp; capital")*Events!$H$6:$H$158)</f>
        <v/>
      </c>
      <c r="X61" s="53">
        <f>'Debt &amp; cash'!R60*Paths!Y61</f>
        <v/>
      </c>
      <c r="Y61" s="53">
        <f>SUM(N61:X61)</f>
        <v/>
      </c>
      <c r="Z61" s="53">
        <f>M61-Y61</f>
        <v/>
      </c>
      <c r="AA61" s="63">
        <f>M61/Economy!O61</f>
        <v/>
      </c>
      <c r="AB61" s="63">
        <f>Y61/Economy!O61</f>
        <v/>
      </c>
      <c r="AC61" s="63">
        <f>(N61+O61+P61)/Economy!O61</f>
        <v/>
      </c>
    </row>
    <row r="62">
      <c r="A62" s="58" t="n">
        <v>1902</v>
      </c>
      <c r="B62" s="53">
        <f>Economy!O62*Paths!N62*Paths!O62*cust_coll</f>
        <v/>
      </c>
      <c r="C62" s="53">
        <f>(Economy!J62+Economy!L62+Economy!M62+Economy!N62)*Paths!P62*Paths!Q62</f>
        <v/>
      </c>
      <c r="D62" s="53">
        <f>Resources!P62+Resources!Q62</f>
        <v/>
      </c>
      <c r="E62" s="53">
        <f>Paths!S62*(1-canal_opcost)*canal_share</f>
        <v/>
      </c>
      <c r="F62" s="53">
        <f>Economy!O62*Paths!R62</f>
        <v/>
      </c>
      <c r="G62" s="53">
        <f>SUMPRODUCT((Events!$B$6:$B$158&lt;=$A62)*(Events!$C$6:$C$158&gt;=$A62)*(Events!$E$6:$E$158="Receipt")*Events!$H$6:$H$158)</f>
        <v/>
      </c>
      <c r="H62" s="69">
        <f>Loans!Y62</f>
        <v/>
      </c>
      <c r="I62" s="53">
        <f>'Debt &amp; cash'!S61*fund_yield</f>
        <v/>
      </c>
      <c r="J62" s="69">
        <f>Labour!Q62</f>
        <v/>
      </c>
      <c r="K62" s="69">
        <f>Champions!BD62</f>
        <v/>
      </c>
      <c r="L62" s="69">
        <f>Abroad!N62</f>
        <v/>
      </c>
      <c r="M62" s="53">
        <f>SUM(B62:L62)</f>
        <v/>
      </c>
      <c r="N62" s="53">
        <f>(Paths!W62*army_cost+Paths!X62*res_cost)*Economy!H62/1000000</f>
        <v/>
      </c>
      <c r="O62" s="69">
        <f>Navy!Y62</f>
        <v/>
      </c>
      <c r="P62" s="53">
        <f>SUMPRODUCT((Events!$B$6:$B$158&lt;=$A62)*(Events!$C$6:$C$158&gt;=$A62)*(Events!$E$6:$E$158="War &amp; operations")*Events!$H$6:$H$158)</f>
        <v/>
      </c>
      <c r="Q62" s="53">
        <f>Economy!O62*Paths!T62</f>
        <v/>
      </c>
      <c r="R62" s="53">
        <f>Economy!O62*Paths!U62</f>
        <v/>
      </c>
      <c r="S62" s="53">
        <f>Economy!O62*Paths!V62+SUMPRODUCT((Events!$B$6:$B$158&lt;=$A62)*(Events!$C$6:$C$158&gt;=$A62)*(Events!$E$6:$E$158="Programme")*Events!$H$6:$H$158)+SUMPRODUCT((Events!$B$6:$B$158&lt;=$A62)*(Events!$C$6:$C$158&gt;=$A62)*(Events!$E$6:$E$158="Investment")*Events!$H$6:$H$158)</f>
        <v/>
      </c>
      <c r="T62" s="53">
        <f>(People!T62*assist_cost+Labour!AD62*talent_cost+Labour!L62*gw_admin)*Economy!H62/1000000</f>
        <v/>
      </c>
      <c r="U62" s="53">
        <f>SUMPRODUCT((Events!$B$6:$B$158&lt;=$A62)*(Events!$C$6:$C$158&gt;=$A62)*(Events!$E$6:$E$158="Purchase")*Events!$H$6:$H$158)</f>
        <v/>
      </c>
      <c r="V62" s="53">
        <f>SUMPRODUCT((Events!$B$6:$B$158&lt;=$A62)*(Events!$C$6:$C$158&gt;=$A62)*(Events!$E$6:$E$158="Subsidy &amp; guarantee")*Events!$H$6:$H$158)+SUMPRODUCT((Events!$B$6:$B$158&lt;=$A62)*(Events!$C$6:$C$158&gt;=$A62)*(Events!$E$6:$E$158="Relief")*Events!$H$6:$H$158)</f>
        <v/>
      </c>
      <c r="W62" s="53">
        <f>SUMPRODUCT((Events!$B$6:$B$158&lt;=$A62)*(Events!$C$6:$C$158&gt;=$A62)*(Events!$E$6:$E$158="Bank rescue &amp; capital")*Events!$H$6:$H$158)</f>
        <v/>
      </c>
      <c r="X62" s="53">
        <f>'Debt &amp; cash'!R61*Paths!Y62</f>
        <v/>
      </c>
      <c r="Y62" s="53">
        <f>SUM(N62:X62)</f>
        <v/>
      </c>
      <c r="Z62" s="53">
        <f>M62-Y62</f>
        <v/>
      </c>
      <c r="AA62" s="63">
        <f>M62/Economy!O62</f>
        <v/>
      </c>
      <c r="AB62" s="63">
        <f>Y62/Economy!O62</f>
        <v/>
      </c>
      <c r="AC62" s="63">
        <f>(N62+O62+P62)/Economy!O62</f>
        <v/>
      </c>
    </row>
    <row r="63">
      <c r="A63" s="58" t="n">
        <v>1903</v>
      </c>
      <c r="B63" s="53">
        <f>Economy!O63*Paths!N63*Paths!O63*cust_coll</f>
        <v/>
      </c>
      <c r="C63" s="53">
        <f>(Economy!J63+Economy!L63+Economy!M63+Economy!N63)*Paths!P63*Paths!Q63</f>
        <v/>
      </c>
      <c r="D63" s="53">
        <f>Resources!P63+Resources!Q63</f>
        <v/>
      </c>
      <c r="E63" s="53">
        <f>Paths!S63*(1-canal_opcost)*canal_share</f>
        <v/>
      </c>
      <c r="F63" s="53">
        <f>Economy!O63*Paths!R63</f>
        <v/>
      </c>
      <c r="G63" s="53">
        <f>SUMPRODUCT((Events!$B$6:$B$158&lt;=$A63)*(Events!$C$6:$C$158&gt;=$A63)*(Events!$E$6:$E$158="Receipt")*Events!$H$6:$H$158)</f>
        <v/>
      </c>
      <c r="H63" s="69">
        <f>Loans!Y63</f>
        <v/>
      </c>
      <c r="I63" s="53">
        <f>'Debt &amp; cash'!S62*fund_yield</f>
        <v/>
      </c>
      <c r="J63" s="69">
        <f>Labour!Q63</f>
        <v/>
      </c>
      <c r="K63" s="69">
        <f>Champions!BD63</f>
        <v/>
      </c>
      <c r="L63" s="69">
        <f>Abroad!N63</f>
        <v/>
      </c>
      <c r="M63" s="53">
        <f>SUM(B63:L63)</f>
        <v/>
      </c>
      <c r="N63" s="53">
        <f>(Paths!W63*army_cost+Paths!X63*res_cost)*Economy!H63/1000000</f>
        <v/>
      </c>
      <c r="O63" s="69">
        <f>Navy!Y63</f>
        <v/>
      </c>
      <c r="P63" s="53">
        <f>SUMPRODUCT((Events!$B$6:$B$158&lt;=$A63)*(Events!$C$6:$C$158&gt;=$A63)*(Events!$E$6:$E$158="War &amp; operations")*Events!$H$6:$H$158)</f>
        <v/>
      </c>
      <c r="Q63" s="53">
        <f>Economy!O63*Paths!T63</f>
        <v/>
      </c>
      <c r="R63" s="53">
        <f>Economy!O63*Paths!U63</f>
        <v/>
      </c>
      <c r="S63" s="53">
        <f>Economy!O63*Paths!V63+SUMPRODUCT((Events!$B$6:$B$158&lt;=$A63)*(Events!$C$6:$C$158&gt;=$A63)*(Events!$E$6:$E$158="Programme")*Events!$H$6:$H$158)+SUMPRODUCT((Events!$B$6:$B$158&lt;=$A63)*(Events!$C$6:$C$158&gt;=$A63)*(Events!$E$6:$E$158="Investment")*Events!$H$6:$H$158)</f>
        <v/>
      </c>
      <c r="T63" s="53">
        <f>(People!T63*assist_cost+Labour!AD63*talent_cost+Labour!L63*gw_admin)*Economy!H63/1000000</f>
        <v/>
      </c>
      <c r="U63" s="53">
        <f>SUMPRODUCT((Events!$B$6:$B$158&lt;=$A63)*(Events!$C$6:$C$158&gt;=$A63)*(Events!$E$6:$E$158="Purchase")*Events!$H$6:$H$158)</f>
        <v/>
      </c>
      <c r="V63" s="53">
        <f>SUMPRODUCT((Events!$B$6:$B$158&lt;=$A63)*(Events!$C$6:$C$158&gt;=$A63)*(Events!$E$6:$E$158="Subsidy &amp; guarantee")*Events!$H$6:$H$158)+SUMPRODUCT((Events!$B$6:$B$158&lt;=$A63)*(Events!$C$6:$C$158&gt;=$A63)*(Events!$E$6:$E$158="Relief")*Events!$H$6:$H$158)</f>
        <v/>
      </c>
      <c r="W63" s="53">
        <f>SUMPRODUCT((Events!$B$6:$B$158&lt;=$A63)*(Events!$C$6:$C$158&gt;=$A63)*(Events!$E$6:$E$158="Bank rescue &amp; capital")*Events!$H$6:$H$158)</f>
        <v/>
      </c>
      <c r="X63" s="53">
        <f>'Debt &amp; cash'!R62*Paths!Y63</f>
        <v/>
      </c>
      <c r="Y63" s="53">
        <f>SUM(N63:X63)</f>
        <v/>
      </c>
      <c r="Z63" s="53">
        <f>M63-Y63</f>
        <v/>
      </c>
      <c r="AA63" s="63">
        <f>M63/Economy!O63</f>
        <v/>
      </c>
      <c r="AB63" s="63">
        <f>Y63/Economy!O63</f>
        <v/>
      </c>
      <c r="AC63" s="63">
        <f>(N63+O63+P63)/Economy!O63</f>
        <v/>
      </c>
    </row>
    <row r="64">
      <c r="A64" s="58" t="n">
        <v>1904</v>
      </c>
      <c r="B64" s="53">
        <f>Economy!O64*Paths!N64*Paths!O64*cust_coll</f>
        <v/>
      </c>
      <c r="C64" s="53">
        <f>(Economy!J64+Economy!L64+Economy!M64+Economy!N64)*Paths!P64*Paths!Q64</f>
        <v/>
      </c>
      <c r="D64" s="53">
        <f>Resources!P64+Resources!Q64</f>
        <v/>
      </c>
      <c r="E64" s="53">
        <f>Paths!S64*(1-canal_opcost)*canal_share</f>
        <v/>
      </c>
      <c r="F64" s="53">
        <f>Economy!O64*Paths!R64</f>
        <v/>
      </c>
      <c r="G64" s="53">
        <f>SUMPRODUCT((Events!$B$6:$B$158&lt;=$A64)*(Events!$C$6:$C$158&gt;=$A64)*(Events!$E$6:$E$158="Receipt")*Events!$H$6:$H$158)</f>
        <v/>
      </c>
      <c r="H64" s="69">
        <f>Loans!Y64</f>
        <v/>
      </c>
      <c r="I64" s="53">
        <f>'Debt &amp; cash'!S63*fund_yield</f>
        <v/>
      </c>
      <c r="J64" s="69">
        <f>Labour!Q64</f>
        <v/>
      </c>
      <c r="K64" s="69">
        <f>Champions!BD64</f>
        <v/>
      </c>
      <c r="L64" s="69">
        <f>Abroad!N64</f>
        <v/>
      </c>
      <c r="M64" s="53">
        <f>SUM(B64:L64)</f>
        <v/>
      </c>
      <c r="N64" s="53">
        <f>(Paths!W64*army_cost+Paths!X64*res_cost)*Economy!H64/1000000</f>
        <v/>
      </c>
      <c r="O64" s="69">
        <f>Navy!Y64</f>
        <v/>
      </c>
      <c r="P64" s="53">
        <f>SUMPRODUCT((Events!$B$6:$B$158&lt;=$A64)*(Events!$C$6:$C$158&gt;=$A64)*(Events!$E$6:$E$158="War &amp; operations")*Events!$H$6:$H$158)</f>
        <v/>
      </c>
      <c r="Q64" s="53">
        <f>Economy!O64*Paths!T64</f>
        <v/>
      </c>
      <c r="R64" s="53">
        <f>Economy!O64*Paths!U64</f>
        <v/>
      </c>
      <c r="S64" s="53">
        <f>Economy!O64*Paths!V64+SUMPRODUCT((Events!$B$6:$B$158&lt;=$A64)*(Events!$C$6:$C$158&gt;=$A64)*(Events!$E$6:$E$158="Programme")*Events!$H$6:$H$158)+SUMPRODUCT((Events!$B$6:$B$158&lt;=$A64)*(Events!$C$6:$C$158&gt;=$A64)*(Events!$E$6:$E$158="Investment")*Events!$H$6:$H$158)</f>
        <v/>
      </c>
      <c r="T64" s="53">
        <f>(People!T64*assist_cost+Labour!AD64*talent_cost+Labour!L64*gw_admin)*Economy!H64/1000000</f>
        <v/>
      </c>
      <c r="U64" s="53">
        <f>SUMPRODUCT((Events!$B$6:$B$158&lt;=$A64)*(Events!$C$6:$C$158&gt;=$A64)*(Events!$E$6:$E$158="Purchase")*Events!$H$6:$H$158)</f>
        <v/>
      </c>
      <c r="V64" s="53">
        <f>SUMPRODUCT((Events!$B$6:$B$158&lt;=$A64)*(Events!$C$6:$C$158&gt;=$A64)*(Events!$E$6:$E$158="Subsidy &amp; guarantee")*Events!$H$6:$H$158)+SUMPRODUCT((Events!$B$6:$B$158&lt;=$A64)*(Events!$C$6:$C$158&gt;=$A64)*(Events!$E$6:$E$158="Relief")*Events!$H$6:$H$158)</f>
        <v/>
      </c>
      <c r="W64" s="53">
        <f>SUMPRODUCT((Events!$B$6:$B$158&lt;=$A64)*(Events!$C$6:$C$158&gt;=$A64)*(Events!$E$6:$E$158="Bank rescue &amp; capital")*Events!$H$6:$H$158)</f>
        <v/>
      </c>
      <c r="X64" s="53">
        <f>'Debt &amp; cash'!R63*Paths!Y64</f>
        <v/>
      </c>
      <c r="Y64" s="53">
        <f>SUM(N64:X64)</f>
        <v/>
      </c>
      <c r="Z64" s="53">
        <f>M64-Y64</f>
        <v/>
      </c>
      <c r="AA64" s="63">
        <f>M64/Economy!O64</f>
        <v/>
      </c>
      <c r="AB64" s="63">
        <f>Y64/Economy!O64</f>
        <v/>
      </c>
      <c r="AC64" s="63">
        <f>(N64+O64+P64)/Economy!O64</f>
        <v/>
      </c>
    </row>
    <row r="65">
      <c r="A65" s="58" t="n">
        <v>1905</v>
      </c>
      <c r="B65" s="53">
        <f>Economy!O65*Paths!N65*Paths!O65*cust_coll</f>
        <v/>
      </c>
      <c r="C65" s="53">
        <f>(Economy!J65+Economy!L65+Economy!M65+Economy!N65)*Paths!P65*Paths!Q65</f>
        <v/>
      </c>
      <c r="D65" s="53">
        <f>Resources!P65+Resources!Q65</f>
        <v/>
      </c>
      <c r="E65" s="53">
        <f>Paths!S65*(1-canal_opcost)*canal_share</f>
        <v/>
      </c>
      <c r="F65" s="53">
        <f>Economy!O65*Paths!R65</f>
        <v/>
      </c>
      <c r="G65" s="53">
        <f>SUMPRODUCT((Events!$B$6:$B$158&lt;=$A65)*(Events!$C$6:$C$158&gt;=$A65)*(Events!$E$6:$E$158="Receipt")*Events!$H$6:$H$158)</f>
        <v/>
      </c>
      <c r="H65" s="69">
        <f>Loans!Y65</f>
        <v/>
      </c>
      <c r="I65" s="53">
        <f>'Debt &amp; cash'!S64*fund_yield</f>
        <v/>
      </c>
      <c r="J65" s="69">
        <f>Labour!Q65</f>
        <v/>
      </c>
      <c r="K65" s="69">
        <f>Champions!BD65</f>
        <v/>
      </c>
      <c r="L65" s="69">
        <f>Abroad!N65</f>
        <v/>
      </c>
      <c r="M65" s="53">
        <f>SUM(B65:L65)</f>
        <v/>
      </c>
      <c r="N65" s="53">
        <f>(Paths!W65*army_cost+Paths!X65*res_cost)*Economy!H65/1000000</f>
        <v/>
      </c>
      <c r="O65" s="69">
        <f>Navy!Y65</f>
        <v/>
      </c>
      <c r="P65" s="53">
        <f>SUMPRODUCT((Events!$B$6:$B$158&lt;=$A65)*(Events!$C$6:$C$158&gt;=$A65)*(Events!$E$6:$E$158="War &amp; operations")*Events!$H$6:$H$158)</f>
        <v/>
      </c>
      <c r="Q65" s="53">
        <f>Economy!O65*Paths!T65</f>
        <v/>
      </c>
      <c r="R65" s="53">
        <f>Economy!O65*Paths!U65</f>
        <v/>
      </c>
      <c r="S65" s="53">
        <f>Economy!O65*Paths!V65+SUMPRODUCT((Events!$B$6:$B$158&lt;=$A65)*(Events!$C$6:$C$158&gt;=$A65)*(Events!$E$6:$E$158="Programme")*Events!$H$6:$H$158)+SUMPRODUCT((Events!$B$6:$B$158&lt;=$A65)*(Events!$C$6:$C$158&gt;=$A65)*(Events!$E$6:$E$158="Investment")*Events!$H$6:$H$158)</f>
        <v/>
      </c>
      <c r="T65" s="53">
        <f>(People!T65*assist_cost+Labour!AD65*talent_cost+Labour!L65*gw_admin)*Economy!H65/1000000</f>
        <v/>
      </c>
      <c r="U65" s="53">
        <f>SUMPRODUCT((Events!$B$6:$B$158&lt;=$A65)*(Events!$C$6:$C$158&gt;=$A65)*(Events!$E$6:$E$158="Purchase")*Events!$H$6:$H$158)</f>
        <v/>
      </c>
      <c r="V65" s="53">
        <f>SUMPRODUCT((Events!$B$6:$B$158&lt;=$A65)*(Events!$C$6:$C$158&gt;=$A65)*(Events!$E$6:$E$158="Subsidy &amp; guarantee")*Events!$H$6:$H$158)+SUMPRODUCT((Events!$B$6:$B$158&lt;=$A65)*(Events!$C$6:$C$158&gt;=$A65)*(Events!$E$6:$E$158="Relief")*Events!$H$6:$H$158)</f>
        <v/>
      </c>
      <c r="W65" s="53">
        <f>SUMPRODUCT((Events!$B$6:$B$158&lt;=$A65)*(Events!$C$6:$C$158&gt;=$A65)*(Events!$E$6:$E$158="Bank rescue &amp; capital")*Events!$H$6:$H$158)</f>
        <v/>
      </c>
      <c r="X65" s="53">
        <f>'Debt &amp; cash'!R64*Paths!Y65</f>
        <v/>
      </c>
      <c r="Y65" s="53">
        <f>SUM(N65:X65)</f>
        <v/>
      </c>
      <c r="Z65" s="53">
        <f>M65-Y65</f>
        <v/>
      </c>
      <c r="AA65" s="63">
        <f>M65/Economy!O65</f>
        <v/>
      </c>
      <c r="AB65" s="63">
        <f>Y65/Economy!O65</f>
        <v/>
      </c>
      <c r="AC65" s="63">
        <f>(N65+O65+P65)/Economy!O65</f>
        <v/>
      </c>
    </row>
    <row r="66">
      <c r="A66" s="58" t="n">
        <v>1906</v>
      </c>
      <c r="B66" s="53">
        <f>Economy!O66*Paths!N66*Paths!O66*cust_coll</f>
        <v/>
      </c>
      <c r="C66" s="53">
        <f>(Economy!J66+Economy!L66+Economy!M66+Economy!N66)*Paths!P66*Paths!Q66</f>
        <v/>
      </c>
      <c r="D66" s="53">
        <f>Resources!P66+Resources!Q66</f>
        <v/>
      </c>
      <c r="E66" s="53">
        <f>Paths!S66*(1-canal_opcost)*canal_share</f>
        <v/>
      </c>
      <c r="F66" s="53">
        <f>Economy!O66*Paths!R66</f>
        <v/>
      </c>
      <c r="G66" s="53">
        <f>SUMPRODUCT((Events!$B$6:$B$158&lt;=$A66)*(Events!$C$6:$C$158&gt;=$A66)*(Events!$E$6:$E$158="Receipt")*Events!$H$6:$H$158)</f>
        <v/>
      </c>
      <c r="H66" s="69">
        <f>Loans!Y66</f>
        <v/>
      </c>
      <c r="I66" s="53">
        <f>'Debt &amp; cash'!S65*fund_yield</f>
        <v/>
      </c>
      <c r="J66" s="69">
        <f>Labour!Q66</f>
        <v/>
      </c>
      <c r="K66" s="69">
        <f>Champions!BD66</f>
        <v/>
      </c>
      <c r="L66" s="69">
        <f>Abroad!N66</f>
        <v/>
      </c>
      <c r="M66" s="53">
        <f>SUM(B66:L66)</f>
        <v/>
      </c>
      <c r="N66" s="53">
        <f>(Paths!W66*army_cost+Paths!X66*res_cost)*Economy!H66/1000000</f>
        <v/>
      </c>
      <c r="O66" s="69">
        <f>Navy!Y66</f>
        <v/>
      </c>
      <c r="P66" s="53">
        <f>SUMPRODUCT((Events!$B$6:$B$158&lt;=$A66)*(Events!$C$6:$C$158&gt;=$A66)*(Events!$E$6:$E$158="War &amp; operations")*Events!$H$6:$H$158)</f>
        <v/>
      </c>
      <c r="Q66" s="53">
        <f>Economy!O66*Paths!T66</f>
        <v/>
      </c>
      <c r="R66" s="53">
        <f>Economy!O66*Paths!U66</f>
        <v/>
      </c>
      <c r="S66" s="53">
        <f>Economy!O66*Paths!V66+SUMPRODUCT((Events!$B$6:$B$158&lt;=$A66)*(Events!$C$6:$C$158&gt;=$A66)*(Events!$E$6:$E$158="Programme")*Events!$H$6:$H$158)+SUMPRODUCT((Events!$B$6:$B$158&lt;=$A66)*(Events!$C$6:$C$158&gt;=$A66)*(Events!$E$6:$E$158="Investment")*Events!$H$6:$H$158)</f>
        <v/>
      </c>
      <c r="T66" s="53">
        <f>(People!T66*assist_cost+Labour!AD66*talent_cost+Labour!L66*gw_admin)*Economy!H66/1000000</f>
        <v/>
      </c>
      <c r="U66" s="53">
        <f>SUMPRODUCT((Events!$B$6:$B$158&lt;=$A66)*(Events!$C$6:$C$158&gt;=$A66)*(Events!$E$6:$E$158="Purchase")*Events!$H$6:$H$158)</f>
        <v/>
      </c>
      <c r="V66" s="53">
        <f>SUMPRODUCT((Events!$B$6:$B$158&lt;=$A66)*(Events!$C$6:$C$158&gt;=$A66)*(Events!$E$6:$E$158="Subsidy &amp; guarantee")*Events!$H$6:$H$158)+SUMPRODUCT((Events!$B$6:$B$158&lt;=$A66)*(Events!$C$6:$C$158&gt;=$A66)*(Events!$E$6:$E$158="Relief")*Events!$H$6:$H$158)</f>
        <v/>
      </c>
      <c r="W66" s="53">
        <f>SUMPRODUCT((Events!$B$6:$B$158&lt;=$A66)*(Events!$C$6:$C$158&gt;=$A66)*(Events!$E$6:$E$158="Bank rescue &amp; capital")*Events!$H$6:$H$158)</f>
        <v/>
      </c>
      <c r="X66" s="53">
        <f>'Debt &amp; cash'!R65*Paths!Y66</f>
        <v/>
      </c>
      <c r="Y66" s="53">
        <f>SUM(N66:X66)</f>
        <v/>
      </c>
      <c r="Z66" s="53">
        <f>M66-Y66</f>
        <v/>
      </c>
      <c r="AA66" s="63">
        <f>M66/Economy!O66</f>
        <v/>
      </c>
      <c r="AB66" s="63">
        <f>Y66/Economy!O66</f>
        <v/>
      </c>
      <c r="AC66" s="63">
        <f>(N66+O66+P66)/Economy!O66</f>
        <v/>
      </c>
    </row>
    <row r="67">
      <c r="A67" s="58" t="n">
        <v>1907</v>
      </c>
      <c r="B67" s="53">
        <f>Economy!O67*Paths!N67*Paths!O67*cust_coll</f>
        <v/>
      </c>
      <c r="C67" s="53">
        <f>(Economy!J67+Economy!L67+Economy!M67+Economy!N67)*Paths!P67*Paths!Q67</f>
        <v/>
      </c>
      <c r="D67" s="53">
        <f>Resources!P67+Resources!Q67</f>
        <v/>
      </c>
      <c r="E67" s="53">
        <f>Paths!S67*(1-canal_opcost)*canal_share</f>
        <v/>
      </c>
      <c r="F67" s="53">
        <f>Economy!O67*Paths!R67</f>
        <v/>
      </c>
      <c r="G67" s="53">
        <f>SUMPRODUCT((Events!$B$6:$B$158&lt;=$A67)*(Events!$C$6:$C$158&gt;=$A67)*(Events!$E$6:$E$158="Receipt")*Events!$H$6:$H$158)</f>
        <v/>
      </c>
      <c r="H67" s="69">
        <f>Loans!Y67</f>
        <v/>
      </c>
      <c r="I67" s="53">
        <f>'Debt &amp; cash'!S66*fund_yield</f>
        <v/>
      </c>
      <c r="J67" s="69">
        <f>Labour!Q67</f>
        <v/>
      </c>
      <c r="K67" s="69">
        <f>Champions!BD67</f>
        <v/>
      </c>
      <c r="L67" s="69">
        <f>Abroad!N67</f>
        <v/>
      </c>
      <c r="M67" s="53">
        <f>SUM(B67:L67)</f>
        <v/>
      </c>
      <c r="N67" s="53">
        <f>(Paths!W67*army_cost+Paths!X67*res_cost)*Economy!H67/1000000</f>
        <v/>
      </c>
      <c r="O67" s="69">
        <f>Navy!Y67</f>
        <v/>
      </c>
      <c r="P67" s="53">
        <f>SUMPRODUCT((Events!$B$6:$B$158&lt;=$A67)*(Events!$C$6:$C$158&gt;=$A67)*(Events!$E$6:$E$158="War &amp; operations")*Events!$H$6:$H$158)</f>
        <v/>
      </c>
      <c r="Q67" s="53">
        <f>Economy!O67*Paths!T67</f>
        <v/>
      </c>
      <c r="R67" s="53">
        <f>Economy!O67*Paths!U67</f>
        <v/>
      </c>
      <c r="S67" s="53">
        <f>Economy!O67*Paths!V67+SUMPRODUCT((Events!$B$6:$B$158&lt;=$A67)*(Events!$C$6:$C$158&gt;=$A67)*(Events!$E$6:$E$158="Programme")*Events!$H$6:$H$158)+SUMPRODUCT((Events!$B$6:$B$158&lt;=$A67)*(Events!$C$6:$C$158&gt;=$A67)*(Events!$E$6:$E$158="Investment")*Events!$H$6:$H$158)</f>
        <v/>
      </c>
      <c r="T67" s="53">
        <f>(People!T67*assist_cost+Labour!AD67*talent_cost+Labour!L67*gw_admin)*Economy!H67/1000000</f>
        <v/>
      </c>
      <c r="U67" s="53">
        <f>SUMPRODUCT((Events!$B$6:$B$158&lt;=$A67)*(Events!$C$6:$C$158&gt;=$A67)*(Events!$E$6:$E$158="Purchase")*Events!$H$6:$H$158)</f>
        <v/>
      </c>
      <c r="V67" s="53">
        <f>SUMPRODUCT((Events!$B$6:$B$158&lt;=$A67)*(Events!$C$6:$C$158&gt;=$A67)*(Events!$E$6:$E$158="Subsidy &amp; guarantee")*Events!$H$6:$H$158)+SUMPRODUCT((Events!$B$6:$B$158&lt;=$A67)*(Events!$C$6:$C$158&gt;=$A67)*(Events!$E$6:$E$158="Relief")*Events!$H$6:$H$158)</f>
        <v/>
      </c>
      <c r="W67" s="53">
        <f>SUMPRODUCT((Events!$B$6:$B$158&lt;=$A67)*(Events!$C$6:$C$158&gt;=$A67)*(Events!$E$6:$E$158="Bank rescue &amp; capital")*Events!$H$6:$H$158)</f>
        <v/>
      </c>
      <c r="X67" s="53">
        <f>'Debt &amp; cash'!R66*Paths!Y67</f>
        <v/>
      </c>
      <c r="Y67" s="53">
        <f>SUM(N67:X67)</f>
        <v/>
      </c>
      <c r="Z67" s="53">
        <f>M67-Y67</f>
        <v/>
      </c>
      <c r="AA67" s="63">
        <f>M67/Economy!O67</f>
        <v/>
      </c>
      <c r="AB67" s="63">
        <f>Y67/Economy!O67</f>
        <v/>
      </c>
      <c r="AC67" s="63">
        <f>(N67+O67+P67)/Economy!O67</f>
        <v/>
      </c>
    </row>
    <row r="68">
      <c r="A68" s="58" t="n">
        <v>1908</v>
      </c>
      <c r="B68" s="53">
        <f>Economy!O68*Paths!N68*Paths!O68*cust_coll</f>
        <v/>
      </c>
      <c r="C68" s="53">
        <f>(Economy!J68+Economy!L68+Economy!M68+Economy!N68)*Paths!P68*Paths!Q68</f>
        <v/>
      </c>
      <c r="D68" s="53">
        <f>Resources!P68+Resources!Q68</f>
        <v/>
      </c>
      <c r="E68" s="53">
        <f>Paths!S68*(1-canal_opcost)*canal_share</f>
        <v/>
      </c>
      <c r="F68" s="53">
        <f>Economy!O68*Paths!R68</f>
        <v/>
      </c>
      <c r="G68" s="53">
        <f>SUMPRODUCT((Events!$B$6:$B$158&lt;=$A68)*(Events!$C$6:$C$158&gt;=$A68)*(Events!$E$6:$E$158="Receipt")*Events!$H$6:$H$158)</f>
        <v/>
      </c>
      <c r="H68" s="69">
        <f>Loans!Y68</f>
        <v/>
      </c>
      <c r="I68" s="53">
        <f>'Debt &amp; cash'!S67*fund_yield</f>
        <v/>
      </c>
      <c r="J68" s="69">
        <f>Labour!Q68</f>
        <v/>
      </c>
      <c r="K68" s="69">
        <f>Champions!BD68</f>
        <v/>
      </c>
      <c r="L68" s="69">
        <f>Abroad!N68</f>
        <v/>
      </c>
      <c r="M68" s="53">
        <f>SUM(B68:L68)</f>
        <v/>
      </c>
      <c r="N68" s="53">
        <f>(Paths!W68*army_cost+Paths!X68*res_cost)*Economy!H68/1000000</f>
        <v/>
      </c>
      <c r="O68" s="69">
        <f>Navy!Y68</f>
        <v/>
      </c>
      <c r="P68" s="53">
        <f>SUMPRODUCT((Events!$B$6:$B$158&lt;=$A68)*(Events!$C$6:$C$158&gt;=$A68)*(Events!$E$6:$E$158="War &amp; operations")*Events!$H$6:$H$158)</f>
        <v/>
      </c>
      <c r="Q68" s="53">
        <f>Economy!O68*Paths!T68</f>
        <v/>
      </c>
      <c r="R68" s="53">
        <f>Economy!O68*Paths!U68</f>
        <v/>
      </c>
      <c r="S68" s="53">
        <f>Economy!O68*Paths!V68+SUMPRODUCT((Events!$B$6:$B$158&lt;=$A68)*(Events!$C$6:$C$158&gt;=$A68)*(Events!$E$6:$E$158="Programme")*Events!$H$6:$H$158)+SUMPRODUCT((Events!$B$6:$B$158&lt;=$A68)*(Events!$C$6:$C$158&gt;=$A68)*(Events!$E$6:$E$158="Investment")*Events!$H$6:$H$158)</f>
        <v/>
      </c>
      <c r="T68" s="53">
        <f>(People!T68*assist_cost+Labour!AD68*talent_cost+Labour!L68*gw_admin)*Economy!H68/1000000</f>
        <v/>
      </c>
      <c r="U68" s="53">
        <f>SUMPRODUCT((Events!$B$6:$B$158&lt;=$A68)*(Events!$C$6:$C$158&gt;=$A68)*(Events!$E$6:$E$158="Purchase")*Events!$H$6:$H$158)</f>
        <v/>
      </c>
      <c r="V68" s="53">
        <f>SUMPRODUCT((Events!$B$6:$B$158&lt;=$A68)*(Events!$C$6:$C$158&gt;=$A68)*(Events!$E$6:$E$158="Subsidy &amp; guarantee")*Events!$H$6:$H$158)+SUMPRODUCT((Events!$B$6:$B$158&lt;=$A68)*(Events!$C$6:$C$158&gt;=$A68)*(Events!$E$6:$E$158="Relief")*Events!$H$6:$H$158)</f>
        <v/>
      </c>
      <c r="W68" s="53">
        <f>SUMPRODUCT((Events!$B$6:$B$158&lt;=$A68)*(Events!$C$6:$C$158&gt;=$A68)*(Events!$E$6:$E$158="Bank rescue &amp; capital")*Events!$H$6:$H$158)</f>
        <v/>
      </c>
      <c r="X68" s="53">
        <f>'Debt &amp; cash'!R67*Paths!Y68</f>
        <v/>
      </c>
      <c r="Y68" s="53">
        <f>SUM(N68:X68)</f>
        <v/>
      </c>
      <c r="Z68" s="53">
        <f>M68-Y68</f>
        <v/>
      </c>
      <c r="AA68" s="63">
        <f>M68/Economy!O68</f>
        <v/>
      </c>
      <c r="AB68" s="63">
        <f>Y68/Economy!O68</f>
        <v/>
      </c>
      <c r="AC68" s="63">
        <f>(N68+O68+P68)/Economy!O68</f>
        <v/>
      </c>
    </row>
    <row r="69">
      <c r="A69" s="58" t="n">
        <v>1909</v>
      </c>
      <c r="B69" s="53">
        <f>Economy!O69*Paths!N69*Paths!O69*cust_coll</f>
        <v/>
      </c>
      <c r="C69" s="53">
        <f>(Economy!J69+Economy!L69+Economy!M69+Economy!N69)*Paths!P69*Paths!Q69</f>
        <v/>
      </c>
      <c r="D69" s="53">
        <f>Resources!P69+Resources!Q69</f>
        <v/>
      </c>
      <c r="E69" s="53">
        <f>Paths!S69*(1-canal_opcost)*canal_share</f>
        <v/>
      </c>
      <c r="F69" s="53">
        <f>Economy!O69*Paths!R69</f>
        <v/>
      </c>
      <c r="G69" s="53">
        <f>SUMPRODUCT((Events!$B$6:$B$158&lt;=$A69)*(Events!$C$6:$C$158&gt;=$A69)*(Events!$E$6:$E$158="Receipt")*Events!$H$6:$H$158)</f>
        <v/>
      </c>
      <c r="H69" s="69">
        <f>Loans!Y69</f>
        <v/>
      </c>
      <c r="I69" s="53">
        <f>'Debt &amp; cash'!S68*fund_yield</f>
        <v/>
      </c>
      <c r="J69" s="69">
        <f>Labour!Q69</f>
        <v/>
      </c>
      <c r="K69" s="69">
        <f>Champions!BD69</f>
        <v/>
      </c>
      <c r="L69" s="69">
        <f>Abroad!N69</f>
        <v/>
      </c>
      <c r="M69" s="53">
        <f>SUM(B69:L69)</f>
        <v/>
      </c>
      <c r="N69" s="53">
        <f>(Paths!W69*army_cost+Paths!X69*res_cost)*Economy!H69/1000000</f>
        <v/>
      </c>
      <c r="O69" s="69">
        <f>Navy!Y69</f>
        <v/>
      </c>
      <c r="P69" s="53">
        <f>SUMPRODUCT((Events!$B$6:$B$158&lt;=$A69)*(Events!$C$6:$C$158&gt;=$A69)*(Events!$E$6:$E$158="War &amp; operations")*Events!$H$6:$H$158)</f>
        <v/>
      </c>
      <c r="Q69" s="53">
        <f>Economy!O69*Paths!T69</f>
        <v/>
      </c>
      <c r="R69" s="53">
        <f>Economy!O69*Paths!U69</f>
        <v/>
      </c>
      <c r="S69" s="53">
        <f>Economy!O69*Paths!V69+SUMPRODUCT((Events!$B$6:$B$158&lt;=$A69)*(Events!$C$6:$C$158&gt;=$A69)*(Events!$E$6:$E$158="Programme")*Events!$H$6:$H$158)+SUMPRODUCT((Events!$B$6:$B$158&lt;=$A69)*(Events!$C$6:$C$158&gt;=$A69)*(Events!$E$6:$E$158="Investment")*Events!$H$6:$H$158)</f>
        <v/>
      </c>
      <c r="T69" s="53">
        <f>(People!T69*assist_cost+Labour!AD69*talent_cost+Labour!L69*gw_admin)*Economy!H69/1000000</f>
        <v/>
      </c>
      <c r="U69" s="53">
        <f>SUMPRODUCT((Events!$B$6:$B$158&lt;=$A69)*(Events!$C$6:$C$158&gt;=$A69)*(Events!$E$6:$E$158="Purchase")*Events!$H$6:$H$158)</f>
        <v/>
      </c>
      <c r="V69" s="53">
        <f>SUMPRODUCT((Events!$B$6:$B$158&lt;=$A69)*(Events!$C$6:$C$158&gt;=$A69)*(Events!$E$6:$E$158="Subsidy &amp; guarantee")*Events!$H$6:$H$158)+SUMPRODUCT((Events!$B$6:$B$158&lt;=$A69)*(Events!$C$6:$C$158&gt;=$A69)*(Events!$E$6:$E$158="Relief")*Events!$H$6:$H$158)</f>
        <v/>
      </c>
      <c r="W69" s="53">
        <f>SUMPRODUCT((Events!$B$6:$B$158&lt;=$A69)*(Events!$C$6:$C$158&gt;=$A69)*(Events!$E$6:$E$158="Bank rescue &amp; capital")*Events!$H$6:$H$158)</f>
        <v/>
      </c>
      <c r="X69" s="53">
        <f>'Debt &amp; cash'!R68*Paths!Y69</f>
        <v/>
      </c>
      <c r="Y69" s="53">
        <f>SUM(N69:X69)</f>
        <v/>
      </c>
      <c r="Z69" s="53">
        <f>M69-Y69</f>
        <v/>
      </c>
      <c r="AA69" s="63">
        <f>M69/Economy!O69</f>
        <v/>
      </c>
      <c r="AB69" s="63">
        <f>Y69/Economy!O69</f>
        <v/>
      </c>
      <c r="AC69" s="63">
        <f>(N69+O69+P69)/Economy!O69</f>
        <v/>
      </c>
    </row>
    <row r="70">
      <c r="A70" s="58" t="n">
        <v>1910</v>
      </c>
      <c r="B70" s="53">
        <f>Economy!O70*Paths!N70*Paths!O70*cust_coll</f>
        <v/>
      </c>
      <c r="C70" s="53">
        <f>(Economy!J70+Economy!L70+Economy!M70+Economy!N70)*Paths!P70*Paths!Q70</f>
        <v/>
      </c>
      <c r="D70" s="53">
        <f>Resources!P70+Resources!Q70</f>
        <v/>
      </c>
      <c r="E70" s="53">
        <f>Paths!S70*(1-canal_opcost)*canal_share</f>
        <v/>
      </c>
      <c r="F70" s="53">
        <f>Economy!O70*Paths!R70</f>
        <v/>
      </c>
      <c r="G70" s="53">
        <f>SUMPRODUCT((Events!$B$6:$B$158&lt;=$A70)*(Events!$C$6:$C$158&gt;=$A70)*(Events!$E$6:$E$158="Receipt")*Events!$H$6:$H$158)</f>
        <v/>
      </c>
      <c r="H70" s="69">
        <f>Loans!Y70</f>
        <v/>
      </c>
      <c r="I70" s="53">
        <f>'Debt &amp; cash'!S69*fund_yield</f>
        <v/>
      </c>
      <c r="J70" s="69">
        <f>Labour!Q70</f>
        <v/>
      </c>
      <c r="K70" s="69">
        <f>Champions!BD70</f>
        <v/>
      </c>
      <c r="L70" s="69">
        <f>Abroad!N70</f>
        <v/>
      </c>
      <c r="M70" s="53">
        <f>SUM(B70:L70)</f>
        <v/>
      </c>
      <c r="N70" s="53">
        <f>(Paths!W70*army_cost+Paths!X70*res_cost)*Economy!H70/1000000</f>
        <v/>
      </c>
      <c r="O70" s="69">
        <f>Navy!Y70</f>
        <v/>
      </c>
      <c r="P70" s="53">
        <f>SUMPRODUCT((Events!$B$6:$B$158&lt;=$A70)*(Events!$C$6:$C$158&gt;=$A70)*(Events!$E$6:$E$158="War &amp; operations")*Events!$H$6:$H$158)</f>
        <v/>
      </c>
      <c r="Q70" s="53">
        <f>Economy!O70*Paths!T70</f>
        <v/>
      </c>
      <c r="R70" s="53">
        <f>Economy!O70*Paths!U70</f>
        <v/>
      </c>
      <c r="S70" s="53">
        <f>Economy!O70*Paths!V70+SUMPRODUCT((Events!$B$6:$B$158&lt;=$A70)*(Events!$C$6:$C$158&gt;=$A70)*(Events!$E$6:$E$158="Programme")*Events!$H$6:$H$158)+SUMPRODUCT((Events!$B$6:$B$158&lt;=$A70)*(Events!$C$6:$C$158&gt;=$A70)*(Events!$E$6:$E$158="Investment")*Events!$H$6:$H$158)</f>
        <v/>
      </c>
      <c r="T70" s="53">
        <f>(People!T70*assist_cost+Labour!AD70*talent_cost+Labour!L70*gw_admin)*Economy!H70/1000000</f>
        <v/>
      </c>
      <c r="U70" s="53">
        <f>SUMPRODUCT((Events!$B$6:$B$158&lt;=$A70)*(Events!$C$6:$C$158&gt;=$A70)*(Events!$E$6:$E$158="Purchase")*Events!$H$6:$H$158)</f>
        <v/>
      </c>
      <c r="V70" s="53">
        <f>SUMPRODUCT((Events!$B$6:$B$158&lt;=$A70)*(Events!$C$6:$C$158&gt;=$A70)*(Events!$E$6:$E$158="Subsidy &amp; guarantee")*Events!$H$6:$H$158)+SUMPRODUCT((Events!$B$6:$B$158&lt;=$A70)*(Events!$C$6:$C$158&gt;=$A70)*(Events!$E$6:$E$158="Relief")*Events!$H$6:$H$158)</f>
        <v/>
      </c>
      <c r="W70" s="53">
        <f>SUMPRODUCT((Events!$B$6:$B$158&lt;=$A70)*(Events!$C$6:$C$158&gt;=$A70)*(Events!$E$6:$E$158="Bank rescue &amp; capital")*Events!$H$6:$H$158)</f>
        <v/>
      </c>
      <c r="X70" s="53">
        <f>'Debt &amp; cash'!R69*Paths!Y70</f>
        <v/>
      </c>
      <c r="Y70" s="53">
        <f>SUM(N70:X70)</f>
        <v/>
      </c>
      <c r="Z70" s="53">
        <f>M70-Y70</f>
        <v/>
      </c>
      <c r="AA70" s="63">
        <f>M70/Economy!O70</f>
        <v/>
      </c>
      <c r="AB70" s="63">
        <f>Y70/Economy!O70</f>
        <v/>
      </c>
      <c r="AC70" s="63">
        <f>(N70+O70+P70)/Economy!O70</f>
        <v/>
      </c>
    </row>
    <row r="71">
      <c r="A71" s="58" t="n">
        <v>1911</v>
      </c>
      <c r="B71" s="53">
        <f>Economy!O71*Paths!N71*Paths!O71*cust_coll</f>
        <v/>
      </c>
      <c r="C71" s="53">
        <f>(Economy!J71+Economy!L71+Economy!M71+Economy!N71)*Paths!P71*Paths!Q71</f>
        <v/>
      </c>
      <c r="D71" s="53">
        <f>Resources!P71+Resources!Q71</f>
        <v/>
      </c>
      <c r="E71" s="53">
        <f>Paths!S71*(1-canal_opcost)*canal_share</f>
        <v/>
      </c>
      <c r="F71" s="53">
        <f>Economy!O71*Paths!R71</f>
        <v/>
      </c>
      <c r="G71" s="53">
        <f>SUMPRODUCT((Events!$B$6:$B$158&lt;=$A71)*(Events!$C$6:$C$158&gt;=$A71)*(Events!$E$6:$E$158="Receipt")*Events!$H$6:$H$158)</f>
        <v/>
      </c>
      <c r="H71" s="69">
        <f>Loans!Y71</f>
        <v/>
      </c>
      <c r="I71" s="53">
        <f>'Debt &amp; cash'!S70*fund_yield</f>
        <v/>
      </c>
      <c r="J71" s="69">
        <f>Labour!Q71</f>
        <v/>
      </c>
      <c r="K71" s="69">
        <f>Champions!BD71</f>
        <v/>
      </c>
      <c r="L71" s="69">
        <f>Abroad!N71</f>
        <v/>
      </c>
      <c r="M71" s="53">
        <f>SUM(B71:L71)</f>
        <v/>
      </c>
      <c r="N71" s="53">
        <f>(Paths!W71*army_cost+Paths!X71*res_cost)*Economy!H71/1000000</f>
        <v/>
      </c>
      <c r="O71" s="69">
        <f>Navy!Y71</f>
        <v/>
      </c>
      <c r="P71" s="53">
        <f>SUMPRODUCT((Events!$B$6:$B$158&lt;=$A71)*(Events!$C$6:$C$158&gt;=$A71)*(Events!$E$6:$E$158="War &amp; operations")*Events!$H$6:$H$158)</f>
        <v/>
      </c>
      <c r="Q71" s="53">
        <f>Economy!O71*Paths!T71</f>
        <v/>
      </c>
      <c r="R71" s="53">
        <f>Economy!O71*Paths!U71</f>
        <v/>
      </c>
      <c r="S71" s="53">
        <f>Economy!O71*Paths!V71+SUMPRODUCT((Events!$B$6:$B$158&lt;=$A71)*(Events!$C$6:$C$158&gt;=$A71)*(Events!$E$6:$E$158="Programme")*Events!$H$6:$H$158)+SUMPRODUCT((Events!$B$6:$B$158&lt;=$A71)*(Events!$C$6:$C$158&gt;=$A71)*(Events!$E$6:$E$158="Investment")*Events!$H$6:$H$158)</f>
        <v/>
      </c>
      <c r="T71" s="53">
        <f>(People!T71*assist_cost+Labour!AD71*talent_cost+Labour!L71*gw_admin)*Economy!H71/1000000</f>
        <v/>
      </c>
      <c r="U71" s="53">
        <f>SUMPRODUCT((Events!$B$6:$B$158&lt;=$A71)*(Events!$C$6:$C$158&gt;=$A71)*(Events!$E$6:$E$158="Purchase")*Events!$H$6:$H$158)</f>
        <v/>
      </c>
      <c r="V71" s="53">
        <f>SUMPRODUCT((Events!$B$6:$B$158&lt;=$A71)*(Events!$C$6:$C$158&gt;=$A71)*(Events!$E$6:$E$158="Subsidy &amp; guarantee")*Events!$H$6:$H$158)+SUMPRODUCT((Events!$B$6:$B$158&lt;=$A71)*(Events!$C$6:$C$158&gt;=$A71)*(Events!$E$6:$E$158="Relief")*Events!$H$6:$H$158)</f>
        <v/>
      </c>
      <c r="W71" s="53">
        <f>SUMPRODUCT((Events!$B$6:$B$158&lt;=$A71)*(Events!$C$6:$C$158&gt;=$A71)*(Events!$E$6:$E$158="Bank rescue &amp; capital")*Events!$H$6:$H$158)</f>
        <v/>
      </c>
      <c r="X71" s="53">
        <f>'Debt &amp; cash'!R70*Paths!Y71</f>
        <v/>
      </c>
      <c r="Y71" s="53">
        <f>SUM(N71:X71)</f>
        <v/>
      </c>
      <c r="Z71" s="53">
        <f>M71-Y71</f>
        <v/>
      </c>
      <c r="AA71" s="63">
        <f>M71/Economy!O71</f>
        <v/>
      </c>
      <c r="AB71" s="63">
        <f>Y71/Economy!O71</f>
        <v/>
      </c>
      <c r="AC71" s="63">
        <f>(N71+O71+P71)/Economy!O71</f>
        <v/>
      </c>
    </row>
    <row r="72">
      <c r="A72" s="58" t="n">
        <v>1912</v>
      </c>
      <c r="B72" s="53">
        <f>Economy!O72*Paths!N72*Paths!O72*cust_coll</f>
        <v/>
      </c>
      <c r="C72" s="53">
        <f>(Economy!J72+Economy!L72+Economy!M72+Economy!N72)*Paths!P72*Paths!Q72</f>
        <v/>
      </c>
      <c r="D72" s="53">
        <f>Resources!P72+Resources!Q72</f>
        <v/>
      </c>
      <c r="E72" s="53">
        <f>Paths!S72*(1-canal_opcost)*canal_share</f>
        <v/>
      </c>
      <c r="F72" s="53">
        <f>Economy!O72*Paths!R72</f>
        <v/>
      </c>
      <c r="G72" s="53">
        <f>SUMPRODUCT((Events!$B$6:$B$158&lt;=$A72)*(Events!$C$6:$C$158&gt;=$A72)*(Events!$E$6:$E$158="Receipt")*Events!$H$6:$H$158)</f>
        <v/>
      </c>
      <c r="H72" s="69">
        <f>Loans!Y72</f>
        <v/>
      </c>
      <c r="I72" s="53">
        <f>'Debt &amp; cash'!S71*fund_yield</f>
        <v/>
      </c>
      <c r="J72" s="69">
        <f>Labour!Q72</f>
        <v/>
      </c>
      <c r="K72" s="69">
        <f>Champions!BD72</f>
        <v/>
      </c>
      <c r="L72" s="69">
        <f>Abroad!N72</f>
        <v/>
      </c>
      <c r="M72" s="53">
        <f>SUM(B72:L72)</f>
        <v/>
      </c>
      <c r="N72" s="53">
        <f>(Paths!W72*army_cost+Paths!X72*res_cost)*Economy!H72/1000000</f>
        <v/>
      </c>
      <c r="O72" s="69">
        <f>Navy!Y72</f>
        <v/>
      </c>
      <c r="P72" s="53">
        <f>SUMPRODUCT((Events!$B$6:$B$158&lt;=$A72)*(Events!$C$6:$C$158&gt;=$A72)*(Events!$E$6:$E$158="War &amp; operations")*Events!$H$6:$H$158)</f>
        <v/>
      </c>
      <c r="Q72" s="53">
        <f>Economy!O72*Paths!T72</f>
        <v/>
      </c>
      <c r="R72" s="53">
        <f>Economy!O72*Paths!U72</f>
        <v/>
      </c>
      <c r="S72" s="53">
        <f>Economy!O72*Paths!V72+SUMPRODUCT((Events!$B$6:$B$158&lt;=$A72)*(Events!$C$6:$C$158&gt;=$A72)*(Events!$E$6:$E$158="Programme")*Events!$H$6:$H$158)+SUMPRODUCT((Events!$B$6:$B$158&lt;=$A72)*(Events!$C$6:$C$158&gt;=$A72)*(Events!$E$6:$E$158="Investment")*Events!$H$6:$H$158)</f>
        <v/>
      </c>
      <c r="T72" s="53">
        <f>(People!T72*assist_cost+Labour!AD72*talent_cost+Labour!L72*gw_admin)*Economy!H72/1000000</f>
        <v/>
      </c>
      <c r="U72" s="53">
        <f>SUMPRODUCT((Events!$B$6:$B$158&lt;=$A72)*(Events!$C$6:$C$158&gt;=$A72)*(Events!$E$6:$E$158="Purchase")*Events!$H$6:$H$158)</f>
        <v/>
      </c>
      <c r="V72" s="53">
        <f>SUMPRODUCT((Events!$B$6:$B$158&lt;=$A72)*(Events!$C$6:$C$158&gt;=$A72)*(Events!$E$6:$E$158="Subsidy &amp; guarantee")*Events!$H$6:$H$158)+SUMPRODUCT((Events!$B$6:$B$158&lt;=$A72)*(Events!$C$6:$C$158&gt;=$A72)*(Events!$E$6:$E$158="Relief")*Events!$H$6:$H$158)</f>
        <v/>
      </c>
      <c r="W72" s="53">
        <f>SUMPRODUCT((Events!$B$6:$B$158&lt;=$A72)*(Events!$C$6:$C$158&gt;=$A72)*(Events!$E$6:$E$158="Bank rescue &amp; capital")*Events!$H$6:$H$158)</f>
        <v/>
      </c>
      <c r="X72" s="53">
        <f>'Debt &amp; cash'!R71*Paths!Y72</f>
        <v/>
      </c>
      <c r="Y72" s="53">
        <f>SUM(N72:X72)</f>
        <v/>
      </c>
      <c r="Z72" s="53">
        <f>M72-Y72</f>
        <v/>
      </c>
      <c r="AA72" s="63">
        <f>M72/Economy!O72</f>
        <v/>
      </c>
      <c r="AB72" s="63">
        <f>Y72/Economy!O72</f>
        <v/>
      </c>
      <c r="AC72" s="63">
        <f>(N72+O72+P72)/Economy!O72</f>
        <v/>
      </c>
    </row>
    <row r="73">
      <c r="A73" s="58" t="n">
        <v>1913</v>
      </c>
      <c r="B73" s="53">
        <f>Economy!O73*Paths!N73*Paths!O73*cust_coll</f>
        <v/>
      </c>
      <c r="C73" s="53">
        <f>(Economy!J73+Economy!L73+Economy!M73+Economy!N73)*Paths!P73*Paths!Q73</f>
        <v/>
      </c>
      <c r="D73" s="53">
        <f>Resources!P73+Resources!Q73</f>
        <v/>
      </c>
      <c r="E73" s="53">
        <f>Paths!S73*(1-canal_opcost)*canal_share</f>
        <v/>
      </c>
      <c r="F73" s="53">
        <f>Economy!O73*Paths!R73</f>
        <v/>
      </c>
      <c r="G73" s="53">
        <f>SUMPRODUCT((Events!$B$6:$B$158&lt;=$A73)*(Events!$C$6:$C$158&gt;=$A73)*(Events!$E$6:$E$158="Receipt")*Events!$H$6:$H$158)</f>
        <v/>
      </c>
      <c r="H73" s="69">
        <f>Loans!Y73</f>
        <v/>
      </c>
      <c r="I73" s="53">
        <f>'Debt &amp; cash'!S72*fund_yield</f>
        <v/>
      </c>
      <c r="J73" s="69">
        <f>Labour!Q73</f>
        <v/>
      </c>
      <c r="K73" s="69">
        <f>Champions!BD73</f>
        <v/>
      </c>
      <c r="L73" s="69">
        <f>Abroad!N73</f>
        <v/>
      </c>
      <c r="M73" s="53">
        <f>SUM(B73:L73)</f>
        <v/>
      </c>
      <c r="N73" s="53">
        <f>(Paths!W73*army_cost+Paths!X73*res_cost)*Economy!H73/1000000</f>
        <v/>
      </c>
      <c r="O73" s="69">
        <f>Navy!Y73</f>
        <v/>
      </c>
      <c r="P73" s="53">
        <f>SUMPRODUCT((Events!$B$6:$B$158&lt;=$A73)*(Events!$C$6:$C$158&gt;=$A73)*(Events!$E$6:$E$158="War &amp; operations")*Events!$H$6:$H$158)</f>
        <v/>
      </c>
      <c r="Q73" s="53">
        <f>Economy!O73*Paths!T73</f>
        <v/>
      </c>
      <c r="R73" s="53">
        <f>Economy!O73*Paths!U73</f>
        <v/>
      </c>
      <c r="S73" s="53">
        <f>Economy!O73*Paths!V73+SUMPRODUCT((Events!$B$6:$B$158&lt;=$A73)*(Events!$C$6:$C$158&gt;=$A73)*(Events!$E$6:$E$158="Programme")*Events!$H$6:$H$158)+SUMPRODUCT((Events!$B$6:$B$158&lt;=$A73)*(Events!$C$6:$C$158&gt;=$A73)*(Events!$E$6:$E$158="Investment")*Events!$H$6:$H$158)</f>
        <v/>
      </c>
      <c r="T73" s="53">
        <f>(People!T73*assist_cost+Labour!AD73*talent_cost+Labour!L73*gw_admin)*Economy!H73/1000000</f>
        <v/>
      </c>
      <c r="U73" s="53">
        <f>SUMPRODUCT((Events!$B$6:$B$158&lt;=$A73)*(Events!$C$6:$C$158&gt;=$A73)*(Events!$E$6:$E$158="Purchase")*Events!$H$6:$H$158)</f>
        <v/>
      </c>
      <c r="V73" s="53">
        <f>SUMPRODUCT((Events!$B$6:$B$158&lt;=$A73)*(Events!$C$6:$C$158&gt;=$A73)*(Events!$E$6:$E$158="Subsidy &amp; guarantee")*Events!$H$6:$H$158)+SUMPRODUCT((Events!$B$6:$B$158&lt;=$A73)*(Events!$C$6:$C$158&gt;=$A73)*(Events!$E$6:$E$158="Relief")*Events!$H$6:$H$158)</f>
        <v/>
      </c>
      <c r="W73" s="53">
        <f>SUMPRODUCT((Events!$B$6:$B$158&lt;=$A73)*(Events!$C$6:$C$158&gt;=$A73)*(Events!$E$6:$E$158="Bank rescue &amp; capital")*Events!$H$6:$H$158)</f>
        <v/>
      </c>
      <c r="X73" s="53">
        <f>'Debt &amp; cash'!R72*Paths!Y73</f>
        <v/>
      </c>
      <c r="Y73" s="53">
        <f>SUM(N73:X73)</f>
        <v/>
      </c>
      <c r="Z73" s="53">
        <f>M73-Y73</f>
        <v/>
      </c>
      <c r="AA73" s="63">
        <f>M73/Economy!O73</f>
        <v/>
      </c>
      <c r="AB73" s="63">
        <f>Y73/Economy!O73</f>
        <v/>
      </c>
      <c r="AC73" s="63">
        <f>(N73+O73+P73)/Economy!O73</f>
        <v/>
      </c>
    </row>
    <row r="74">
      <c r="A74" s="61" t="n">
        <v>1914</v>
      </c>
      <c r="B74" s="53">
        <f>Economy!O74*Paths!N74*Paths!O74*cust_coll</f>
        <v/>
      </c>
      <c r="C74" s="53">
        <f>(Economy!J74+Economy!L74+Economy!M74+Economy!N74)*Paths!P74*Paths!Q74</f>
        <v/>
      </c>
      <c r="D74" s="53">
        <f>Resources!P74+Resources!Q74</f>
        <v/>
      </c>
      <c r="E74" s="53">
        <f>Paths!S74*(1-canal_opcost)*canal_share</f>
        <v/>
      </c>
      <c r="F74" s="53">
        <f>Economy!O74*Paths!R74</f>
        <v/>
      </c>
      <c r="G74" s="53">
        <f>SUMPRODUCT((Events!$B$6:$B$158&lt;=$A74)*(Events!$C$6:$C$158&gt;=$A74)*(Events!$E$6:$E$158="Receipt")*Events!$H$6:$H$158)</f>
        <v/>
      </c>
      <c r="H74" s="69">
        <f>Loans!Y74</f>
        <v/>
      </c>
      <c r="I74" s="53">
        <f>'Debt &amp; cash'!S73*fund_yield</f>
        <v/>
      </c>
      <c r="J74" s="69">
        <f>Labour!Q74</f>
        <v/>
      </c>
      <c r="K74" s="69">
        <f>Champions!BD74</f>
        <v/>
      </c>
      <c r="L74" s="69">
        <f>Abroad!N74</f>
        <v/>
      </c>
      <c r="M74" s="53">
        <f>SUM(B74:L74)</f>
        <v/>
      </c>
      <c r="N74" s="53">
        <f>(Paths!W74*army_cost+Paths!X74*res_cost)*Economy!H74/1000000</f>
        <v/>
      </c>
      <c r="O74" s="69">
        <f>Navy!Y74</f>
        <v/>
      </c>
      <c r="P74" s="53">
        <f>SUMPRODUCT((Events!$B$6:$B$158&lt;=$A74)*(Events!$C$6:$C$158&gt;=$A74)*(Events!$E$6:$E$158="War &amp; operations")*Events!$H$6:$H$158)</f>
        <v/>
      </c>
      <c r="Q74" s="53">
        <f>Economy!O74*Paths!T74</f>
        <v/>
      </c>
      <c r="R74" s="53">
        <f>Economy!O74*Paths!U74</f>
        <v/>
      </c>
      <c r="S74" s="53">
        <f>Economy!O74*Paths!V74+SUMPRODUCT((Events!$B$6:$B$158&lt;=$A74)*(Events!$C$6:$C$158&gt;=$A74)*(Events!$E$6:$E$158="Programme")*Events!$H$6:$H$158)+SUMPRODUCT((Events!$B$6:$B$158&lt;=$A74)*(Events!$C$6:$C$158&gt;=$A74)*(Events!$E$6:$E$158="Investment")*Events!$H$6:$H$158)</f>
        <v/>
      </c>
      <c r="T74" s="53">
        <f>(People!T74*assist_cost+Labour!AD74*talent_cost+Labour!L74*gw_admin)*Economy!H74/1000000</f>
        <v/>
      </c>
      <c r="U74" s="53">
        <f>SUMPRODUCT((Events!$B$6:$B$158&lt;=$A74)*(Events!$C$6:$C$158&gt;=$A74)*(Events!$E$6:$E$158="Purchase")*Events!$H$6:$H$158)</f>
        <v/>
      </c>
      <c r="V74" s="53">
        <f>SUMPRODUCT((Events!$B$6:$B$158&lt;=$A74)*(Events!$C$6:$C$158&gt;=$A74)*(Events!$E$6:$E$158="Subsidy &amp; guarantee")*Events!$H$6:$H$158)+SUMPRODUCT((Events!$B$6:$B$158&lt;=$A74)*(Events!$C$6:$C$158&gt;=$A74)*(Events!$E$6:$E$158="Relief")*Events!$H$6:$H$158)</f>
        <v/>
      </c>
      <c r="W74" s="53">
        <f>SUMPRODUCT((Events!$B$6:$B$158&lt;=$A74)*(Events!$C$6:$C$158&gt;=$A74)*(Events!$E$6:$E$158="Bank rescue &amp; capital")*Events!$H$6:$H$158)</f>
        <v/>
      </c>
      <c r="X74" s="53">
        <f>'Debt &amp; cash'!R73*Paths!Y74</f>
        <v/>
      </c>
      <c r="Y74" s="53">
        <f>SUM(N74:X74)</f>
        <v/>
      </c>
      <c r="Z74" s="53">
        <f>M74-Y74</f>
        <v/>
      </c>
      <c r="AA74" s="63">
        <f>M74/Economy!O74</f>
        <v/>
      </c>
      <c r="AB74" s="63">
        <f>Y74/Economy!O74</f>
        <v/>
      </c>
      <c r="AC74" s="63">
        <f>(N74+O74+P74)/Economy!O74</f>
        <v/>
      </c>
    </row>
    <row r="75">
      <c r="A75" s="61" t="n">
        <v>1915</v>
      </c>
      <c r="B75" s="53">
        <f>Economy!O75*Paths!N75*Paths!O75*cust_coll</f>
        <v/>
      </c>
      <c r="C75" s="53">
        <f>(Economy!J75+Economy!L75+Economy!M75+Economy!N75)*Paths!P75*Paths!Q75</f>
        <v/>
      </c>
      <c r="D75" s="53">
        <f>Resources!P75+Resources!Q75</f>
        <v/>
      </c>
      <c r="E75" s="53">
        <f>Paths!S75*(1-canal_opcost)*canal_share</f>
        <v/>
      </c>
      <c r="F75" s="53">
        <f>Economy!O75*Paths!R75</f>
        <v/>
      </c>
      <c r="G75" s="53">
        <f>SUMPRODUCT((Events!$B$6:$B$158&lt;=$A75)*(Events!$C$6:$C$158&gt;=$A75)*(Events!$E$6:$E$158="Receipt")*Events!$H$6:$H$158)</f>
        <v/>
      </c>
      <c r="H75" s="69">
        <f>Loans!Y75</f>
        <v/>
      </c>
      <c r="I75" s="53">
        <f>'Debt &amp; cash'!S74*fund_yield</f>
        <v/>
      </c>
      <c r="J75" s="69">
        <f>Labour!Q75</f>
        <v/>
      </c>
      <c r="K75" s="69">
        <f>Champions!BD75</f>
        <v/>
      </c>
      <c r="L75" s="69">
        <f>Abroad!N75</f>
        <v/>
      </c>
      <c r="M75" s="53">
        <f>SUM(B75:L75)</f>
        <v/>
      </c>
      <c r="N75" s="53">
        <f>(Paths!W75*army_cost+Paths!X75*res_cost)*Economy!H75/1000000</f>
        <v/>
      </c>
      <c r="O75" s="69">
        <f>Navy!Y75</f>
        <v/>
      </c>
      <c r="P75" s="53">
        <f>SUMPRODUCT((Events!$B$6:$B$158&lt;=$A75)*(Events!$C$6:$C$158&gt;=$A75)*(Events!$E$6:$E$158="War &amp; operations")*Events!$H$6:$H$158)</f>
        <v/>
      </c>
      <c r="Q75" s="53">
        <f>Economy!O75*Paths!T75</f>
        <v/>
      </c>
      <c r="R75" s="53">
        <f>Economy!O75*Paths!U75</f>
        <v/>
      </c>
      <c r="S75" s="53">
        <f>Economy!O75*Paths!V75+SUMPRODUCT((Events!$B$6:$B$158&lt;=$A75)*(Events!$C$6:$C$158&gt;=$A75)*(Events!$E$6:$E$158="Programme")*Events!$H$6:$H$158)+SUMPRODUCT((Events!$B$6:$B$158&lt;=$A75)*(Events!$C$6:$C$158&gt;=$A75)*(Events!$E$6:$E$158="Investment")*Events!$H$6:$H$158)</f>
        <v/>
      </c>
      <c r="T75" s="53">
        <f>(People!T75*assist_cost+Labour!AD75*talent_cost+Labour!L75*gw_admin)*Economy!H75/1000000</f>
        <v/>
      </c>
      <c r="U75" s="53">
        <f>SUMPRODUCT((Events!$B$6:$B$158&lt;=$A75)*(Events!$C$6:$C$158&gt;=$A75)*(Events!$E$6:$E$158="Purchase")*Events!$H$6:$H$158)</f>
        <v/>
      </c>
      <c r="V75" s="53">
        <f>SUMPRODUCT((Events!$B$6:$B$158&lt;=$A75)*(Events!$C$6:$C$158&gt;=$A75)*(Events!$E$6:$E$158="Subsidy &amp; guarantee")*Events!$H$6:$H$158)+SUMPRODUCT((Events!$B$6:$B$158&lt;=$A75)*(Events!$C$6:$C$158&gt;=$A75)*(Events!$E$6:$E$158="Relief")*Events!$H$6:$H$158)</f>
        <v/>
      </c>
      <c r="W75" s="53">
        <f>SUMPRODUCT((Events!$B$6:$B$158&lt;=$A75)*(Events!$C$6:$C$158&gt;=$A75)*(Events!$E$6:$E$158="Bank rescue &amp; capital")*Events!$H$6:$H$158)</f>
        <v/>
      </c>
      <c r="X75" s="53">
        <f>'Debt &amp; cash'!R74*Paths!Y75</f>
        <v/>
      </c>
      <c r="Y75" s="53">
        <f>SUM(N75:X75)</f>
        <v/>
      </c>
      <c r="Z75" s="53">
        <f>M75-Y75</f>
        <v/>
      </c>
      <c r="AA75" s="63">
        <f>M75/Economy!O75</f>
        <v/>
      </c>
      <c r="AB75" s="63">
        <f>Y75/Economy!O75</f>
        <v/>
      </c>
      <c r="AC75" s="63">
        <f>(N75+O75+P75)/Economy!O75</f>
        <v/>
      </c>
    </row>
    <row r="76">
      <c r="A76" s="61" t="n">
        <v>1916</v>
      </c>
      <c r="B76" s="53">
        <f>Economy!O76*Paths!N76*Paths!O76*cust_coll</f>
        <v/>
      </c>
      <c r="C76" s="53">
        <f>(Economy!J76+Economy!L76+Economy!M76+Economy!N76)*Paths!P76*Paths!Q76</f>
        <v/>
      </c>
      <c r="D76" s="53">
        <f>Resources!P76+Resources!Q76</f>
        <v/>
      </c>
      <c r="E76" s="53">
        <f>Paths!S76*(1-canal_opcost)*canal_share</f>
        <v/>
      </c>
      <c r="F76" s="53">
        <f>Economy!O76*Paths!R76</f>
        <v/>
      </c>
      <c r="G76" s="53">
        <f>SUMPRODUCT((Events!$B$6:$B$158&lt;=$A76)*(Events!$C$6:$C$158&gt;=$A76)*(Events!$E$6:$E$158="Receipt")*Events!$H$6:$H$158)</f>
        <v/>
      </c>
      <c r="H76" s="69">
        <f>Loans!Y76</f>
        <v/>
      </c>
      <c r="I76" s="53">
        <f>'Debt &amp; cash'!S75*fund_yield</f>
        <v/>
      </c>
      <c r="J76" s="69">
        <f>Labour!Q76</f>
        <v/>
      </c>
      <c r="K76" s="69">
        <f>Champions!BD76</f>
        <v/>
      </c>
      <c r="L76" s="69">
        <f>Abroad!N76</f>
        <v/>
      </c>
      <c r="M76" s="53">
        <f>SUM(B76:L76)</f>
        <v/>
      </c>
      <c r="N76" s="53">
        <f>(Paths!W76*army_cost+Paths!X76*res_cost)*Economy!H76/1000000</f>
        <v/>
      </c>
      <c r="O76" s="69">
        <f>Navy!Y76</f>
        <v/>
      </c>
      <c r="P76" s="53">
        <f>SUMPRODUCT((Events!$B$6:$B$158&lt;=$A76)*(Events!$C$6:$C$158&gt;=$A76)*(Events!$E$6:$E$158="War &amp; operations")*Events!$H$6:$H$158)</f>
        <v/>
      </c>
      <c r="Q76" s="53">
        <f>Economy!O76*Paths!T76</f>
        <v/>
      </c>
      <c r="R76" s="53">
        <f>Economy!O76*Paths!U76</f>
        <v/>
      </c>
      <c r="S76" s="53">
        <f>Economy!O76*Paths!V76+SUMPRODUCT((Events!$B$6:$B$158&lt;=$A76)*(Events!$C$6:$C$158&gt;=$A76)*(Events!$E$6:$E$158="Programme")*Events!$H$6:$H$158)+SUMPRODUCT((Events!$B$6:$B$158&lt;=$A76)*(Events!$C$6:$C$158&gt;=$A76)*(Events!$E$6:$E$158="Investment")*Events!$H$6:$H$158)</f>
        <v/>
      </c>
      <c r="T76" s="53">
        <f>(People!T76*assist_cost+Labour!AD76*talent_cost+Labour!L76*gw_admin)*Economy!H76/1000000</f>
        <v/>
      </c>
      <c r="U76" s="53">
        <f>SUMPRODUCT((Events!$B$6:$B$158&lt;=$A76)*(Events!$C$6:$C$158&gt;=$A76)*(Events!$E$6:$E$158="Purchase")*Events!$H$6:$H$158)</f>
        <v/>
      </c>
      <c r="V76" s="53">
        <f>SUMPRODUCT((Events!$B$6:$B$158&lt;=$A76)*(Events!$C$6:$C$158&gt;=$A76)*(Events!$E$6:$E$158="Subsidy &amp; guarantee")*Events!$H$6:$H$158)+SUMPRODUCT((Events!$B$6:$B$158&lt;=$A76)*(Events!$C$6:$C$158&gt;=$A76)*(Events!$E$6:$E$158="Relief")*Events!$H$6:$H$158)</f>
        <v/>
      </c>
      <c r="W76" s="53">
        <f>SUMPRODUCT((Events!$B$6:$B$158&lt;=$A76)*(Events!$C$6:$C$158&gt;=$A76)*(Events!$E$6:$E$158="Bank rescue &amp; capital")*Events!$H$6:$H$158)</f>
        <v/>
      </c>
      <c r="X76" s="53">
        <f>'Debt &amp; cash'!R75*Paths!Y76</f>
        <v/>
      </c>
      <c r="Y76" s="53">
        <f>SUM(N76:X76)</f>
        <v/>
      </c>
      <c r="Z76" s="53">
        <f>M76-Y76</f>
        <v/>
      </c>
      <c r="AA76" s="63">
        <f>M76/Economy!O76</f>
        <v/>
      </c>
      <c r="AB76" s="63">
        <f>Y76/Economy!O76</f>
        <v/>
      </c>
      <c r="AC76" s="63">
        <f>(N76+O76+P76)/Economy!O76</f>
        <v/>
      </c>
    </row>
    <row r="77">
      <c r="A77" s="61" t="n">
        <v>1917</v>
      </c>
      <c r="B77" s="53">
        <f>Economy!O77*Paths!N77*Paths!O77*cust_coll</f>
        <v/>
      </c>
      <c r="C77" s="53">
        <f>(Economy!J77+Economy!L77+Economy!M77+Economy!N77)*Paths!P77*Paths!Q77</f>
        <v/>
      </c>
      <c r="D77" s="53">
        <f>Resources!P77+Resources!Q77</f>
        <v/>
      </c>
      <c r="E77" s="53">
        <f>Paths!S77*(1-canal_opcost)*canal_share</f>
        <v/>
      </c>
      <c r="F77" s="53">
        <f>Economy!O77*Paths!R77</f>
        <v/>
      </c>
      <c r="G77" s="53">
        <f>SUMPRODUCT((Events!$B$6:$B$158&lt;=$A77)*(Events!$C$6:$C$158&gt;=$A77)*(Events!$E$6:$E$158="Receipt")*Events!$H$6:$H$158)</f>
        <v/>
      </c>
      <c r="H77" s="69">
        <f>Loans!Y77</f>
        <v/>
      </c>
      <c r="I77" s="53">
        <f>'Debt &amp; cash'!S76*fund_yield</f>
        <v/>
      </c>
      <c r="J77" s="69">
        <f>Labour!Q77</f>
        <v/>
      </c>
      <c r="K77" s="69">
        <f>Champions!BD77</f>
        <v/>
      </c>
      <c r="L77" s="69">
        <f>Abroad!N77</f>
        <v/>
      </c>
      <c r="M77" s="53">
        <f>SUM(B77:L77)</f>
        <v/>
      </c>
      <c r="N77" s="53">
        <f>(Paths!W77*army_cost+Paths!X77*res_cost)*Economy!H77/1000000</f>
        <v/>
      </c>
      <c r="O77" s="69">
        <f>Navy!Y77</f>
        <v/>
      </c>
      <c r="P77" s="53">
        <f>SUMPRODUCT((Events!$B$6:$B$158&lt;=$A77)*(Events!$C$6:$C$158&gt;=$A77)*(Events!$E$6:$E$158="War &amp; operations")*Events!$H$6:$H$158)</f>
        <v/>
      </c>
      <c r="Q77" s="53">
        <f>Economy!O77*Paths!T77</f>
        <v/>
      </c>
      <c r="R77" s="53">
        <f>Economy!O77*Paths!U77</f>
        <v/>
      </c>
      <c r="S77" s="53">
        <f>Economy!O77*Paths!V77+SUMPRODUCT((Events!$B$6:$B$158&lt;=$A77)*(Events!$C$6:$C$158&gt;=$A77)*(Events!$E$6:$E$158="Programme")*Events!$H$6:$H$158)+SUMPRODUCT((Events!$B$6:$B$158&lt;=$A77)*(Events!$C$6:$C$158&gt;=$A77)*(Events!$E$6:$E$158="Investment")*Events!$H$6:$H$158)</f>
        <v/>
      </c>
      <c r="T77" s="53">
        <f>(People!T77*assist_cost+Labour!AD77*talent_cost+Labour!L77*gw_admin)*Economy!H77/1000000</f>
        <v/>
      </c>
      <c r="U77" s="53">
        <f>SUMPRODUCT((Events!$B$6:$B$158&lt;=$A77)*(Events!$C$6:$C$158&gt;=$A77)*(Events!$E$6:$E$158="Purchase")*Events!$H$6:$H$158)</f>
        <v/>
      </c>
      <c r="V77" s="53">
        <f>SUMPRODUCT((Events!$B$6:$B$158&lt;=$A77)*(Events!$C$6:$C$158&gt;=$A77)*(Events!$E$6:$E$158="Subsidy &amp; guarantee")*Events!$H$6:$H$158)+SUMPRODUCT((Events!$B$6:$B$158&lt;=$A77)*(Events!$C$6:$C$158&gt;=$A77)*(Events!$E$6:$E$158="Relief")*Events!$H$6:$H$158)</f>
        <v/>
      </c>
      <c r="W77" s="53">
        <f>SUMPRODUCT((Events!$B$6:$B$158&lt;=$A77)*(Events!$C$6:$C$158&gt;=$A77)*(Events!$E$6:$E$158="Bank rescue &amp; capital")*Events!$H$6:$H$158)</f>
        <v/>
      </c>
      <c r="X77" s="53">
        <f>'Debt &amp; cash'!R76*Paths!Y77</f>
        <v/>
      </c>
      <c r="Y77" s="53">
        <f>SUM(N77:X77)</f>
        <v/>
      </c>
      <c r="Z77" s="53">
        <f>M77-Y77</f>
        <v/>
      </c>
      <c r="AA77" s="63">
        <f>M77/Economy!O77</f>
        <v/>
      </c>
      <c r="AB77" s="63">
        <f>Y77/Economy!O77</f>
        <v/>
      </c>
      <c r="AC77" s="63">
        <f>(N77+O77+P77)/Economy!O77</f>
        <v/>
      </c>
    </row>
    <row r="78">
      <c r="A78" s="61" t="n">
        <v>1918</v>
      </c>
      <c r="B78" s="53">
        <f>Economy!O78*Paths!N78*Paths!O78*cust_coll</f>
        <v/>
      </c>
      <c r="C78" s="53">
        <f>(Economy!J78+Economy!L78+Economy!M78+Economy!N78)*Paths!P78*Paths!Q78</f>
        <v/>
      </c>
      <c r="D78" s="53">
        <f>Resources!P78+Resources!Q78</f>
        <v/>
      </c>
      <c r="E78" s="53">
        <f>Paths!S78*(1-canal_opcost)*canal_share</f>
        <v/>
      </c>
      <c r="F78" s="53">
        <f>Economy!O78*Paths!R78</f>
        <v/>
      </c>
      <c r="G78" s="53">
        <f>SUMPRODUCT((Events!$B$6:$B$158&lt;=$A78)*(Events!$C$6:$C$158&gt;=$A78)*(Events!$E$6:$E$158="Receipt")*Events!$H$6:$H$158)</f>
        <v/>
      </c>
      <c r="H78" s="69">
        <f>Loans!Y78</f>
        <v/>
      </c>
      <c r="I78" s="53">
        <f>'Debt &amp; cash'!S77*fund_yield</f>
        <v/>
      </c>
      <c r="J78" s="69">
        <f>Labour!Q78</f>
        <v/>
      </c>
      <c r="K78" s="69">
        <f>Champions!BD78</f>
        <v/>
      </c>
      <c r="L78" s="69">
        <f>Abroad!N78</f>
        <v/>
      </c>
      <c r="M78" s="53">
        <f>SUM(B78:L78)</f>
        <v/>
      </c>
      <c r="N78" s="53">
        <f>(Paths!W78*army_cost+Paths!X78*res_cost)*Economy!H78/1000000</f>
        <v/>
      </c>
      <c r="O78" s="69">
        <f>Navy!Y78</f>
        <v/>
      </c>
      <c r="P78" s="53">
        <f>SUMPRODUCT((Events!$B$6:$B$158&lt;=$A78)*(Events!$C$6:$C$158&gt;=$A78)*(Events!$E$6:$E$158="War &amp; operations")*Events!$H$6:$H$158)</f>
        <v/>
      </c>
      <c r="Q78" s="53">
        <f>Economy!O78*Paths!T78</f>
        <v/>
      </c>
      <c r="R78" s="53">
        <f>Economy!O78*Paths!U78</f>
        <v/>
      </c>
      <c r="S78" s="53">
        <f>Economy!O78*Paths!V78+SUMPRODUCT((Events!$B$6:$B$158&lt;=$A78)*(Events!$C$6:$C$158&gt;=$A78)*(Events!$E$6:$E$158="Programme")*Events!$H$6:$H$158)+SUMPRODUCT((Events!$B$6:$B$158&lt;=$A78)*(Events!$C$6:$C$158&gt;=$A78)*(Events!$E$6:$E$158="Investment")*Events!$H$6:$H$158)</f>
        <v/>
      </c>
      <c r="T78" s="53">
        <f>(People!T78*assist_cost+Labour!AD78*talent_cost+Labour!L78*gw_admin)*Economy!H78/1000000</f>
        <v/>
      </c>
      <c r="U78" s="53">
        <f>SUMPRODUCT((Events!$B$6:$B$158&lt;=$A78)*(Events!$C$6:$C$158&gt;=$A78)*(Events!$E$6:$E$158="Purchase")*Events!$H$6:$H$158)</f>
        <v/>
      </c>
      <c r="V78" s="53">
        <f>SUMPRODUCT((Events!$B$6:$B$158&lt;=$A78)*(Events!$C$6:$C$158&gt;=$A78)*(Events!$E$6:$E$158="Subsidy &amp; guarantee")*Events!$H$6:$H$158)+SUMPRODUCT((Events!$B$6:$B$158&lt;=$A78)*(Events!$C$6:$C$158&gt;=$A78)*(Events!$E$6:$E$158="Relief")*Events!$H$6:$H$158)</f>
        <v/>
      </c>
      <c r="W78" s="53">
        <f>SUMPRODUCT((Events!$B$6:$B$158&lt;=$A78)*(Events!$C$6:$C$158&gt;=$A78)*(Events!$E$6:$E$158="Bank rescue &amp; capital")*Events!$H$6:$H$158)</f>
        <v/>
      </c>
      <c r="X78" s="53">
        <f>'Debt &amp; cash'!R77*Paths!Y78</f>
        <v/>
      </c>
      <c r="Y78" s="53">
        <f>SUM(N78:X78)</f>
        <v/>
      </c>
      <c r="Z78" s="53">
        <f>M78-Y78</f>
        <v/>
      </c>
      <c r="AA78" s="63">
        <f>M78/Economy!O78</f>
        <v/>
      </c>
      <c r="AB78" s="63">
        <f>Y78/Economy!O78</f>
        <v/>
      </c>
      <c r="AC78" s="63">
        <f>(N78+O78+P78)/Economy!O78</f>
        <v/>
      </c>
    </row>
    <row r="79">
      <c r="A79" s="61" t="n">
        <v>1919</v>
      </c>
      <c r="B79" s="53">
        <f>Economy!O79*Paths!N79*Paths!O79*cust_coll</f>
        <v/>
      </c>
      <c r="C79" s="53">
        <f>(Economy!J79+Economy!L79+Economy!M79+Economy!N79)*Paths!P79*Paths!Q79</f>
        <v/>
      </c>
      <c r="D79" s="53">
        <f>Resources!P79+Resources!Q79</f>
        <v/>
      </c>
      <c r="E79" s="53">
        <f>Paths!S79*(1-canal_opcost)*canal_share</f>
        <v/>
      </c>
      <c r="F79" s="53">
        <f>Economy!O79*Paths!R79</f>
        <v/>
      </c>
      <c r="G79" s="53">
        <f>SUMPRODUCT((Events!$B$6:$B$158&lt;=$A79)*(Events!$C$6:$C$158&gt;=$A79)*(Events!$E$6:$E$158="Receipt")*Events!$H$6:$H$158)</f>
        <v/>
      </c>
      <c r="H79" s="69">
        <f>Loans!Y79</f>
        <v/>
      </c>
      <c r="I79" s="53">
        <f>'Debt &amp; cash'!S78*fund_yield</f>
        <v/>
      </c>
      <c r="J79" s="69">
        <f>Labour!Q79</f>
        <v/>
      </c>
      <c r="K79" s="69">
        <f>Champions!BD79</f>
        <v/>
      </c>
      <c r="L79" s="69">
        <f>Abroad!N79</f>
        <v/>
      </c>
      <c r="M79" s="53">
        <f>SUM(B79:L79)</f>
        <v/>
      </c>
      <c r="N79" s="53">
        <f>(Paths!W79*army_cost+Paths!X79*res_cost)*Economy!H79/1000000</f>
        <v/>
      </c>
      <c r="O79" s="69">
        <f>Navy!Y79</f>
        <v/>
      </c>
      <c r="P79" s="53">
        <f>SUMPRODUCT((Events!$B$6:$B$158&lt;=$A79)*(Events!$C$6:$C$158&gt;=$A79)*(Events!$E$6:$E$158="War &amp; operations")*Events!$H$6:$H$158)</f>
        <v/>
      </c>
      <c r="Q79" s="53">
        <f>Economy!O79*Paths!T79</f>
        <v/>
      </c>
      <c r="R79" s="53">
        <f>Economy!O79*Paths!U79</f>
        <v/>
      </c>
      <c r="S79" s="53">
        <f>Economy!O79*Paths!V79+SUMPRODUCT((Events!$B$6:$B$158&lt;=$A79)*(Events!$C$6:$C$158&gt;=$A79)*(Events!$E$6:$E$158="Programme")*Events!$H$6:$H$158)+SUMPRODUCT((Events!$B$6:$B$158&lt;=$A79)*(Events!$C$6:$C$158&gt;=$A79)*(Events!$E$6:$E$158="Investment")*Events!$H$6:$H$158)</f>
        <v/>
      </c>
      <c r="T79" s="53">
        <f>(People!T79*assist_cost+Labour!AD79*talent_cost+Labour!L79*gw_admin)*Economy!H79/1000000</f>
        <v/>
      </c>
      <c r="U79" s="53">
        <f>SUMPRODUCT((Events!$B$6:$B$158&lt;=$A79)*(Events!$C$6:$C$158&gt;=$A79)*(Events!$E$6:$E$158="Purchase")*Events!$H$6:$H$158)</f>
        <v/>
      </c>
      <c r="V79" s="53">
        <f>SUMPRODUCT((Events!$B$6:$B$158&lt;=$A79)*(Events!$C$6:$C$158&gt;=$A79)*(Events!$E$6:$E$158="Subsidy &amp; guarantee")*Events!$H$6:$H$158)+SUMPRODUCT((Events!$B$6:$B$158&lt;=$A79)*(Events!$C$6:$C$158&gt;=$A79)*(Events!$E$6:$E$158="Relief")*Events!$H$6:$H$158)</f>
        <v/>
      </c>
      <c r="W79" s="53">
        <f>SUMPRODUCT((Events!$B$6:$B$158&lt;=$A79)*(Events!$C$6:$C$158&gt;=$A79)*(Events!$E$6:$E$158="Bank rescue &amp; capital")*Events!$H$6:$H$158)</f>
        <v/>
      </c>
      <c r="X79" s="53">
        <f>'Debt &amp; cash'!R78*Paths!Y79</f>
        <v/>
      </c>
      <c r="Y79" s="53">
        <f>SUM(N79:X79)</f>
        <v/>
      </c>
      <c r="Z79" s="53">
        <f>M79-Y79</f>
        <v/>
      </c>
      <c r="AA79" s="63">
        <f>M79/Economy!O79</f>
        <v/>
      </c>
      <c r="AB79" s="63">
        <f>Y79/Economy!O79</f>
        <v/>
      </c>
      <c r="AC79" s="63">
        <f>(N79+O79+P79)/Economy!O79</f>
        <v/>
      </c>
    </row>
    <row r="80">
      <c r="A80" s="61" t="n">
        <v>1920</v>
      </c>
      <c r="B80" s="53">
        <f>Economy!O80*Paths!N80*Paths!O80*cust_coll</f>
        <v/>
      </c>
      <c r="C80" s="53">
        <f>(Economy!J80+Economy!L80+Economy!M80+Economy!N80)*Paths!P80*Paths!Q80</f>
        <v/>
      </c>
      <c r="D80" s="53">
        <f>Resources!P80+Resources!Q80</f>
        <v/>
      </c>
      <c r="E80" s="53">
        <f>Paths!S80*(1-canal_opcost)*canal_share</f>
        <v/>
      </c>
      <c r="F80" s="53">
        <f>Economy!O80*Paths!R80</f>
        <v/>
      </c>
      <c r="G80" s="53">
        <f>SUMPRODUCT((Events!$B$6:$B$158&lt;=$A80)*(Events!$C$6:$C$158&gt;=$A80)*(Events!$E$6:$E$158="Receipt")*Events!$H$6:$H$158)</f>
        <v/>
      </c>
      <c r="H80" s="69">
        <f>Loans!Y80</f>
        <v/>
      </c>
      <c r="I80" s="53">
        <f>'Debt &amp; cash'!S79*fund_yield</f>
        <v/>
      </c>
      <c r="J80" s="69">
        <f>Labour!Q80</f>
        <v/>
      </c>
      <c r="K80" s="69">
        <f>Champions!BD80</f>
        <v/>
      </c>
      <c r="L80" s="69">
        <f>Abroad!N80</f>
        <v/>
      </c>
      <c r="M80" s="53">
        <f>SUM(B80:L80)</f>
        <v/>
      </c>
      <c r="N80" s="53">
        <f>(Paths!W80*army_cost+Paths!X80*res_cost)*Economy!H80/1000000</f>
        <v/>
      </c>
      <c r="O80" s="69">
        <f>Navy!Y80</f>
        <v/>
      </c>
      <c r="P80" s="53">
        <f>SUMPRODUCT((Events!$B$6:$B$158&lt;=$A80)*(Events!$C$6:$C$158&gt;=$A80)*(Events!$E$6:$E$158="War &amp; operations")*Events!$H$6:$H$158)</f>
        <v/>
      </c>
      <c r="Q80" s="53">
        <f>Economy!O80*Paths!T80</f>
        <v/>
      </c>
      <c r="R80" s="53">
        <f>Economy!O80*Paths!U80</f>
        <v/>
      </c>
      <c r="S80" s="53">
        <f>Economy!O80*Paths!V80+SUMPRODUCT((Events!$B$6:$B$158&lt;=$A80)*(Events!$C$6:$C$158&gt;=$A80)*(Events!$E$6:$E$158="Programme")*Events!$H$6:$H$158)+SUMPRODUCT((Events!$B$6:$B$158&lt;=$A80)*(Events!$C$6:$C$158&gt;=$A80)*(Events!$E$6:$E$158="Investment")*Events!$H$6:$H$158)</f>
        <v/>
      </c>
      <c r="T80" s="53">
        <f>(People!T80*assist_cost+Labour!AD80*talent_cost+Labour!L80*gw_admin)*Economy!H80/1000000</f>
        <v/>
      </c>
      <c r="U80" s="53">
        <f>SUMPRODUCT((Events!$B$6:$B$158&lt;=$A80)*(Events!$C$6:$C$158&gt;=$A80)*(Events!$E$6:$E$158="Purchase")*Events!$H$6:$H$158)</f>
        <v/>
      </c>
      <c r="V80" s="53">
        <f>SUMPRODUCT((Events!$B$6:$B$158&lt;=$A80)*(Events!$C$6:$C$158&gt;=$A80)*(Events!$E$6:$E$158="Subsidy &amp; guarantee")*Events!$H$6:$H$158)+SUMPRODUCT((Events!$B$6:$B$158&lt;=$A80)*(Events!$C$6:$C$158&gt;=$A80)*(Events!$E$6:$E$158="Relief")*Events!$H$6:$H$158)</f>
        <v/>
      </c>
      <c r="W80" s="53">
        <f>SUMPRODUCT((Events!$B$6:$B$158&lt;=$A80)*(Events!$C$6:$C$158&gt;=$A80)*(Events!$E$6:$E$158="Bank rescue &amp; capital")*Events!$H$6:$H$158)</f>
        <v/>
      </c>
      <c r="X80" s="53">
        <f>'Debt &amp; cash'!R79*Paths!Y80</f>
        <v/>
      </c>
      <c r="Y80" s="53">
        <f>SUM(N80:X80)</f>
        <v/>
      </c>
      <c r="Z80" s="53">
        <f>M80-Y80</f>
        <v/>
      </c>
      <c r="AA80" s="63">
        <f>M80/Economy!O80</f>
        <v/>
      </c>
      <c r="AB80" s="63">
        <f>Y80/Economy!O80</f>
        <v/>
      </c>
      <c r="AC80" s="63">
        <f>(N80+O80+P80)/Economy!O80</f>
        <v/>
      </c>
    </row>
    <row r="81">
      <c r="A81" s="61" t="n">
        <v>1921</v>
      </c>
      <c r="B81" s="53">
        <f>Economy!O81*Paths!N81*Paths!O81*cust_coll</f>
        <v/>
      </c>
      <c r="C81" s="53">
        <f>(Economy!J81+Economy!L81+Economy!M81+Economy!N81)*Paths!P81*Paths!Q81</f>
        <v/>
      </c>
      <c r="D81" s="53">
        <f>Resources!P81+Resources!Q81</f>
        <v/>
      </c>
      <c r="E81" s="53">
        <f>Paths!S81*(1-canal_opcost)*canal_share</f>
        <v/>
      </c>
      <c r="F81" s="53">
        <f>Economy!O81*Paths!R81</f>
        <v/>
      </c>
      <c r="G81" s="53">
        <f>SUMPRODUCT((Events!$B$6:$B$158&lt;=$A81)*(Events!$C$6:$C$158&gt;=$A81)*(Events!$E$6:$E$158="Receipt")*Events!$H$6:$H$158)</f>
        <v/>
      </c>
      <c r="H81" s="69">
        <f>Loans!Y81</f>
        <v/>
      </c>
      <c r="I81" s="53">
        <f>'Debt &amp; cash'!S80*fund_yield</f>
        <v/>
      </c>
      <c r="J81" s="69">
        <f>Labour!Q81</f>
        <v/>
      </c>
      <c r="K81" s="69">
        <f>Champions!BD81</f>
        <v/>
      </c>
      <c r="L81" s="69">
        <f>Abroad!N81</f>
        <v/>
      </c>
      <c r="M81" s="53">
        <f>SUM(B81:L81)</f>
        <v/>
      </c>
      <c r="N81" s="53">
        <f>(Paths!W81*army_cost+Paths!X81*res_cost)*Economy!H81/1000000</f>
        <v/>
      </c>
      <c r="O81" s="69">
        <f>Navy!Y81</f>
        <v/>
      </c>
      <c r="P81" s="53">
        <f>SUMPRODUCT((Events!$B$6:$B$158&lt;=$A81)*(Events!$C$6:$C$158&gt;=$A81)*(Events!$E$6:$E$158="War &amp; operations")*Events!$H$6:$H$158)</f>
        <v/>
      </c>
      <c r="Q81" s="53">
        <f>Economy!O81*Paths!T81</f>
        <v/>
      </c>
      <c r="R81" s="53">
        <f>Economy!O81*Paths!U81</f>
        <v/>
      </c>
      <c r="S81" s="53">
        <f>Economy!O81*Paths!V81+SUMPRODUCT((Events!$B$6:$B$158&lt;=$A81)*(Events!$C$6:$C$158&gt;=$A81)*(Events!$E$6:$E$158="Programme")*Events!$H$6:$H$158)+SUMPRODUCT((Events!$B$6:$B$158&lt;=$A81)*(Events!$C$6:$C$158&gt;=$A81)*(Events!$E$6:$E$158="Investment")*Events!$H$6:$H$158)</f>
        <v/>
      </c>
      <c r="T81" s="53">
        <f>(People!T81*assist_cost+Labour!AD81*talent_cost+Labour!L81*gw_admin)*Economy!H81/1000000</f>
        <v/>
      </c>
      <c r="U81" s="53">
        <f>SUMPRODUCT((Events!$B$6:$B$158&lt;=$A81)*(Events!$C$6:$C$158&gt;=$A81)*(Events!$E$6:$E$158="Purchase")*Events!$H$6:$H$158)</f>
        <v/>
      </c>
      <c r="V81" s="53">
        <f>SUMPRODUCT((Events!$B$6:$B$158&lt;=$A81)*(Events!$C$6:$C$158&gt;=$A81)*(Events!$E$6:$E$158="Subsidy &amp; guarantee")*Events!$H$6:$H$158)+SUMPRODUCT((Events!$B$6:$B$158&lt;=$A81)*(Events!$C$6:$C$158&gt;=$A81)*(Events!$E$6:$E$158="Relief")*Events!$H$6:$H$158)</f>
        <v/>
      </c>
      <c r="W81" s="53">
        <f>SUMPRODUCT((Events!$B$6:$B$158&lt;=$A81)*(Events!$C$6:$C$158&gt;=$A81)*(Events!$E$6:$E$158="Bank rescue &amp; capital")*Events!$H$6:$H$158)</f>
        <v/>
      </c>
      <c r="X81" s="53">
        <f>'Debt &amp; cash'!R80*Paths!Y81</f>
        <v/>
      </c>
      <c r="Y81" s="53">
        <f>SUM(N81:X81)</f>
        <v/>
      </c>
      <c r="Z81" s="53">
        <f>M81-Y81</f>
        <v/>
      </c>
      <c r="AA81" s="63">
        <f>M81/Economy!O81</f>
        <v/>
      </c>
      <c r="AB81" s="63">
        <f>Y81/Economy!O81</f>
        <v/>
      </c>
      <c r="AC81" s="63">
        <f>(N81+O81+P81)/Economy!O81</f>
        <v/>
      </c>
    </row>
    <row r="82">
      <c r="A82" s="61" t="n">
        <v>1922</v>
      </c>
      <c r="B82" s="53">
        <f>Economy!O82*Paths!N82*Paths!O82*cust_coll</f>
        <v/>
      </c>
      <c r="C82" s="53">
        <f>(Economy!J82+Economy!L82+Economy!M82+Economy!N82)*Paths!P82*Paths!Q82</f>
        <v/>
      </c>
      <c r="D82" s="53">
        <f>Resources!P82+Resources!Q82</f>
        <v/>
      </c>
      <c r="E82" s="53">
        <f>Paths!S82*(1-canal_opcost)*canal_share</f>
        <v/>
      </c>
      <c r="F82" s="53">
        <f>Economy!O82*Paths!R82</f>
        <v/>
      </c>
      <c r="G82" s="53">
        <f>SUMPRODUCT((Events!$B$6:$B$158&lt;=$A82)*(Events!$C$6:$C$158&gt;=$A82)*(Events!$E$6:$E$158="Receipt")*Events!$H$6:$H$158)</f>
        <v/>
      </c>
      <c r="H82" s="69">
        <f>Loans!Y82</f>
        <v/>
      </c>
      <c r="I82" s="53">
        <f>'Debt &amp; cash'!S81*fund_yield</f>
        <v/>
      </c>
      <c r="J82" s="69">
        <f>Labour!Q82</f>
        <v/>
      </c>
      <c r="K82" s="69">
        <f>Champions!BD82</f>
        <v/>
      </c>
      <c r="L82" s="69">
        <f>Abroad!N82</f>
        <v/>
      </c>
      <c r="M82" s="53">
        <f>SUM(B82:L82)</f>
        <v/>
      </c>
      <c r="N82" s="53">
        <f>(Paths!W82*army_cost+Paths!X82*res_cost)*Economy!H82/1000000</f>
        <v/>
      </c>
      <c r="O82" s="69">
        <f>Navy!Y82</f>
        <v/>
      </c>
      <c r="P82" s="53">
        <f>SUMPRODUCT((Events!$B$6:$B$158&lt;=$A82)*(Events!$C$6:$C$158&gt;=$A82)*(Events!$E$6:$E$158="War &amp; operations")*Events!$H$6:$H$158)</f>
        <v/>
      </c>
      <c r="Q82" s="53">
        <f>Economy!O82*Paths!T82</f>
        <v/>
      </c>
      <c r="R82" s="53">
        <f>Economy!O82*Paths!U82</f>
        <v/>
      </c>
      <c r="S82" s="53">
        <f>Economy!O82*Paths!V82+SUMPRODUCT((Events!$B$6:$B$158&lt;=$A82)*(Events!$C$6:$C$158&gt;=$A82)*(Events!$E$6:$E$158="Programme")*Events!$H$6:$H$158)+SUMPRODUCT((Events!$B$6:$B$158&lt;=$A82)*(Events!$C$6:$C$158&gt;=$A82)*(Events!$E$6:$E$158="Investment")*Events!$H$6:$H$158)</f>
        <v/>
      </c>
      <c r="T82" s="53">
        <f>(People!T82*assist_cost+Labour!AD82*talent_cost+Labour!L82*gw_admin)*Economy!H82/1000000</f>
        <v/>
      </c>
      <c r="U82" s="53">
        <f>SUMPRODUCT((Events!$B$6:$B$158&lt;=$A82)*(Events!$C$6:$C$158&gt;=$A82)*(Events!$E$6:$E$158="Purchase")*Events!$H$6:$H$158)</f>
        <v/>
      </c>
      <c r="V82" s="53">
        <f>SUMPRODUCT((Events!$B$6:$B$158&lt;=$A82)*(Events!$C$6:$C$158&gt;=$A82)*(Events!$E$6:$E$158="Subsidy &amp; guarantee")*Events!$H$6:$H$158)+SUMPRODUCT((Events!$B$6:$B$158&lt;=$A82)*(Events!$C$6:$C$158&gt;=$A82)*(Events!$E$6:$E$158="Relief")*Events!$H$6:$H$158)</f>
        <v/>
      </c>
      <c r="W82" s="53">
        <f>SUMPRODUCT((Events!$B$6:$B$158&lt;=$A82)*(Events!$C$6:$C$158&gt;=$A82)*(Events!$E$6:$E$158="Bank rescue &amp; capital")*Events!$H$6:$H$158)</f>
        <v/>
      </c>
      <c r="X82" s="53">
        <f>'Debt &amp; cash'!R81*Paths!Y82</f>
        <v/>
      </c>
      <c r="Y82" s="53">
        <f>SUM(N82:X82)</f>
        <v/>
      </c>
      <c r="Z82" s="53">
        <f>M82-Y82</f>
        <v/>
      </c>
      <c r="AA82" s="63">
        <f>M82/Economy!O82</f>
        <v/>
      </c>
      <c r="AB82" s="63">
        <f>Y82/Economy!O82</f>
        <v/>
      </c>
      <c r="AC82" s="63">
        <f>(N82+O82+P82)/Economy!O82</f>
        <v/>
      </c>
    </row>
    <row r="83">
      <c r="A83" s="58" t="n">
        <v>1923</v>
      </c>
      <c r="B83" s="53">
        <f>Economy!O83*Paths!N83*Paths!O83*cust_coll</f>
        <v/>
      </c>
      <c r="C83" s="53">
        <f>(Economy!J83+Economy!L83+Economy!M83+Economy!N83)*Paths!P83*Paths!Q83</f>
        <v/>
      </c>
      <c r="D83" s="53">
        <f>Resources!P83+Resources!Q83</f>
        <v/>
      </c>
      <c r="E83" s="53">
        <f>Paths!S83*(1-canal_opcost)*canal_share</f>
        <v/>
      </c>
      <c r="F83" s="53">
        <f>Economy!O83*Paths!R83</f>
        <v/>
      </c>
      <c r="G83" s="53">
        <f>SUMPRODUCT((Events!$B$6:$B$158&lt;=$A83)*(Events!$C$6:$C$158&gt;=$A83)*(Events!$E$6:$E$158="Receipt")*Events!$H$6:$H$158)</f>
        <v/>
      </c>
      <c r="H83" s="69">
        <f>Loans!Y83</f>
        <v/>
      </c>
      <c r="I83" s="53">
        <f>'Debt &amp; cash'!S82*fund_yield</f>
        <v/>
      </c>
      <c r="J83" s="69">
        <f>Labour!Q83</f>
        <v/>
      </c>
      <c r="K83" s="69">
        <f>Champions!BD83</f>
        <v/>
      </c>
      <c r="L83" s="69">
        <f>Abroad!N83</f>
        <v/>
      </c>
      <c r="M83" s="53">
        <f>SUM(B83:L83)</f>
        <v/>
      </c>
      <c r="N83" s="53">
        <f>(Paths!W83*army_cost+Paths!X83*res_cost)*Economy!H83/1000000</f>
        <v/>
      </c>
      <c r="O83" s="69">
        <f>Navy!Y83</f>
        <v/>
      </c>
      <c r="P83" s="53">
        <f>SUMPRODUCT((Events!$B$6:$B$158&lt;=$A83)*(Events!$C$6:$C$158&gt;=$A83)*(Events!$E$6:$E$158="War &amp; operations")*Events!$H$6:$H$158)</f>
        <v/>
      </c>
      <c r="Q83" s="53">
        <f>Economy!O83*Paths!T83</f>
        <v/>
      </c>
      <c r="R83" s="53">
        <f>Economy!O83*Paths!U83</f>
        <v/>
      </c>
      <c r="S83" s="53">
        <f>Economy!O83*Paths!V83+SUMPRODUCT((Events!$B$6:$B$158&lt;=$A83)*(Events!$C$6:$C$158&gt;=$A83)*(Events!$E$6:$E$158="Programme")*Events!$H$6:$H$158)+SUMPRODUCT((Events!$B$6:$B$158&lt;=$A83)*(Events!$C$6:$C$158&gt;=$A83)*(Events!$E$6:$E$158="Investment")*Events!$H$6:$H$158)</f>
        <v/>
      </c>
      <c r="T83" s="53">
        <f>(People!T83*assist_cost+Labour!AD83*talent_cost+Labour!L83*gw_admin)*Economy!H83/1000000</f>
        <v/>
      </c>
      <c r="U83" s="53">
        <f>SUMPRODUCT((Events!$B$6:$B$158&lt;=$A83)*(Events!$C$6:$C$158&gt;=$A83)*(Events!$E$6:$E$158="Purchase")*Events!$H$6:$H$158)</f>
        <v/>
      </c>
      <c r="V83" s="53">
        <f>SUMPRODUCT((Events!$B$6:$B$158&lt;=$A83)*(Events!$C$6:$C$158&gt;=$A83)*(Events!$E$6:$E$158="Subsidy &amp; guarantee")*Events!$H$6:$H$158)+SUMPRODUCT((Events!$B$6:$B$158&lt;=$A83)*(Events!$C$6:$C$158&gt;=$A83)*(Events!$E$6:$E$158="Relief")*Events!$H$6:$H$158)</f>
        <v/>
      </c>
      <c r="W83" s="53">
        <f>SUMPRODUCT((Events!$B$6:$B$158&lt;=$A83)*(Events!$C$6:$C$158&gt;=$A83)*(Events!$E$6:$E$158="Bank rescue &amp; capital")*Events!$H$6:$H$158)</f>
        <v/>
      </c>
      <c r="X83" s="53">
        <f>'Debt &amp; cash'!R82*Paths!Y83</f>
        <v/>
      </c>
      <c r="Y83" s="53">
        <f>SUM(N83:X83)</f>
        <v/>
      </c>
      <c r="Z83" s="53">
        <f>M83-Y83</f>
        <v/>
      </c>
      <c r="AA83" s="63">
        <f>M83/Economy!O83</f>
        <v/>
      </c>
      <c r="AB83" s="63">
        <f>Y83/Economy!O83</f>
        <v/>
      </c>
      <c r="AC83" s="63">
        <f>(N83+O83+P83)/Economy!O83</f>
        <v/>
      </c>
    </row>
    <row r="84">
      <c r="A84" s="58" t="n">
        <v>1924</v>
      </c>
      <c r="B84" s="53">
        <f>Economy!O84*Paths!N84*Paths!O84*cust_coll</f>
        <v/>
      </c>
      <c r="C84" s="53">
        <f>(Economy!J84+Economy!L84+Economy!M84+Economy!N84)*Paths!P84*Paths!Q84</f>
        <v/>
      </c>
      <c r="D84" s="53">
        <f>Resources!P84+Resources!Q84</f>
        <v/>
      </c>
      <c r="E84" s="53">
        <f>Paths!S84*(1-canal_opcost)*canal_share</f>
        <v/>
      </c>
      <c r="F84" s="53">
        <f>Economy!O84*Paths!R84</f>
        <v/>
      </c>
      <c r="G84" s="53">
        <f>SUMPRODUCT((Events!$B$6:$B$158&lt;=$A84)*(Events!$C$6:$C$158&gt;=$A84)*(Events!$E$6:$E$158="Receipt")*Events!$H$6:$H$158)</f>
        <v/>
      </c>
      <c r="H84" s="69">
        <f>Loans!Y84</f>
        <v/>
      </c>
      <c r="I84" s="53">
        <f>'Debt &amp; cash'!S83*fund_yield</f>
        <v/>
      </c>
      <c r="J84" s="69">
        <f>Labour!Q84</f>
        <v/>
      </c>
      <c r="K84" s="69">
        <f>Champions!BD84</f>
        <v/>
      </c>
      <c r="L84" s="69">
        <f>Abroad!N84</f>
        <v/>
      </c>
      <c r="M84" s="53">
        <f>SUM(B84:L84)</f>
        <v/>
      </c>
      <c r="N84" s="53">
        <f>(Paths!W84*army_cost+Paths!X84*res_cost)*Economy!H84/1000000</f>
        <v/>
      </c>
      <c r="O84" s="69">
        <f>Navy!Y84</f>
        <v/>
      </c>
      <c r="P84" s="53">
        <f>SUMPRODUCT((Events!$B$6:$B$158&lt;=$A84)*(Events!$C$6:$C$158&gt;=$A84)*(Events!$E$6:$E$158="War &amp; operations")*Events!$H$6:$H$158)</f>
        <v/>
      </c>
      <c r="Q84" s="53">
        <f>Economy!O84*Paths!T84</f>
        <v/>
      </c>
      <c r="R84" s="53">
        <f>Economy!O84*Paths!U84</f>
        <v/>
      </c>
      <c r="S84" s="53">
        <f>Economy!O84*Paths!V84+SUMPRODUCT((Events!$B$6:$B$158&lt;=$A84)*(Events!$C$6:$C$158&gt;=$A84)*(Events!$E$6:$E$158="Programme")*Events!$H$6:$H$158)+SUMPRODUCT((Events!$B$6:$B$158&lt;=$A84)*(Events!$C$6:$C$158&gt;=$A84)*(Events!$E$6:$E$158="Investment")*Events!$H$6:$H$158)</f>
        <v/>
      </c>
      <c r="T84" s="53">
        <f>(People!T84*assist_cost+Labour!AD84*talent_cost+Labour!L84*gw_admin)*Economy!H84/1000000</f>
        <v/>
      </c>
      <c r="U84" s="53">
        <f>SUMPRODUCT((Events!$B$6:$B$158&lt;=$A84)*(Events!$C$6:$C$158&gt;=$A84)*(Events!$E$6:$E$158="Purchase")*Events!$H$6:$H$158)</f>
        <v/>
      </c>
      <c r="V84" s="53">
        <f>SUMPRODUCT((Events!$B$6:$B$158&lt;=$A84)*(Events!$C$6:$C$158&gt;=$A84)*(Events!$E$6:$E$158="Subsidy &amp; guarantee")*Events!$H$6:$H$158)+SUMPRODUCT((Events!$B$6:$B$158&lt;=$A84)*(Events!$C$6:$C$158&gt;=$A84)*(Events!$E$6:$E$158="Relief")*Events!$H$6:$H$158)</f>
        <v/>
      </c>
      <c r="W84" s="53">
        <f>SUMPRODUCT((Events!$B$6:$B$158&lt;=$A84)*(Events!$C$6:$C$158&gt;=$A84)*(Events!$E$6:$E$158="Bank rescue &amp; capital")*Events!$H$6:$H$158)</f>
        <v/>
      </c>
      <c r="X84" s="53">
        <f>'Debt &amp; cash'!R83*Paths!Y84</f>
        <v/>
      </c>
      <c r="Y84" s="53">
        <f>SUM(N84:X84)</f>
        <v/>
      </c>
      <c r="Z84" s="53">
        <f>M84-Y84</f>
        <v/>
      </c>
      <c r="AA84" s="63">
        <f>M84/Economy!O84</f>
        <v/>
      </c>
      <c r="AB84" s="63">
        <f>Y84/Economy!O84</f>
        <v/>
      </c>
      <c r="AC84" s="63">
        <f>(N84+O84+P84)/Economy!O84</f>
        <v/>
      </c>
    </row>
    <row r="85">
      <c r="A85" s="58" t="n">
        <v>1925</v>
      </c>
      <c r="B85" s="53">
        <f>Economy!O85*Paths!N85*Paths!O85*cust_coll</f>
        <v/>
      </c>
      <c r="C85" s="53">
        <f>(Economy!J85+Economy!L85+Economy!M85+Economy!N85)*Paths!P85*Paths!Q85</f>
        <v/>
      </c>
      <c r="D85" s="53">
        <f>Resources!P85+Resources!Q85</f>
        <v/>
      </c>
      <c r="E85" s="53">
        <f>Paths!S85*(1-canal_opcost)*canal_share</f>
        <v/>
      </c>
      <c r="F85" s="53">
        <f>Economy!O85*Paths!R85</f>
        <v/>
      </c>
      <c r="G85" s="53">
        <f>SUMPRODUCT((Events!$B$6:$B$158&lt;=$A85)*(Events!$C$6:$C$158&gt;=$A85)*(Events!$E$6:$E$158="Receipt")*Events!$H$6:$H$158)</f>
        <v/>
      </c>
      <c r="H85" s="69">
        <f>Loans!Y85</f>
        <v/>
      </c>
      <c r="I85" s="53">
        <f>'Debt &amp; cash'!S84*fund_yield</f>
        <v/>
      </c>
      <c r="J85" s="69">
        <f>Labour!Q85</f>
        <v/>
      </c>
      <c r="K85" s="69">
        <f>Champions!BD85</f>
        <v/>
      </c>
      <c r="L85" s="69">
        <f>Abroad!N85</f>
        <v/>
      </c>
      <c r="M85" s="53">
        <f>SUM(B85:L85)</f>
        <v/>
      </c>
      <c r="N85" s="53">
        <f>(Paths!W85*army_cost+Paths!X85*res_cost)*Economy!H85/1000000</f>
        <v/>
      </c>
      <c r="O85" s="69">
        <f>Navy!Y85</f>
        <v/>
      </c>
      <c r="P85" s="53">
        <f>SUMPRODUCT((Events!$B$6:$B$158&lt;=$A85)*(Events!$C$6:$C$158&gt;=$A85)*(Events!$E$6:$E$158="War &amp; operations")*Events!$H$6:$H$158)</f>
        <v/>
      </c>
      <c r="Q85" s="53">
        <f>Economy!O85*Paths!T85</f>
        <v/>
      </c>
      <c r="R85" s="53">
        <f>Economy!O85*Paths!U85</f>
        <v/>
      </c>
      <c r="S85" s="53">
        <f>Economy!O85*Paths!V85+SUMPRODUCT((Events!$B$6:$B$158&lt;=$A85)*(Events!$C$6:$C$158&gt;=$A85)*(Events!$E$6:$E$158="Programme")*Events!$H$6:$H$158)+SUMPRODUCT((Events!$B$6:$B$158&lt;=$A85)*(Events!$C$6:$C$158&gt;=$A85)*(Events!$E$6:$E$158="Investment")*Events!$H$6:$H$158)</f>
        <v/>
      </c>
      <c r="T85" s="53">
        <f>(People!T85*assist_cost+Labour!AD85*talent_cost+Labour!L85*gw_admin)*Economy!H85/1000000</f>
        <v/>
      </c>
      <c r="U85" s="53">
        <f>SUMPRODUCT((Events!$B$6:$B$158&lt;=$A85)*(Events!$C$6:$C$158&gt;=$A85)*(Events!$E$6:$E$158="Purchase")*Events!$H$6:$H$158)</f>
        <v/>
      </c>
      <c r="V85" s="53">
        <f>SUMPRODUCT((Events!$B$6:$B$158&lt;=$A85)*(Events!$C$6:$C$158&gt;=$A85)*(Events!$E$6:$E$158="Subsidy &amp; guarantee")*Events!$H$6:$H$158)+SUMPRODUCT((Events!$B$6:$B$158&lt;=$A85)*(Events!$C$6:$C$158&gt;=$A85)*(Events!$E$6:$E$158="Relief")*Events!$H$6:$H$158)</f>
        <v/>
      </c>
      <c r="W85" s="53">
        <f>SUMPRODUCT((Events!$B$6:$B$158&lt;=$A85)*(Events!$C$6:$C$158&gt;=$A85)*(Events!$E$6:$E$158="Bank rescue &amp; capital")*Events!$H$6:$H$158)</f>
        <v/>
      </c>
      <c r="X85" s="53">
        <f>'Debt &amp; cash'!R84*Paths!Y85</f>
        <v/>
      </c>
      <c r="Y85" s="53">
        <f>SUM(N85:X85)</f>
        <v/>
      </c>
      <c r="Z85" s="53">
        <f>M85-Y85</f>
        <v/>
      </c>
      <c r="AA85" s="63">
        <f>M85/Economy!O85</f>
        <v/>
      </c>
      <c r="AB85" s="63">
        <f>Y85/Economy!O85</f>
        <v/>
      </c>
      <c r="AC85" s="63">
        <f>(N85+O85+P85)/Economy!O85</f>
        <v/>
      </c>
    </row>
    <row r="86">
      <c r="A86" s="58" t="n">
        <v>1926</v>
      </c>
      <c r="B86" s="53">
        <f>Economy!O86*Paths!N86*Paths!O86*cust_coll</f>
        <v/>
      </c>
      <c r="C86" s="53">
        <f>(Economy!J86+Economy!L86+Economy!M86+Economy!N86)*Paths!P86*Paths!Q86</f>
        <v/>
      </c>
      <c r="D86" s="53">
        <f>Resources!P86+Resources!Q86</f>
        <v/>
      </c>
      <c r="E86" s="53">
        <f>Paths!S86*(1-canal_opcost)*canal_share</f>
        <v/>
      </c>
      <c r="F86" s="53">
        <f>Economy!O86*Paths!R86</f>
        <v/>
      </c>
      <c r="G86" s="53">
        <f>SUMPRODUCT((Events!$B$6:$B$158&lt;=$A86)*(Events!$C$6:$C$158&gt;=$A86)*(Events!$E$6:$E$158="Receipt")*Events!$H$6:$H$158)</f>
        <v/>
      </c>
      <c r="H86" s="69">
        <f>Loans!Y86</f>
        <v/>
      </c>
      <c r="I86" s="53">
        <f>'Debt &amp; cash'!S85*fund_yield</f>
        <v/>
      </c>
      <c r="J86" s="69">
        <f>Labour!Q86</f>
        <v/>
      </c>
      <c r="K86" s="69">
        <f>Champions!BD86</f>
        <v/>
      </c>
      <c r="L86" s="69">
        <f>Abroad!N86</f>
        <v/>
      </c>
      <c r="M86" s="53">
        <f>SUM(B86:L86)</f>
        <v/>
      </c>
      <c r="N86" s="53">
        <f>(Paths!W86*army_cost+Paths!X86*res_cost)*Economy!H86/1000000</f>
        <v/>
      </c>
      <c r="O86" s="69">
        <f>Navy!Y86</f>
        <v/>
      </c>
      <c r="P86" s="53">
        <f>SUMPRODUCT((Events!$B$6:$B$158&lt;=$A86)*(Events!$C$6:$C$158&gt;=$A86)*(Events!$E$6:$E$158="War &amp; operations")*Events!$H$6:$H$158)</f>
        <v/>
      </c>
      <c r="Q86" s="53">
        <f>Economy!O86*Paths!T86</f>
        <v/>
      </c>
      <c r="R86" s="53">
        <f>Economy!O86*Paths!U86</f>
        <v/>
      </c>
      <c r="S86" s="53">
        <f>Economy!O86*Paths!V86+SUMPRODUCT((Events!$B$6:$B$158&lt;=$A86)*(Events!$C$6:$C$158&gt;=$A86)*(Events!$E$6:$E$158="Programme")*Events!$H$6:$H$158)+SUMPRODUCT((Events!$B$6:$B$158&lt;=$A86)*(Events!$C$6:$C$158&gt;=$A86)*(Events!$E$6:$E$158="Investment")*Events!$H$6:$H$158)</f>
        <v/>
      </c>
      <c r="T86" s="53">
        <f>(People!T86*assist_cost+Labour!AD86*talent_cost+Labour!L86*gw_admin)*Economy!H86/1000000</f>
        <v/>
      </c>
      <c r="U86" s="53">
        <f>SUMPRODUCT((Events!$B$6:$B$158&lt;=$A86)*(Events!$C$6:$C$158&gt;=$A86)*(Events!$E$6:$E$158="Purchase")*Events!$H$6:$H$158)</f>
        <v/>
      </c>
      <c r="V86" s="53">
        <f>SUMPRODUCT((Events!$B$6:$B$158&lt;=$A86)*(Events!$C$6:$C$158&gt;=$A86)*(Events!$E$6:$E$158="Subsidy &amp; guarantee")*Events!$H$6:$H$158)+SUMPRODUCT((Events!$B$6:$B$158&lt;=$A86)*(Events!$C$6:$C$158&gt;=$A86)*(Events!$E$6:$E$158="Relief")*Events!$H$6:$H$158)</f>
        <v/>
      </c>
      <c r="W86" s="53">
        <f>SUMPRODUCT((Events!$B$6:$B$158&lt;=$A86)*(Events!$C$6:$C$158&gt;=$A86)*(Events!$E$6:$E$158="Bank rescue &amp; capital")*Events!$H$6:$H$158)</f>
        <v/>
      </c>
      <c r="X86" s="53">
        <f>'Debt &amp; cash'!R85*Paths!Y86</f>
        <v/>
      </c>
      <c r="Y86" s="53">
        <f>SUM(N86:X86)</f>
        <v/>
      </c>
      <c r="Z86" s="53">
        <f>M86-Y86</f>
        <v/>
      </c>
      <c r="AA86" s="63">
        <f>M86/Economy!O86</f>
        <v/>
      </c>
      <c r="AB86" s="63">
        <f>Y86/Economy!O86</f>
        <v/>
      </c>
      <c r="AC86" s="63">
        <f>(N86+O86+P86)/Economy!O86</f>
        <v/>
      </c>
    </row>
    <row r="87">
      <c r="A87" s="58" t="n">
        <v>1927</v>
      </c>
      <c r="B87" s="53">
        <f>Economy!O87*Paths!N87*Paths!O87*cust_coll</f>
        <v/>
      </c>
      <c r="C87" s="53">
        <f>(Economy!J87+Economy!L87+Economy!M87+Economy!N87)*Paths!P87*Paths!Q87</f>
        <v/>
      </c>
      <c r="D87" s="53">
        <f>Resources!P87+Resources!Q87</f>
        <v/>
      </c>
      <c r="E87" s="53">
        <f>Paths!S87*(1-canal_opcost)*canal_share</f>
        <v/>
      </c>
      <c r="F87" s="53">
        <f>Economy!O87*Paths!R87</f>
        <v/>
      </c>
      <c r="G87" s="53">
        <f>SUMPRODUCT((Events!$B$6:$B$158&lt;=$A87)*(Events!$C$6:$C$158&gt;=$A87)*(Events!$E$6:$E$158="Receipt")*Events!$H$6:$H$158)</f>
        <v/>
      </c>
      <c r="H87" s="69">
        <f>Loans!Y87</f>
        <v/>
      </c>
      <c r="I87" s="53">
        <f>'Debt &amp; cash'!S86*fund_yield</f>
        <v/>
      </c>
      <c r="J87" s="69">
        <f>Labour!Q87</f>
        <v/>
      </c>
      <c r="K87" s="69">
        <f>Champions!BD87</f>
        <v/>
      </c>
      <c r="L87" s="69">
        <f>Abroad!N87</f>
        <v/>
      </c>
      <c r="M87" s="53">
        <f>SUM(B87:L87)</f>
        <v/>
      </c>
      <c r="N87" s="53">
        <f>(Paths!W87*army_cost+Paths!X87*res_cost)*Economy!H87/1000000</f>
        <v/>
      </c>
      <c r="O87" s="69">
        <f>Navy!Y87</f>
        <v/>
      </c>
      <c r="P87" s="53">
        <f>SUMPRODUCT((Events!$B$6:$B$158&lt;=$A87)*(Events!$C$6:$C$158&gt;=$A87)*(Events!$E$6:$E$158="War &amp; operations")*Events!$H$6:$H$158)</f>
        <v/>
      </c>
      <c r="Q87" s="53">
        <f>Economy!O87*Paths!T87</f>
        <v/>
      </c>
      <c r="R87" s="53">
        <f>Economy!O87*Paths!U87</f>
        <v/>
      </c>
      <c r="S87" s="53">
        <f>Economy!O87*Paths!V87+SUMPRODUCT((Events!$B$6:$B$158&lt;=$A87)*(Events!$C$6:$C$158&gt;=$A87)*(Events!$E$6:$E$158="Programme")*Events!$H$6:$H$158)+SUMPRODUCT((Events!$B$6:$B$158&lt;=$A87)*(Events!$C$6:$C$158&gt;=$A87)*(Events!$E$6:$E$158="Investment")*Events!$H$6:$H$158)</f>
        <v/>
      </c>
      <c r="T87" s="53">
        <f>(People!T87*assist_cost+Labour!AD87*talent_cost+Labour!L87*gw_admin)*Economy!H87/1000000</f>
        <v/>
      </c>
      <c r="U87" s="53">
        <f>SUMPRODUCT((Events!$B$6:$B$158&lt;=$A87)*(Events!$C$6:$C$158&gt;=$A87)*(Events!$E$6:$E$158="Purchase")*Events!$H$6:$H$158)</f>
        <v/>
      </c>
      <c r="V87" s="53">
        <f>SUMPRODUCT((Events!$B$6:$B$158&lt;=$A87)*(Events!$C$6:$C$158&gt;=$A87)*(Events!$E$6:$E$158="Subsidy &amp; guarantee")*Events!$H$6:$H$158)+SUMPRODUCT((Events!$B$6:$B$158&lt;=$A87)*(Events!$C$6:$C$158&gt;=$A87)*(Events!$E$6:$E$158="Relief")*Events!$H$6:$H$158)</f>
        <v/>
      </c>
      <c r="W87" s="53">
        <f>SUMPRODUCT((Events!$B$6:$B$158&lt;=$A87)*(Events!$C$6:$C$158&gt;=$A87)*(Events!$E$6:$E$158="Bank rescue &amp; capital")*Events!$H$6:$H$158)</f>
        <v/>
      </c>
      <c r="X87" s="53">
        <f>'Debt &amp; cash'!R86*Paths!Y87</f>
        <v/>
      </c>
      <c r="Y87" s="53">
        <f>SUM(N87:X87)</f>
        <v/>
      </c>
      <c r="Z87" s="53">
        <f>M87-Y87</f>
        <v/>
      </c>
      <c r="AA87" s="63">
        <f>M87/Economy!O87</f>
        <v/>
      </c>
      <c r="AB87" s="63">
        <f>Y87/Economy!O87</f>
        <v/>
      </c>
      <c r="AC87" s="63">
        <f>(N87+O87+P87)/Economy!O87</f>
        <v/>
      </c>
    </row>
    <row r="88">
      <c r="A88" s="58" t="n">
        <v>1928</v>
      </c>
      <c r="B88" s="53">
        <f>Economy!O88*Paths!N88*Paths!O88*cust_coll</f>
        <v/>
      </c>
      <c r="C88" s="53">
        <f>(Economy!J88+Economy!L88+Economy!M88+Economy!N88)*Paths!P88*Paths!Q88</f>
        <v/>
      </c>
      <c r="D88" s="53">
        <f>Resources!P88+Resources!Q88</f>
        <v/>
      </c>
      <c r="E88" s="53">
        <f>Paths!S88*(1-canal_opcost)*canal_share</f>
        <v/>
      </c>
      <c r="F88" s="53">
        <f>Economy!O88*Paths!R88</f>
        <v/>
      </c>
      <c r="G88" s="53">
        <f>SUMPRODUCT((Events!$B$6:$B$158&lt;=$A88)*(Events!$C$6:$C$158&gt;=$A88)*(Events!$E$6:$E$158="Receipt")*Events!$H$6:$H$158)</f>
        <v/>
      </c>
      <c r="H88" s="69">
        <f>Loans!Y88</f>
        <v/>
      </c>
      <c r="I88" s="53">
        <f>'Debt &amp; cash'!S87*fund_yield</f>
        <v/>
      </c>
      <c r="J88" s="69">
        <f>Labour!Q88</f>
        <v/>
      </c>
      <c r="K88" s="69">
        <f>Champions!BD88</f>
        <v/>
      </c>
      <c r="L88" s="69">
        <f>Abroad!N88</f>
        <v/>
      </c>
      <c r="M88" s="53">
        <f>SUM(B88:L88)</f>
        <v/>
      </c>
      <c r="N88" s="53">
        <f>(Paths!W88*army_cost+Paths!X88*res_cost)*Economy!H88/1000000</f>
        <v/>
      </c>
      <c r="O88" s="69">
        <f>Navy!Y88</f>
        <v/>
      </c>
      <c r="P88" s="53">
        <f>SUMPRODUCT((Events!$B$6:$B$158&lt;=$A88)*(Events!$C$6:$C$158&gt;=$A88)*(Events!$E$6:$E$158="War &amp; operations")*Events!$H$6:$H$158)</f>
        <v/>
      </c>
      <c r="Q88" s="53">
        <f>Economy!O88*Paths!T88</f>
        <v/>
      </c>
      <c r="R88" s="53">
        <f>Economy!O88*Paths!U88</f>
        <v/>
      </c>
      <c r="S88" s="53">
        <f>Economy!O88*Paths!V88+SUMPRODUCT((Events!$B$6:$B$158&lt;=$A88)*(Events!$C$6:$C$158&gt;=$A88)*(Events!$E$6:$E$158="Programme")*Events!$H$6:$H$158)+SUMPRODUCT((Events!$B$6:$B$158&lt;=$A88)*(Events!$C$6:$C$158&gt;=$A88)*(Events!$E$6:$E$158="Investment")*Events!$H$6:$H$158)</f>
        <v/>
      </c>
      <c r="T88" s="53">
        <f>(People!T88*assist_cost+Labour!AD88*talent_cost+Labour!L88*gw_admin)*Economy!H88/1000000</f>
        <v/>
      </c>
      <c r="U88" s="53">
        <f>SUMPRODUCT((Events!$B$6:$B$158&lt;=$A88)*(Events!$C$6:$C$158&gt;=$A88)*(Events!$E$6:$E$158="Purchase")*Events!$H$6:$H$158)</f>
        <v/>
      </c>
      <c r="V88" s="53">
        <f>SUMPRODUCT((Events!$B$6:$B$158&lt;=$A88)*(Events!$C$6:$C$158&gt;=$A88)*(Events!$E$6:$E$158="Subsidy &amp; guarantee")*Events!$H$6:$H$158)+SUMPRODUCT((Events!$B$6:$B$158&lt;=$A88)*(Events!$C$6:$C$158&gt;=$A88)*(Events!$E$6:$E$158="Relief")*Events!$H$6:$H$158)</f>
        <v/>
      </c>
      <c r="W88" s="53">
        <f>SUMPRODUCT((Events!$B$6:$B$158&lt;=$A88)*(Events!$C$6:$C$158&gt;=$A88)*(Events!$E$6:$E$158="Bank rescue &amp; capital")*Events!$H$6:$H$158)</f>
        <v/>
      </c>
      <c r="X88" s="53">
        <f>'Debt &amp; cash'!R87*Paths!Y88</f>
        <v/>
      </c>
      <c r="Y88" s="53">
        <f>SUM(N88:X88)</f>
        <v/>
      </c>
      <c r="Z88" s="53">
        <f>M88-Y88</f>
        <v/>
      </c>
      <c r="AA88" s="63">
        <f>M88/Economy!O88</f>
        <v/>
      </c>
      <c r="AB88" s="63">
        <f>Y88/Economy!O88</f>
        <v/>
      </c>
      <c r="AC88" s="63">
        <f>(N88+O88+P88)/Economy!O88</f>
        <v/>
      </c>
    </row>
    <row r="89">
      <c r="A89" s="58" t="n">
        <v>1929</v>
      </c>
      <c r="B89" s="53">
        <f>Economy!O89*Paths!N89*Paths!O89*cust_coll</f>
        <v/>
      </c>
      <c r="C89" s="53">
        <f>(Economy!J89+Economy!L89+Economy!M89+Economy!N89)*Paths!P89*Paths!Q89</f>
        <v/>
      </c>
      <c r="D89" s="53">
        <f>Resources!P89+Resources!Q89</f>
        <v/>
      </c>
      <c r="E89" s="53">
        <f>Paths!S89*(1-canal_opcost)*canal_share</f>
        <v/>
      </c>
      <c r="F89" s="53">
        <f>Economy!O89*Paths!R89</f>
        <v/>
      </c>
      <c r="G89" s="53">
        <f>SUMPRODUCT((Events!$B$6:$B$158&lt;=$A89)*(Events!$C$6:$C$158&gt;=$A89)*(Events!$E$6:$E$158="Receipt")*Events!$H$6:$H$158)</f>
        <v/>
      </c>
      <c r="H89" s="69">
        <f>Loans!Y89</f>
        <v/>
      </c>
      <c r="I89" s="53">
        <f>'Debt &amp; cash'!S88*fund_yield</f>
        <v/>
      </c>
      <c r="J89" s="69">
        <f>Labour!Q89</f>
        <v/>
      </c>
      <c r="K89" s="69">
        <f>Champions!BD89</f>
        <v/>
      </c>
      <c r="L89" s="69">
        <f>Abroad!N89</f>
        <v/>
      </c>
      <c r="M89" s="53">
        <f>SUM(B89:L89)</f>
        <v/>
      </c>
      <c r="N89" s="53">
        <f>(Paths!W89*army_cost+Paths!X89*res_cost)*Economy!H89/1000000</f>
        <v/>
      </c>
      <c r="O89" s="69">
        <f>Navy!Y89</f>
        <v/>
      </c>
      <c r="P89" s="53">
        <f>SUMPRODUCT((Events!$B$6:$B$158&lt;=$A89)*(Events!$C$6:$C$158&gt;=$A89)*(Events!$E$6:$E$158="War &amp; operations")*Events!$H$6:$H$158)</f>
        <v/>
      </c>
      <c r="Q89" s="53">
        <f>Economy!O89*Paths!T89</f>
        <v/>
      </c>
      <c r="R89" s="53">
        <f>Economy!O89*Paths!U89</f>
        <v/>
      </c>
      <c r="S89" s="53">
        <f>Economy!O89*Paths!V89+SUMPRODUCT((Events!$B$6:$B$158&lt;=$A89)*(Events!$C$6:$C$158&gt;=$A89)*(Events!$E$6:$E$158="Programme")*Events!$H$6:$H$158)+SUMPRODUCT((Events!$B$6:$B$158&lt;=$A89)*(Events!$C$6:$C$158&gt;=$A89)*(Events!$E$6:$E$158="Investment")*Events!$H$6:$H$158)</f>
        <v/>
      </c>
      <c r="T89" s="53">
        <f>(People!T89*assist_cost+Labour!AD89*talent_cost+Labour!L89*gw_admin)*Economy!H89/1000000</f>
        <v/>
      </c>
      <c r="U89" s="53">
        <f>SUMPRODUCT((Events!$B$6:$B$158&lt;=$A89)*(Events!$C$6:$C$158&gt;=$A89)*(Events!$E$6:$E$158="Purchase")*Events!$H$6:$H$158)</f>
        <v/>
      </c>
      <c r="V89" s="53">
        <f>SUMPRODUCT((Events!$B$6:$B$158&lt;=$A89)*(Events!$C$6:$C$158&gt;=$A89)*(Events!$E$6:$E$158="Subsidy &amp; guarantee")*Events!$H$6:$H$158)+SUMPRODUCT((Events!$B$6:$B$158&lt;=$A89)*(Events!$C$6:$C$158&gt;=$A89)*(Events!$E$6:$E$158="Relief")*Events!$H$6:$H$158)</f>
        <v/>
      </c>
      <c r="W89" s="53">
        <f>SUMPRODUCT((Events!$B$6:$B$158&lt;=$A89)*(Events!$C$6:$C$158&gt;=$A89)*(Events!$E$6:$E$158="Bank rescue &amp; capital")*Events!$H$6:$H$158)</f>
        <v/>
      </c>
      <c r="X89" s="53">
        <f>'Debt &amp; cash'!R88*Paths!Y89</f>
        <v/>
      </c>
      <c r="Y89" s="53">
        <f>SUM(N89:X89)</f>
        <v/>
      </c>
      <c r="Z89" s="53">
        <f>M89-Y89</f>
        <v/>
      </c>
      <c r="AA89" s="63">
        <f>M89/Economy!O89</f>
        <v/>
      </c>
      <c r="AB89" s="63">
        <f>Y89/Economy!O89</f>
        <v/>
      </c>
      <c r="AC89" s="63">
        <f>(N89+O89+P89)/Economy!O89</f>
        <v/>
      </c>
    </row>
    <row r="90">
      <c r="A90" s="58" t="n">
        <v>1930</v>
      </c>
      <c r="B90" s="53">
        <f>Economy!O90*Paths!N90*Paths!O90*cust_coll</f>
        <v/>
      </c>
      <c r="C90" s="53">
        <f>(Economy!J90+Economy!L90+Economy!M90+Economy!N90)*Paths!P90*Paths!Q90</f>
        <v/>
      </c>
      <c r="D90" s="53">
        <f>Resources!P90+Resources!Q90</f>
        <v/>
      </c>
      <c r="E90" s="53">
        <f>Paths!S90*(1-canal_opcost)*canal_share</f>
        <v/>
      </c>
      <c r="F90" s="53">
        <f>Economy!O90*Paths!R90</f>
        <v/>
      </c>
      <c r="G90" s="53">
        <f>SUMPRODUCT((Events!$B$6:$B$158&lt;=$A90)*(Events!$C$6:$C$158&gt;=$A90)*(Events!$E$6:$E$158="Receipt")*Events!$H$6:$H$158)</f>
        <v/>
      </c>
      <c r="H90" s="69">
        <f>Loans!Y90</f>
        <v/>
      </c>
      <c r="I90" s="53">
        <f>'Debt &amp; cash'!S89*fund_yield</f>
        <v/>
      </c>
      <c r="J90" s="69">
        <f>Labour!Q90</f>
        <v/>
      </c>
      <c r="K90" s="69">
        <f>Champions!BD90</f>
        <v/>
      </c>
      <c r="L90" s="69">
        <f>Abroad!N90</f>
        <v/>
      </c>
      <c r="M90" s="53">
        <f>SUM(B90:L90)</f>
        <v/>
      </c>
      <c r="N90" s="53">
        <f>(Paths!W90*army_cost+Paths!X90*res_cost)*Economy!H90/1000000</f>
        <v/>
      </c>
      <c r="O90" s="69">
        <f>Navy!Y90</f>
        <v/>
      </c>
      <c r="P90" s="53">
        <f>SUMPRODUCT((Events!$B$6:$B$158&lt;=$A90)*(Events!$C$6:$C$158&gt;=$A90)*(Events!$E$6:$E$158="War &amp; operations")*Events!$H$6:$H$158)</f>
        <v/>
      </c>
      <c r="Q90" s="53">
        <f>Economy!O90*Paths!T90</f>
        <v/>
      </c>
      <c r="R90" s="53">
        <f>Economy!O90*Paths!U90</f>
        <v/>
      </c>
      <c r="S90" s="53">
        <f>Economy!O90*Paths!V90+SUMPRODUCT((Events!$B$6:$B$158&lt;=$A90)*(Events!$C$6:$C$158&gt;=$A90)*(Events!$E$6:$E$158="Programme")*Events!$H$6:$H$158)+SUMPRODUCT((Events!$B$6:$B$158&lt;=$A90)*(Events!$C$6:$C$158&gt;=$A90)*(Events!$E$6:$E$158="Investment")*Events!$H$6:$H$158)</f>
        <v/>
      </c>
      <c r="T90" s="53">
        <f>(People!T90*assist_cost+Labour!AD90*talent_cost+Labour!L90*gw_admin)*Economy!H90/1000000</f>
        <v/>
      </c>
      <c r="U90" s="53">
        <f>SUMPRODUCT((Events!$B$6:$B$158&lt;=$A90)*(Events!$C$6:$C$158&gt;=$A90)*(Events!$E$6:$E$158="Purchase")*Events!$H$6:$H$158)</f>
        <v/>
      </c>
      <c r="V90" s="53">
        <f>SUMPRODUCT((Events!$B$6:$B$158&lt;=$A90)*(Events!$C$6:$C$158&gt;=$A90)*(Events!$E$6:$E$158="Subsidy &amp; guarantee")*Events!$H$6:$H$158)+SUMPRODUCT((Events!$B$6:$B$158&lt;=$A90)*(Events!$C$6:$C$158&gt;=$A90)*(Events!$E$6:$E$158="Relief")*Events!$H$6:$H$158)</f>
        <v/>
      </c>
      <c r="W90" s="53">
        <f>SUMPRODUCT((Events!$B$6:$B$158&lt;=$A90)*(Events!$C$6:$C$158&gt;=$A90)*(Events!$E$6:$E$158="Bank rescue &amp; capital")*Events!$H$6:$H$158)</f>
        <v/>
      </c>
      <c r="X90" s="53">
        <f>'Debt &amp; cash'!R89*Paths!Y90</f>
        <v/>
      </c>
      <c r="Y90" s="53">
        <f>SUM(N90:X90)</f>
        <v/>
      </c>
      <c r="Z90" s="53">
        <f>M90-Y90</f>
        <v/>
      </c>
      <c r="AA90" s="63">
        <f>M90/Economy!O90</f>
        <v/>
      </c>
      <c r="AB90" s="63">
        <f>Y90/Economy!O90</f>
        <v/>
      </c>
      <c r="AC90" s="63">
        <f>(N90+O90+P90)/Economy!O90</f>
        <v/>
      </c>
    </row>
    <row r="91">
      <c r="A91" s="58" t="n">
        <v>1931</v>
      </c>
      <c r="B91" s="53">
        <f>Economy!O91*Paths!N91*Paths!O91*cust_coll</f>
        <v/>
      </c>
      <c r="C91" s="53">
        <f>(Economy!J91+Economy!L91+Economy!M91+Economy!N91)*Paths!P91*Paths!Q91</f>
        <v/>
      </c>
      <c r="D91" s="53">
        <f>Resources!P91+Resources!Q91</f>
        <v/>
      </c>
      <c r="E91" s="53">
        <f>Paths!S91*(1-canal_opcost)*canal_share</f>
        <v/>
      </c>
      <c r="F91" s="53">
        <f>Economy!O91*Paths!R91</f>
        <v/>
      </c>
      <c r="G91" s="53">
        <f>SUMPRODUCT((Events!$B$6:$B$158&lt;=$A91)*(Events!$C$6:$C$158&gt;=$A91)*(Events!$E$6:$E$158="Receipt")*Events!$H$6:$H$158)</f>
        <v/>
      </c>
      <c r="H91" s="69">
        <f>Loans!Y91</f>
        <v/>
      </c>
      <c r="I91" s="53">
        <f>'Debt &amp; cash'!S90*fund_yield</f>
        <v/>
      </c>
      <c r="J91" s="69">
        <f>Labour!Q91</f>
        <v/>
      </c>
      <c r="K91" s="69">
        <f>Champions!BD91</f>
        <v/>
      </c>
      <c r="L91" s="69">
        <f>Abroad!N91</f>
        <v/>
      </c>
      <c r="M91" s="53">
        <f>SUM(B91:L91)</f>
        <v/>
      </c>
      <c r="N91" s="53">
        <f>(Paths!W91*army_cost+Paths!X91*res_cost)*Economy!H91/1000000</f>
        <v/>
      </c>
      <c r="O91" s="69">
        <f>Navy!Y91</f>
        <v/>
      </c>
      <c r="P91" s="53">
        <f>SUMPRODUCT((Events!$B$6:$B$158&lt;=$A91)*(Events!$C$6:$C$158&gt;=$A91)*(Events!$E$6:$E$158="War &amp; operations")*Events!$H$6:$H$158)</f>
        <v/>
      </c>
      <c r="Q91" s="53">
        <f>Economy!O91*Paths!T91</f>
        <v/>
      </c>
      <c r="R91" s="53">
        <f>Economy!O91*Paths!U91</f>
        <v/>
      </c>
      <c r="S91" s="53">
        <f>Economy!O91*Paths!V91+SUMPRODUCT((Events!$B$6:$B$158&lt;=$A91)*(Events!$C$6:$C$158&gt;=$A91)*(Events!$E$6:$E$158="Programme")*Events!$H$6:$H$158)+SUMPRODUCT((Events!$B$6:$B$158&lt;=$A91)*(Events!$C$6:$C$158&gt;=$A91)*(Events!$E$6:$E$158="Investment")*Events!$H$6:$H$158)</f>
        <v/>
      </c>
      <c r="T91" s="53">
        <f>(People!T91*assist_cost+Labour!AD91*talent_cost+Labour!L91*gw_admin)*Economy!H91/1000000</f>
        <v/>
      </c>
      <c r="U91" s="53">
        <f>SUMPRODUCT((Events!$B$6:$B$158&lt;=$A91)*(Events!$C$6:$C$158&gt;=$A91)*(Events!$E$6:$E$158="Purchase")*Events!$H$6:$H$158)</f>
        <v/>
      </c>
      <c r="V91" s="53">
        <f>SUMPRODUCT((Events!$B$6:$B$158&lt;=$A91)*(Events!$C$6:$C$158&gt;=$A91)*(Events!$E$6:$E$158="Subsidy &amp; guarantee")*Events!$H$6:$H$158)+SUMPRODUCT((Events!$B$6:$B$158&lt;=$A91)*(Events!$C$6:$C$158&gt;=$A91)*(Events!$E$6:$E$158="Relief")*Events!$H$6:$H$158)</f>
        <v/>
      </c>
      <c r="W91" s="53">
        <f>SUMPRODUCT((Events!$B$6:$B$158&lt;=$A91)*(Events!$C$6:$C$158&gt;=$A91)*(Events!$E$6:$E$158="Bank rescue &amp; capital")*Events!$H$6:$H$158)</f>
        <v/>
      </c>
      <c r="X91" s="53">
        <f>'Debt &amp; cash'!R90*Paths!Y91</f>
        <v/>
      </c>
      <c r="Y91" s="53">
        <f>SUM(N91:X91)</f>
        <v/>
      </c>
      <c r="Z91" s="53">
        <f>M91-Y91</f>
        <v/>
      </c>
      <c r="AA91" s="63">
        <f>M91/Economy!O91</f>
        <v/>
      </c>
      <c r="AB91" s="63">
        <f>Y91/Economy!O91</f>
        <v/>
      </c>
      <c r="AC91" s="63">
        <f>(N91+O91+P91)/Economy!O91</f>
        <v/>
      </c>
    </row>
    <row r="92">
      <c r="A92" s="58" t="n">
        <v>1932</v>
      </c>
      <c r="B92" s="53">
        <f>Economy!O92*Paths!N92*Paths!O92*cust_coll</f>
        <v/>
      </c>
      <c r="C92" s="53">
        <f>(Economy!J92+Economy!L92+Economy!M92+Economy!N92)*Paths!P92*Paths!Q92</f>
        <v/>
      </c>
      <c r="D92" s="53">
        <f>Resources!P92+Resources!Q92</f>
        <v/>
      </c>
      <c r="E92" s="53">
        <f>Paths!S92*(1-canal_opcost)*canal_share</f>
        <v/>
      </c>
      <c r="F92" s="53">
        <f>Economy!O92*Paths!R92</f>
        <v/>
      </c>
      <c r="G92" s="53">
        <f>SUMPRODUCT((Events!$B$6:$B$158&lt;=$A92)*(Events!$C$6:$C$158&gt;=$A92)*(Events!$E$6:$E$158="Receipt")*Events!$H$6:$H$158)</f>
        <v/>
      </c>
      <c r="H92" s="69">
        <f>Loans!Y92</f>
        <v/>
      </c>
      <c r="I92" s="53">
        <f>'Debt &amp; cash'!S91*fund_yield</f>
        <v/>
      </c>
      <c r="J92" s="69">
        <f>Labour!Q92</f>
        <v/>
      </c>
      <c r="K92" s="69">
        <f>Champions!BD92</f>
        <v/>
      </c>
      <c r="L92" s="69">
        <f>Abroad!N92</f>
        <v/>
      </c>
      <c r="M92" s="53">
        <f>SUM(B92:L92)</f>
        <v/>
      </c>
      <c r="N92" s="53">
        <f>(Paths!W92*army_cost+Paths!X92*res_cost)*Economy!H92/1000000</f>
        <v/>
      </c>
      <c r="O92" s="69">
        <f>Navy!Y92</f>
        <v/>
      </c>
      <c r="P92" s="53">
        <f>SUMPRODUCT((Events!$B$6:$B$158&lt;=$A92)*(Events!$C$6:$C$158&gt;=$A92)*(Events!$E$6:$E$158="War &amp; operations")*Events!$H$6:$H$158)</f>
        <v/>
      </c>
      <c r="Q92" s="53">
        <f>Economy!O92*Paths!T92</f>
        <v/>
      </c>
      <c r="R92" s="53">
        <f>Economy!O92*Paths!U92</f>
        <v/>
      </c>
      <c r="S92" s="53">
        <f>Economy!O92*Paths!V92+SUMPRODUCT((Events!$B$6:$B$158&lt;=$A92)*(Events!$C$6:$C$158&gt;=$A92)*(Events!$E$6:$E$158="Programme")*Events!$H$6:$H$158)+SUMPRODUCT((Events!$B$6:$B$158&lt;=$A92)*(Events!$C$6:$C$158&gt;=$A92)*(Events!$E$6:$E$158="Investment")*Events!$H$6:$H$158)</f>
        <v/>
      </c>
      <c r="T92" s="53">
        <f>(People!T92*assist_cost+Labour!AD92*talent_cost+Labour!L92*gw_admin)*Economy!H92/1000000</f>
        <v/>
      </c>
      <c r="U92" s="53">
        <f>SUMPRODUCT((Events!$B$6:$B$158&lt;=$A92)*(Events!$C$6:$C$158&gt;=$A92)*(Events!$E$6:$E$158="Purchase")*Events!$H$6:$H$158)</f>
        <v/>
      </c>
      <c r="V92" s="53">
        <f>SUMPRODUCT((Events!$B$6:$B$158&lt;=$A92)*(Events!$C$6:$C$158&gt;=$A92)*(Events!$E$6:$E$158="Subsidy &amp; guarantee")*Events!$H$6:$H$158)+SUMPRODUCT((Events!$B$6:$B$158&lt;=$A92)*(Events!$C$6:$C$158&gt;=$A92)*(Events!$E$6:$E$158="Relief")*Events!$H$6:$H$158)</f>
        <v/>
      </c>
      <c r="W92" s="53">
        <f>SUMPRODUCT((Events!$B$6:$B$158&lt;=$A92)*(Events!$C$6:$C$158&gt;=$A92)*(Events!$E$6:$E$158="Bank rescue &amp; capital")*Events!$H$6:$H$158)</f>
        <v/>
      </c>
      <c r="X92" s="53">
        <f>'Debt &amp; cash'!R91*Paths!Y92</f>
        <v/>
      </c>
      <c r="Y92" s="53">
        <f>SUM(N92:X92)</f>
        <v/>
      </c>
      <c r="Z92" s="53">
        <f>M92-Y92</f>
        <v/>
      </c>
      <c r="AA92" s="63">
        <f>M92/Economy!O92</f>
        <v/>
      </c>
      <c r="AB92" s="63">
        <f>Y92/Economy!O92</f>
        <v/>
      </c>
      <c r="AC92" s="63">
        <f>(N92+O92+P92)/Economy!O92</f>
        <v/>
      </c>
    </row>
  </sheetData>
  <mergeCells count="3">
    <mergeCell ref="B4:M4"/>
    <mergeCell ref="N4:Y4"/>
    <mergeCell ref="Z4:AC4"/>
  </mergeCell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tabColor rgb="00BF8F00"/>
    <outlinePr summaryBelow="1" summaryRight="1"/>
    <pageSetUpPr fitToPage="1"/>
  </sheetPr>
  <dimension ref="A1:Y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s>
  <sheetData>
    <row r="1">
      <c r="A1" s="18" t="inlineStr">
        <is>
          <t>Debt and cash</t>
        </is>
      </c>
    </row>
    <row r="2">
      <c r="A2" s="2" t="inlineStr">
        <is>
          <t>How each year's balance is financed: cash target, Reserve Fund, bonds. Closing cash always equals the target.</t>
        </is>
      </c>
    </row>
    <row r="3">
      <c r="A3" s="19" t="inlineStr">
        <is>
          <t>Years run down the page. Blue = input you can change · black = formula · green = link to another sheet. Hover a column heading for its definition.</t>
        </is>
      </c>
    </row>
    <row r="4">
      <c r="B4" s="56" t="inlineStr">
        <is>
          <t>Cash flow, $m</t>
        </is>
      </c>
      <c r="F4" s="56" t="inlineStr">
        <is>
          <t>Financing, $m</t>
        </is>
      </c>
      <c r="P4" s="56" t="inlineStr">
        <is>
          <t>Debt and assets, $m</t>
        </is>
      </c>
      <c r="V4" s="56" t="inlineStr">
        <is>
          <t>Ratios</t>
        </is>
      </c>
    </row>
    <row r="5" ht="54" customHeight="1">
      <c r="A5" s="57" t="inlineStr">
        <is>
          <t>Year</t>
        </is>
      </c>
      <c r="B5" s="6" t="inlineStr">
        <is>
          <t>Net lending abroad</t>
        </is>
      </c>
      <c r="C5" s="6" t="inlineStr">
        <is>
          <t>Scheduled debt repayment</t>
        </is>
      </c>
      <c r="D5" s="6" t="inlineStr">
        <is>
          <t>Cash before financing</t>
        </is>
      </c>
      <c r="E5" s="6" t="inlineStr">
        <is>
          <t>Cash target</t>
        </is>
      </c>
      <c r="F5" s="6" t="inlineStr">
        <is>
          <t>Drawn from Reserve Fund</t>
        </is>
      </c>
      <c r="G5" s="6" t="inlineStr">
        <is>
          <t>Borrowed (cash raised)</t>
        </is>
      </c>
      <c r="H5" s="6" t="inlineStr">
        <is>
          <t>New bonds (face value)</t>
        </is>
      </c>
      <c r="I5" s="6" t="inlineStr">
        <is>
          <t>Invested by the Development Fund</t>
        </is>
      </c>
      <c r="J5" s="6" t="inlineStr">
        <is>
          <t>Reserve above the buffer, invested</t>
        </is>
      </c>
      <c r="K5" s="6" t="inlineStr">
        <is>
          <t>Extra debt repaid from surplus</t>
        </is>
      </c>
      <c r="L5" s="6" t="inlineStr">
        <is>
          <t>Put into Reserve Fund</t>
        </is>
      </c>
      <c r="M5" s="6" t="inlineStr">
        <is>
          <t>Closing cash</t>
        </is>
      </c>
      <c r="N5" s="6" t="inlineStr">
        <is>
          <t>Development investment, all sources</t>
        </is>
      </c>
      <c r="O5" s="6" t="inlineStr">
        <is>
          <t>Development stock (memo)</t>
        </is>
      </c>
      <c r="P5" s="6" t="inlineStr">
        <is>
          <t>Debt taken over (no cash)</t>
        </is>
      </c>
      <c r="Q5" s="6" t="inlineStr">
        <is>
          <t>Bonds kept in issue (standing debt)</t>
        </is>
      </c>
      <c r="R5" s="6" t="inlineStr">
        <is>
          <t>Public debt</t>
        </is>
      </c>
      <c r="S5" s="6" t="inlineStr">
        <is>
          <t>Treasury Reserve Fund</t>
        </is>
      </c>
      <c r="T5" s="6" t="inlineStr">
        <is>
          <t>Loans abroad outstanding</t>
        </is>
      </c>
      <c r="U5" s="6" t="inlineStr">
        <is>
          <t>Net debt</t>
        </is>
      </c>
      <c r="V5" s="6" t="inlineStr">
        <is>
          <t>Debt / GDP</t>
        </is>
      </c>
      <c r="W5" s="6" t="inlineStr">
        <is>
          <t>Interest / receipts</t>
        </is>
      </c>
      <c r="X5" s="6" t="inlineStr">
        <is>
          <t>Reserve Fund / GDP</t>
        </is>
      </c>
      <c r="Y5" s="6" t="inlineStr">
        <is>
          <t>Bonds placed in the market</t>
        </is>
      </c>
    </row>
    <row r="6">
      <c r="A6" s="58" t="n">
        <v>1846</v>
      </c>
      <c r="B6" s="53">
        <f>Loans!V6-Loans!W6</f>
        <v/>
      </c>
      <c r="C6" s="53">
        <f>0</f>
        <v/>
      </c>
      <c r="D6" s="53">
        <f>opening_cash+Budget!Z6-B6-C6</f>
        <v/>
      </c>
      <c r="E6" s="53">
        <f>MAX(0.1,Budget!M6*cash_target)</f>
        <v/>
      </c>
      <c r="F6" s="53">
        <f>0</f>
        <v/>
      </c>
      <c r="G6" s="53">
        <f>MAX(0,E6-D6)</f>
        <v/>
      </c>
      <c r="H6" s="53">
        <f>G6/issue_price</f>
        <v/>
      </c>
      <c r="I6" s="53">
        <f>0</f>
        <v/>
      </c>
      <c r="J6" s="53">
        <f>0</f>
        <v/>
      </c>
      <c r="K6" s="53">
        <f>0</f>
        <v/>
      </c>
      <c r="L6" s="53">
        <f>IF(D6&gt;E6,D6-E6-I6-K6,0)</f>
        <v/>
      </c>
      <c r="M6" s="53">
        <f>D6+F6+G6-I6-K6-L6</f>
        <v/>
      </c>
      <c r="N6" s="53">
        <f>I6+J6+Q6*dev_bonds+SUMPRODUCT((Events!$B$6:$B$158&lt;=$A6)*(Events!$C$6:$C$158&gt;=$A6)*(Events!$E$6:$E$158="Investment")*Events!$H$6:$H$158)</f>
        <v/>
      </c>
      <c r="O6" s="53">
        <f>0</f>
        <v/>
      </c>
      <c r="P6" s="53">
        <f>SUMPRODUCT((Events!$B$6:$B$158&lt;=$A6)*(Events!$C$6:$C$158&gt;=$A6)*(Events!$E$6:$E$158="Debt assumed")*Events!$H$6:$H$158)</f>
        <v/>
      </c>
      <c r="Q6" s="53">
        <f>0</f>
        <v/>
      </c>
      <c r="R6" s="53">
        <f>P6+H6</f>
        <v/>
      </c>
      <c r="S6" s="53">
        <f>L6</f>
        <v/>
      </c>
      <c r="T6" s="69">
        <f>Loans!X6</f>
        <v/>
      </c>
      <c r="U6" s="53">
        <f>R6-M6-S6-T6</f>
        <v/>
      </c>
      <c r="V6" s="63">
        <f>R6/Economy!O6</f>
        <v/>
      </c>
      <c r="W6" s="63">
        <f>Budget!X6/Budget!M6</f>
        <v/>
      </c>
      <c r="X6" s="63">
        <f>S6/Economy!O6</f>
        <v/>
      </c>
      <c r="Y6" s="53">
        <f>MAX(0,H6+Q6-'Gold &amp; money'!G6)</f>
        <v/>
      </c>
    </row>
    <row r="7">
      <c r="A7" s="58" t="n">
        <v>1847</v>
      </c>
      <c r="B7" s="53">
        <f>Loans!V7-Loans!W7</f>
        <v/>
      </c>
      <c r="C7" s="53">
        <f>R6*debt_amort</f>
        <v/>
      </c>
      <c r="D7" s="53">
        <f>M6+Budget!Z7-B7-C7</f>
        <v/>
      </c>
      <c r="E7" s="53">
        <f>MAX(0.1,Budget!M7*cash_target)</f>
        <v/>
      </c>
      <c r="F7" s="53">
        <f>IF(D7&lt;E7,MIN(E7-D7,S6),0)</f>
        <v/>
      </c>
      <c r="G7" s="53">
        <f>MAX(0,E7-D7-F7)</f>
        <v/>
      </c>
      <c r="H7" s="53">
        <f>G7/issue_price</f>
        <v/>
      </c>
      <c r="I7" s="53">
        <f>IF(AND(D7&gt;E7,$A7&gt;=dev_start),(D7-E7)*dev_share,0)</f>
        <v/>
      </c>
      <c r="J7" s="53">
        <f>IF($A7&gt;=dev_start,MAX(0,S6-F7-reserve_buffer*Economy!O7),0)</f>
        <v/>
      </c>
      <c r="K7" s="53">
        <f>IF(D7&gt;E7,MIN((D7-E7-I7)*repay_share,R6-C7),0)</f>
        <v/>
      </c>
      <c r="L7" s="53">
        <f>IF(D7&gt;E7,D7-E7-I7-K7,0)</f>
        <v/>
      </c>
      <c r="M7" s="53">
        <f>D7+F7+G7-I7-K7-L7</f>
        <v/>
      </c>
      <c r="N7" s="53">
        <f>I7+J7+Q7*dev_bonds+SUMPRODUCT((Events!$B$6:$B$158&lt;=$A7)*(Events!$C$6:$C$158&gt;=$A7)*(Events!$E$6:$E$158="Investment")*Events!$H$6:$H$158)</f>
        <v/>
      </c>
      <c r="O7" s="53">
        <f>O6*(1-dev_dep)+N7</f>
        <v/>
      </c>
      <c r="P7" s="53">
        <f>SUMPRODUCT((Events!$B$6:$B$158&lt;=$A7)*(Events!$C$6:$C$158&gt;=$A7)*(Events!$E$6:$E$158="Debt assumed")*Events!$H$6:$H$158)</f>
        <v/>
      </c>
      <c r="Q7" s="53">
        <f>IF($A7&lt;1887,0,MAX(0,debt_floor*Economy!O7-(R6+P7+H7-C7-K7)))</f>
        <v/>
      </c>
      <c r="R7" s="53">
        <f>R6+P7+H7-C7-K7+Q7</f>
        <v/>
      </c>
      <c r="S7" s="53">
        <f>S6+L7-F7-J7+Q7*(1-dev_bonds)</f>
        <v/>
      </c>
      <c r="T7" s="69">
        <f>Loans!X7</f>
        <v/>
      </c>
      <c r="U7" s="53">
        <f>R7-M7-S7-T7</f>
        <v/>
      </c>
      <c r="V7" s="63">
        <f>R7/Economy!O7</f>
        <v/>
      </c>
      <c r="W7" s="63">
        <f>Budget!X7/Budget!M7</f>
        <v/>
      </c>
      <c r="X7" s="63">
        <f>S7/Economy!O7</f>
        <v/>
      </c>
      <c r="Y7" s="53">
        <f>MAX(0,H7+Q7-'Gold &amp; money'!G7)</f>
        <v/>
      </c>
    </row>
    <row r="8">
      <c r="A8" s="58" t="n">
        <v>1848</v>
      </c>
      <c r="B8" s="53">
        <f>Loans!V8-Loans!W8</f>
        <v/>
      </c>
      <c r="C8" s="53">
        <f>R7*debt_amort</f>
        <v/>
      </c>
      <c r="D8" s="53">
        <f>M7+Budget!Z8-B8-C8</f>
        <v/>
      </c>
      <c r="E8" s="53">
        <f>MAX(0.1,Budget!M8*cash_target)</f>
        <v/>
      </c>
      <c r="F8" s="53">
        <f>IF(D8&lt;E8,MIN(E8-D8,S7),0)</f>
        <v/>
      </c>
      <c r="G8" s="53">
        <f>MAX(0,E8-D8-F8)</f>
        <v/>
      </c>
      <c r="H8" s="53">
        <f>G8/issue_price</f>
        <v/>
      </c>
      <c r="I8" s="53">
        <f>IF(AND(D8&gt;E8,$A8&gt;=dev_start),(D8-E8)*dev_share,0)</f>
        <v/>
      </c>
      <c r="J8" s="53">
        <f>IF($A8&gt;=dev_start,MAX(0,S7-F8-reserve_buffer*Economy!O8),0)</f>
        <v/>
      </c>
      <c r="K8" s="53">
        <f>IF(D8&gt;E8,MIN((D8-E8-I8)*repay_share,R7-C8),0)</f>
        <v/>
      </c>
      <c r="L8" s="53">
        <f>IF(D8&gt;E8,D8-E8-I8-K8,0)</f>
        <v/>
      </c>
      <c r="M8" s="53">
        <f>D8+F8+G8-I8-K8-L8</f>
        <v/>
      </c>
      <c r="N8" s="53">
        <f>I8+J8+Q8*dev_bonds+SUMPRODUCT((Events!$B$6:$B$158&lt;=$A8)*(Events!$C$6:$C$158&gt;=$A8)*(Events!$E$6:$E$158="Investment")*Events!$H$6:$H$158)</f>
        <v/>
      </c>
      <c r="O8" s="53">
        <f>O7*(1-dev_dep)+N8</f>
        <v/>
      </c>
      <c r="P8" s="53">
        <f>SUMPRODUCT((Events!$B$6:$B$158&lt;=$A8)*(Events!$C$6:$C$158&gt;=$A8)*(Events!$E$6:$E$158="Debt assumed")*Events!$H$6:$H$158)</f>
        <v/>
      </c>
      <c r="Q8" s="53">
        <f>IF($A8&lt;1887,0,MAX(0,debt_floor*Economy!O8-(R7+P8+H8-C8-K8)))</f>
        <v/>
      </c>
      <c r="R8" s="53">
        <f>R7+P8+H8-C8-K8+Q8</f>
        <v/>
      </c>
      <c r="S8" s="53">
        <f>S7+L8-F8-J8+Q8*(1-dev_bonds)</f>
        <v/>
      </c>
      <c r="T8" s="69">
        <f>Loans!X8</f>
        <v/>
      </c>
      <c r="U8" s="53">
        <f>R8-M8-S8-T8</f>
        <v/>
      </c>
      <c r="V8" s="63">
        <f>R8/Economy!O8</f>
        <v/>
      </c>
      <c r="W8" s="63">
        <f>Budget!X8/Budget!M8</f>
        <v/>
      </c>
      <c r="X8" s="63">
        <f>S8/Economy!O8</f>
        <v/>
      </c>
      <c r="Y8" s="53">
        <f>MAX(0,H8+Q8-'Gold &amp; money'!G8)</f>
        <v/>
      </c>
    </row>
    <row r="9">
      <c r="A9" s="58" t="n">
        <v>1849</v>
      </c>
      <c r="B9" s="53">
        <f>Loans!V9-Loans!W9</f>
        <v/>
      </c>
      <c r="C9" s="53">
        <f>R8*debt_amort</f>
        <v/>
      </c>
      <c r="D9" s="53">
        <f>M8+Budget!Z9-B9-C9</f>
        <v/>
      </c>
      <c r="E9" s="53">
        <f>MAX(0.1,Budget!M9*cash_target)</f>
        <v/>
      </c>
      <c r="F9" s="53">
        <f>IF(D9&lt;E9,MIN(E9-D9,S8),0)</f>
        <v/>
      </c>
      <c r="G9" s="53">
        <f>MAX(0,E9-D9-F9)</f>
        <v/>
      </c>
      <c r="H9" s="53">
        <f>G9/issue_price</f>
        <v/>
      </c>
      <c r="I9" s="53">
        <f>IF(AND(D9&gt;E9,$A9&gt;=dev_start),(D9-E9)*dev_share,0)</f>
        <v/>
      </c>
      <c r="J9" s="53">
        <f>IF($A9&gt;=dev_start,MAX(0,S8-F9-reserve_buffer*Economy!O9),0)</f>
        <v/>
      </c>
      <c r="K9" s="53">
        <f>IF(D9&gt;E9,MIN((D9-E9-I9)*repay_share,R8-C9),0)</f>
        <v/>
      </c>
      <c r="L9" s="53">
        <f>IF(D9&gt;E9,D9-E9-I9-K9,0)</f>
        <v/>
      </c>
      <c r="M9" s="53">
        <f>D9+F9+G9-I9-K9-L9</f>
        <v/>
      </c>
      <c r="N9" s="53">
        <f>I9+J9+Q9*dev_bonds+SUMPRODUCT((Events!$B$6:$B$158&lt;=$A9)*(Events!$C$6:$C$158&gt;=$A9)*(Events!$E$6:$E$158="Investment")*Events!$H$6:$H$158)</f>
        <v/>
      </c>
      <c r="O9" s="53">
        <f>O8*(1-dev_dep)+N9</f>
        <v/>
      </c>
      <c r="P9" s="53">
        <f>SUMPRODUCT((Events!$B$6:$B$158&lt;=$A9)*(Events!$C$6:$C$158&gt;=$A9)*(Events!$E$6:$E$158="Debt assumed")*Events!$H$6:$H$158)</f>
        <v/>
      </c>
      <c r="Q9" s="53">
        <f>IF($A9&lt;1887,0,MAX(0,debt_floor*Economy!O9-(R8+P9+H9-C9-K9)))</f>
        <v/>
      </c>
      <c r="R9" s="53">
        <f>R8+P9+H9-C9-K9+Q9</f>
        <v/>
      </c>
      <c r="S9" s="53">
        <f>S8+L9-F9-J9+Q9*(1-dev_bonds)</f>
        <v/>
      </c>
      <c r="T9" s="69">
        <f>Loans!X9</f>
        <v/>
      </c>
      <c r="U9" s="53">
        <f>R9-M9-S9-T9</f>
        <v/>
      </c>
      <c r="V9" s="63">
        <f>R9/Economy!O9</f>
        <v/>
      </c>
      <c r="W9" s="63">
        <f>Budget!X9/Budget!M9</f>
        <v/>
      </c>
      <c r="X9" s="63">
        <f>S9/Economy!O9</f>
        <v/>
      </c>
      <c r="Y9" s="53">
        <f>MAX(0,H9+Q9-'Gold &amp; money'!G9)</f>
        <v/>
      </c>
    </row>
    <row r="10">
      <c r="A10" s="58" t="n">
        <v>1850</v>
      </c>
      <c r="B10" s="53">
        <f>Loans!V10-Loans!W10</f>
        <v/>
      </c>
      <c r="C10" s="53">
        <f>R9*debt_amort</f>
        <v/>
      </c>
      <c r="D10" s="53">
        <f>M9+Budget!Z10-B10-C10</f>
        <v/>
      </c>
      <c r="E10" s="53">
        <f>MAX(0.1,Budget!M10*cash_target)</f>
        <v/>
      </c>
      <c r="F10" s="53">
        <f>IF(D10&lt;E10,MIN(E10-D10,S9),0)</f>
        <v/>
      </c>
      <c r="G10" s="53">
        <f>MAX(0,E10-D10-F10)</f>
        <v/>
      </c>
      <c r="H10" s="53">
        <f>G10/issue_price</f>
        <v/>
      </c>
      <c r="I10" s="53">
        <f>IF(AND(D10&gt;E10,$A10&gt;=dev_start),(D10-E10)*dev_share,0)</f>
        <v/>
      </c>
      <c r="J10" s="53">
        <f>IF($A10&gt;=dev_start,MAX(0,S9-F10-reserve_buffer*Economy!O10),0)</f>
        <v/>
      </c>
      <c r="K10" s="53">
        <f>IF(D10&gt;E10,MIN((D10-E10-I10)*repay_share,R9-C10),0)</f>
        <v/>
      </c>
      <c r="L10" s="53">
        <f>IF(D10&gt;E10,D10-E10-I10-K10,0)</f>
        <v/>
      </c>
      <c r="M10" s="53">
        <f>D10+F10+G10-I10-K10-L10</f>
        <v/>
      </c>
      <c r="N10" s="53">
        <f>I10+J10+Q10*dev_bonds+SUMPRODUCT((Events!$B$6:$B$158&lt;=$A10)*(Events!$C$6:$C$158&gt;=$A10)*(Events!$E$6:$E$158="Investment")*Events!$H$6:$H$158)</f>
        <v/>
      </c>
      <c r="O10" s="53">
        <f>O9*(1-dev_dep)+N10</f>
        <v/>
      </c>
      <c r="P10" s="53">
        <f>SUMPRODUCT((Events!$B$6:$B$158&lt;=$A10)*(Events!$C$6:$C$158&gt;=$A10)*(Events!$E$6:$E$158="Debt assumed")*Events!$H$6:$H$158)</f>
        <v/>
      </c>
      <c r="Q10" s="53">
        <f>IF($A10&lt;1887,0,MAX(0,debt_floor*Economy!O10-(R9+P10+H10-C10-K10)))</f>
        <v/>
      </c>
      <c r="R10" s="53">
        <f>R9+P10+H10-C10-K10+Q10</f>
        <v/>
      </c>
      <c r="S10" s="53">
        <f>S9+L10-F10-J10+Q10*(1-dev_bonds)</f>
        <v/>
      </c>
      <c r="T10" s="69">
        <f>Loans!X10</f>
        <v/>
      </c>
      <c r="U10" s="53">
        <f>R10-M10-S10-T10</f>
        <v/>
      </c>
      <c r="V10" s="63">
        <f>R10/Economy!O10</f>
        <v/>
      </c>
      <c r="W10" s="63">
        <f>Budget!X10/Budget!M10</f>
        <v/>
      </c>
      <c r="X10" s="63">
        <f>S10/Economy!O10</f>
        <v/>
      </c>
      <c r="Y10" s="53">
        <f>MAX(0,H10+Q10-'Gold &amp; money'!G10)</f>
        <v/>
      </c>
    </row>
    <row r="11">
      <c r="A11" s="58" t="n">
        <v>1851</v>
      </c>
      <c r="B11" s="53">
        <f>Loans!V11-Loans!W11</f>
        <v/>
      </c>
      <c r="C11" s="53">
        <f>R10*debt_amort</f>
        <v/>
      </c>
      <c r="D11" s="53">
        <f>M10+Budget!Z11-B11-C11</f>
        <v/>
      </c>
      <c r="E11" s="53">
        <f>MAX(0.1,Budget!M11*cash_target)</f>
        <v/>
      </c>
      <c r="F11" s="53">
        <f>IF(D11&lt;E11,MIN(E11-D11,S10),0)</f>
        <v/>
      </c>
      <c r="G11" s="53">
        <f>MAX(0,E11-D11-F11)</f>
        <v/>
      </c>
      <c r="H11" s="53">
        <f>G11/issue_price</f>
        <v/>
      </c>
      <c r="I11" s="53">
        <f>IF(AND(D11&gt;E11,$A11&gt;=dev_start),(D11-E11)*dev_share,0)</f>
        <v/>
      </c>
      <c r="J11" s="53">
        <f>IF($A11&gt;=dev_start,MAX(0,S10-F11-reserve_buffer*Economy!O11),0)</f>
        <v/>
      </c>
      <c r="K11" s="53">
        <f>IF(D11&gt;E11,MIN((D11-E11-I11)*repay_share,R10-C11),0)</f>
        <v/>
      </c>
      <c r="L11" s="53">
        <f>IF(D11&gt;E11,D11-E11-I11-K11,0)</f>
        <v/>
      </c>
      <c r="M11" s="53">
        <f>D11+F11+G11-I11-K11-L11</f>
        <v/>
      </c>
      <c r="N11" s="53">
        <f>I11+J11+Q11*dev_bonds+SUMPRODUCT((Events!$B$6:$B$158&lt;=$A11)*(Events!$C$6:$C$158&gt;=$A11)*(Events!$E$6:$E$158="Investment")*Events!$H$6:$H$158)</f>
        <v/>
      </c>
      <c r="O11" s="53">
        <f>O10*(1-dev_dep)+N11</f>
        <v/>
      </c>
      <c r="P11" s="53">
        <f>SUMPRODUCT((Events!$B$6:$B$158&lt;=$A11)*(Events!$C$6:$C$158&gt;=$A11)*(Events!$E$6:$E$158="Debt assumed")*Events!$H$6:$H$158)</f>
        <v/>
      </c>
      <c r="Q11" s="53">
        <f>IF($A11&lt;1887,0,MAX(0,debt_floor*Economy!O11-(R10+P11+H11-C11-K11)))</f>
        <v/>
      </c>
      <c r="R11" s="53">
        <f>R10+P11+H11-C11-K11+Q11</f>
        <v/>
      </c>
      <c r="S11" s="53">
        <f>S10+L11-F11-J11+Q11*(1-dev_bonds)</f>
        <v/>
      </c>
      <c r="T11" s="69">
        <f>Loans!X11</f>
        <v/>
      </c>
      <c r="U11" s="53">
        <f>R11-M11-S11-T11</f>
        <v/>
      </c>
      <c r="V11" s="63">
        <f>R11/Economy!O11</f>
        <v/>
      </c>
      <c r="W11" s="63">
        <f>Budget!X11/Budget!M11</f>
        <v/>
      </c>
      <c r="X11" s="63">
        <f>S11/Economy!O11</f>
        <v/>
      </c>
      <c r="Y11" s="53">
        <f>MAX(0,H11+Q11-'Gold &amp; money'!G11)</f>
        <v/>
      </c>
    </row>
    <row r="12">
      <c r="A12" s="58" t="n">
        <v>1852</v>
      </c>
      <c r="B12" s="53">
        <f>Loans!V12-Loans!W12</f>
        <v/>
      </c>
      <c r="C12" s="53">
        <f>R11*debt_amort</f>
        <v/>
      </c>
      <c r="D12" s="53">
        <f>M11+Budget!Z12-B12-C12</f>
        <v/>
      </c>
      <c r="E12" s="53">
        <f>MAX(0.1,Budget!M12*cash_target)</f>
        <v/>
      </c>
      <c r="F12" s="53">
        <f>IF(D12&lt;E12,MIN(E12-D12,S11),0)</f>
        <v/>
      </c>
      <c r="G12" s="53">
        <f>MAX(0,E12-D12-F12)</f>
        <v/>
      </c>
      <c r="H12" s="53">
        <f>G12/issue_price</f>
        <v/>
      </c>
      <c r="I12" s="53">
        <f>IF(AND(D12&gt;E12,$A12&gt;=dev_start),(D12-E12)*dev_share,0)</f>
        <v/>
      </c>
      <c r="J12" s="53">
        <f>IF($A12&gt;=dev_start,MAX(0,S11-F12-reserve_buffer*Economy!O12),0)</f>
        <v/>
      </c>
      <c r="K12" s="53">
        <f>IF(D12&gt;E12,MIN((D12-E12-I12)*repay_share,R11-C12),0)</f>
        <v/>
      </c>
      <c r="L12" s="53">
        <f>IF(D12&gt;E12,D12-E12-I12-K12,0)</f>
        <v/>
      </c>
      <c r="M12" s="53">
        <f>D12+F12+G12-I12-K12-L12</f>
        <v/>
      </c>
      <c r="N12" s="53">
        <f>I12+J12+Q12*dev_bonds+SUMPRODUCT((Events!$B$6:$B$158&lt;=$A12)*(Events!$C$6:$C$158&gt;=$A12)*(Events!$E$6:$E$158="Investment")*Events!$H$6:$H$158)</f>
        <v/>
      </c>
      <c r="O12" s="53">
        <f>O11*(1-dev_dep)+N12</f>
        <v/>
      </c>
      <c r="P12" s="53">
        <f>SUMPRODUCT((Events!$B$6:$B$158&lt;=$A12)*(Events!$C$6:$C$158&gt;=$A12)*(Events!$E$6:$E$158="Debt assumed")*Events!$H$6:$H$158)</f>
        <v/>
      </c>
      <c r="Q12" s="53">
        <f>IF($A12&lt;1887,0,MAX(0,debt_floor*Economy!O12-(R11+P12+H12-C12-K12)))</f>
        <v/>
      </c>
      <c r="R12" s="53">
        <f>R11+P12+H12-C12-K12+Q12</f>
        <v/>
      </c>
      <c r="S12" s="53">
        <f>S11+L12-F12-J12+Q12*(1-dev_bonds)</f>
        <v/>
      </c>
      <c r="T12" s="69">
        <f>Loans!X12</f>
        <v/>
      </c>
      <c r="U12" s="53">
        <f>R12-M12-S12-T12</f>
        <v/>
      </c>
      <c r="V12" s="63">
        <f>R12/Economy!O12</f>
        <v/>
      </c>
      <c r="W12" s="63">
        <f>Budget!X12/Budget!M12</f>
        <v/>
      </c>
      <c r="X12" s="63">
        <f>S12/Economy!O12</f>
        <v/>
      </c>
      <c r="Y12" s="53">
        <f>MAX(0,H12+Q12-'Gold &amp; money'!G12)</f>
        <v/>
      </c>
    </row>
    <row r="13">
      <c r="A13" s="58" t="n">
        <v>1853</v>
      </c>
      <c r="B13" s="53">
        <f>Loans!V13-Loans!W13</f>
        <v/>
      </c>
      <c r="C13" s="53">
        <f>R12*debt_amort</f>
        <v/>
      </c>
      <c r="D13" s="53">
        <f>M12+Budget!Z13-B13-C13</f>
        <v/>
      </c>
      <c r="E13" s="53">
        <f>MAX(0.1,Budget!M13*cash_target)</f>
        <v/>
      </c>
      <c r="F13" s="53">
        <f>IF(D13&lt;E13,MIN(E13-D13,S12),0)</f>
        <v/>
      </c>
      <c r="G13" s="53">
        <f>MAX(0,E13-D13-F13)</f>
        <v/>
      </c>
      <c r="H13" s="53">
        <f>G13/issue_price</f>
        <v/>
      </c>
      <c r="I13" s="53">
        <f>IF(AND(D13&gt;E13,$A13&gt;=dev_start),(D13-E13)*dev_share,0)</f>
        <v/>
      </c>
      <c r="J13" s="53">
        <f>IF($A13&gt;=dev_start,MAX(0,S12-F13-reserve_buffer*Economy!O13),0)</f>
        <v/>
      </c>
      <c r="K13" s="53">
        <f>IF(D13&gt;E13,MIN((D13-E13-I13)*repay_share,R12-C13),0)</f>
        <v/>
      </c>
      <c r="L13" s="53">
        <f>IF(D13&gt;E13,D13-E13-I13-K13,0)</f>
        <v/>
      </c>
      <c r="M13" s="53">
        <f>D13+F13+G13-I13-K13-L13</f>
        <v/>
      </c>
      <c r="N13" s="53">
        <f>I13+J13+Q13*dev_bonds+SUMPRODUCT((Events!$B$6:$B$158&lt;=$A13)*(Events!$C$6:$C$158&gt;=$A13)*(Events!$E$6:$E$158="Investment")*Events!$H$6:$H$158)</f>
        <v/>
      </c>
      <c r="O13" s="53">
        <f>O12*(1-dev_dep)+N13</f>
        <v/>
      </c>
      <c r="P13" s="53">
        <f>SUMPRODUCT((Events!$B$6:$B$158&lt;=$A13)*(Events!$C$6:$C$158&gt;=$A13)*(Events!$E$6:$E$158="Debt assumed")*Events!$H$6:$H$158)</f>
        <v/>
      </c>
      <c r="Q13" s="53">
        <f>IF($A13&lt;1887,0,MAX(0,debt_floor*Economy!O13-(R12+P13+H13-C13-K13)))</f>
        <v/>
      </c>
      <c r="R13" s="53">
        <f>R12+P13+H13-C13-K13+Q13</f>
        <v/>
      </c>
      <c r="S13" s="53">
        <f>S12+L13-F13-J13+Q13*(1-dev_bonds)</f>
        <v/>
      </c>
      <c r="T13" s="69">
        <f>Loans!X13</f>
        <v/>
      </c>
      <c r="U13" s="53">
        <f>R13-M13-S13-T13</f>
        <v/>
      </c>
      <c r="V13" s="63">
        <f>R13/Economy!O13</f>
        <v/>
      </c>
      <c r="W13" s="63">
        <f>Budget!X13/Budget!M13</f>
        <v/>
      </c>
      <c r="X13" s="63">
        <f>S13/Economy!O13</f>
        <v/>
      </c>
      <c r="Y13" s="53">
        <f>MAX(0,H13+Q13-'Gold &amp; money'!G13)</f>
        <v/>
      </c>
    </row>
    <row r="14">
      <c r="A14" s="58" t="n">
        <v>1854</v>
      </c>
      <c r="B14" s="53">
        <f>Loans!V14-Loans!W14</f>
        <v/>
      </c>
      <c r="C14" s="53">
        <f>R13*debt_amort</f>
        <v/>
      </c>
      <c r="D14" s="53">
        <f>M13+Budget!Z14-B14-C14</f>
        <v/>
      </c>
      <c r="E14" s="53">
        <f>MAX(0.1,Budget!M14*cash_target)</f>
        <v/>
      </c>
      <c r="F14" s="53">
        <f>IF(D14&lt;E14,MIN(E14-D14,S13),0)</f>
        <v/>
      </c>
      <c r="G14" s="53">
        <f>MAX(0,E14-D14-F14)</f>
        <v/>
      </c>
      <c r="H14" s="53">
        <f>G14/issue_price</f>
        <v/>
      </c>
      <c r="I14" s="53">
        <f>IF(AND(D14&gt;E14,$A14&gt;=dev_start),(D14-E14)*dev_share,0)</f>
        <v/>
      </c>
      <c r="J14" s="53">
        <f>IF($A14&gt;=dev_start,MAX(0,S13-F14-reserve_buffer*Economy!O14),0)</f>
        <v/>
      </c>
      <c r="K14" s="53">
        <f>IF(D14&gt;E14,MIN((D14-E14-I14)*repay_share,R13-C14),0)</f>
        <v/>
      </c>
      <c r="L14" s="53">
        <f>IF(D14&gt;E14,D14-E14-I14-K14,0)</f>
        <v/>
      </c>
      <c r="M14" s="53">
        <f>D14+F14+G14-I14-K14-L14</f>
        <v/>
      </c>
      <c r="N14" s="53">
        <f>I14+J14+Q14*dev_bonds+SUMPRODUCT((Events!$B$6:$B$158&lt;=$A14)*(Events!$C$6:$C$158&gt;=$A14)*(Events!$E$6:$E$158="Investment")*Events!$H$6:$H$158)</f>
        <v/>
      </c>
      <c r="O14" s="53">
        <f>O13*(1-dev_dep)+N14</f>
        <v/>
      </c>
      <c r="P14" s="53">
        <f>SUMPRODUCT((Events!$B$6:$B$158&lt;=$A14)*(Events!$C$6:$C$158&gt;=$A14)*(Events!$E$6:$E$158="Debt assumed")*Events!$H$6:$H$158)</f>
        <v/>
      </c>
      <c r="Q14" s="53">
        <f>IF($A14&lt;1887,0,MAX(0,debt_floor*Economy!O14-(R13+P14+H14-C14-K14)))</f>
        <v/>
      </c>
      <c r="R14" s="53">
        <f>R13+P14+H14-C14-K14+Q14</f>
        <v/>
      </c>
      <c r="S14" s="53">
        <f>S13+L14-F14-J14+Q14*(1-dev_bonds)</f>
        <v/>
      </c>
      <c r="T14" s="69">
        <f>Loans!X14</f>
        <v/>
      </c>
      <c r="U14" s="53">
        <f>R14-M14-S14-T14</f>
        <v/>
      </c>
      <c r="V14" s="63">
        <f>R14/Economy!O14</f>
        <v/>
      </c>
      <c r="W14" s="63">
        <f>Budget!X14/Budget!M14</f>
        <v/>
      </c>
      <c r="X14" s="63">
        <f>S14/Economy!O14</f>
        <v/>
      </c>
      <c r="Y14" s="53">
        <f>MAX(0,H14+Q14-'Gold &amp; money'!G14)</f>
        <v/>
      </c>
    </row>
    <row r="15">
      <c r="A15" s="58" t="n">
        <v>1855</v>
      </c>
      <c r="B15" s="53">
        <f>Loans!V15-Loans!W15</f>
        <v/>
      </c>
      <c r="C15" s="53">
        <f>R14*debt_amort</f>
        <v/>
      </c>
      <c r="D15" s="53">
        <f>M14+Budget!Z15-B15-C15</f>
        <v/>
      </c>
      <c r="E15" s="53">
        <f>MAX(0.1,Budget!M15*cash_target)</f>
        <v/>
      </c>
      <c r="F15" s="53">
        <f>IF(D15&lt;E15,MIN(E15-D15,S14),0)</f>
        <v/>
      </c>
      <c r="G15" s="53">
        <f>MAX(0,E15-D15-F15)</f>
        <v/>
      </c>
      <c r="H15" s="53">
        <f>G15/issue_price</f>
        <v/>
      </c>
      <c r="I15" s="53">
        <f>IF(AND(D15&gt;E15,$A15&gt;=dev_start),(D15-E15)*dev_share,0)</f>
        <v/>
      </c>
      <c r="J15" s="53">
        <f>IF($A15&gt;=dev_start,MAX(0,S14-F15-reserve_buffer*Economy!O15),0)</f>
        <v/>
      </c>
      <c r="K15" s="53">
        <f>IF(D15&gt;E15,MIN((D15-E15-I15)*repay_share,R14-C15),0)</f>
        <v/>
      </c>
      <c r="L15" s="53">
        <f>IF(D15&gt;E15,D15-E15-I15-K15,0)</f>
        <v/>
      </c>
      <c r="M15" s="53">
        <f>D15+F15+G15-I15-K15-L15</f>
        <v/>
      </c>
      <c r="N15" s="53">
        <f>I15+J15+Q15*dev_bonds+SUMPRODUCT((Events!$B$6:$B$158&lt;=$A15)*(Events!$C$6:$C$158&gt;=$A15)*(Events!$E$6:$E$158="Investment")*Events!$H$6:$H$158)</f>
        <v/>
      </c>
      <c r="O15" s="53">
        <f>O14*(1-dev_dep)+N15</f>
        <v/>
      </c>
      <c r="P15" s="53">
        <f>SUMPRODUCT((Events!$B$6:$B$158&lt;=$A15)*(Events!$C$6:$C$158&gt;=$A15)*(Events!$E$6:$E$158="Debt assumed")*Events!$H$6:$H$158)</f>
        <v/>
      </c>
      <c r="Q15" s="53">
        <f>IF($A15&lt;1887,0,MAX(0,debt_floor*Economy!O15-(R14+P15+H15-C15-K15)))</f>
        <v/>
      </c>
      <c r="R15" s="53">
        <f>R14+P15+H15-C15-K15+Q15</f>
        <v/>
      </c>
      <c r="S15" s="53">
        <f>S14+L15-F15-J15+Q15*(1-dev_bonds)</f>
        <v/>
      </c>
      <c r="T15" s="69">
        <f>Loans!X15</f>
        <v/>
      </c>
      <c r="U15" s="53">
        <f>R15-M15-S15-T15</f>
        <v/>
      </c>
      <c r="V15" s="63">
        <f>R15/Economy!O15</f>
        <v/>
      </c>
      <c r="W15" s="63">
        <f>Budget!X15/Budget!M15</f>
        <v/>
      </c>
      <c r="X15" s="63">
        <f>S15/Economy!O15</f>
        <v/>
      </c>
      <c r="Y15" s="53">
        <f>MAX(0,H15+Q15-'Gold &amp; money'!G15)</f>
        <v/>
      </c>
    </row>
    <row r="16">
      <c r="A16" s="58" t="n">
        <v>1856</v>
      </c>
      <c r="B16" s="53">
        <f>Loans!V16-Loans!W16</f>
        <v/>
      </c>
      <c r="C16" s="53">
        <f>R15*debt_amort</f>
        <v/>
      </c>
      <c r="D16" s="53">
        <f>M15+Budget!Z16-B16-C16</f>
        <v/>
      </c>
      <c r="E16" s="53">
        <f>MAX(0.1,Budget!M16*cash_target)</f>
        <v/>
      </c>
      <c r="F16" s="53">
        <f>IF(D16&lt;E16,MIN(E16-D16,S15),0)</f>
        <v/>
      </c>
      <c r="G16" s="53">
        <f>MAX(0,E16-D16-F16)</f>
        <v/>
      </c>
      <c r="H16" s="53">
        <f>G16/issue_price</f>
        <v/>
      </c>
      <c r="I16" s="53">
        <f>IF(AND(D16&gt;E16,$A16&gt;=dev_start),(D16-E16)*dev_share,0)</f>
        <v/>
      </c>
      <c r="J16" s="53">
        <f>IF($A16&gt;=dev_start,MAX(0,S15-F16-reserve_buffer*Economy!O16),0)</f>
        <v/>
      </c>
      <c r="K16" s="53">
        <f>IF(D16&gt;E16,MIN((D16-E16-I16)*repay_share,R15-C16),0)</f>
        <v/>
      </c>
      <c r="L16" s="53">
        <f>IF(D16&gt;E16,D16-E16-I16-K16,0)</f>
        <v/>
      </c>
      <c r="M16" s="53">
        <f>D16+F16+G16-I16-K16-L16</f>
        <v/>
      </c>
      <c r="N16" s="53">
        <f>I16+J16+Q16*dev_bonds+SUMPRODUCT((Events!$B$6:$B$158&lt;=$A16)*(Events!$C$6:$C$158&gt;=$A16)*(Events!$E$6:$E$158="Investment")*Events!$H$6:$H$158)</f>
        <v/>
      </c>
      <c r="O16" s="53">
        <f>O15*(1-dev_dep)+N16</f>
        <v/>
      </c>
      <c r="P16" s="53">
        <f>SUMPRODUCT((Events!$B$6:$B$158&lt;=$A16)*(Events!$C$6:$C$158&gt;=$A16)*(Events!$E$6:$E$158="Debt assumed")*Events!$H$6:$H$158)</f>
        <v/>
      </c>
      <c r="Q16" s="53">
        <f>IF($A16&lt;1887,0,MAX(0,debt_floor*Economy!O16-(R15+P16+H16-C16-K16)))</f>
        <v/>
      </c>
      <c r="R16" s="53">
        <f>R15+P16+H16-C16-K16+Q16</f>
        <v/>
      </c>
      <c r="S16" s="53">
        <f>S15+L16-F16-J16+Q16*(1-dev_bonds)</f>
        <v/>
      </c>
      <c r="T16" s="69">
        <f>Loans!X16</f>
        <v/>
      </c>
      <c r="U16" s="53">
        <f>R16-M16-S16-T16</f>
        <v/>
      </c>
      <c r="V16" s="63">
        <f>R16/Economy!O16</f>
        <v/>
      </c>
      <c r="W16" s="63">
        <f>Budget!X16/Budget!M16</f>
        <v/>
      </c>
      <c r="X16" s="63">
        <f>S16/Economy!O16</f>
        <v/>
      </c>
      <c r="Y16" s="53">
        <f>MAX(0,H16+Q16-'Gold &amp; money'!G16)</f>
        <v/>
      </c>
    </row>
    <row r="17">
      <c r="A17" s="58" t="n">
        <v>1857</v>
      </c>
      <c r="B17" s="53">
        <f>Loans!V17-Loans!W17</f>
        <v/>
      </c>
      <c r="C17" s="53">
        <f>R16*debt_amort</f>
        <v/>
      </c>
      <c r="D17" s="53">
        <f>M16+Budget!Z17-B17-C17</f>
        <v/>
      </c>
      <c r="E17" s="53">
        <f>MAX(0.1,Budget!M17*cash_target)</f>
        <v/>
      </c>
      <c r="F17" s="53">
        <f>IF(D17&lt;E17,MIN(E17-D17,S16),0)</f>
        <v/>
      </c>
      <c r="G17" s="53">
        <f>MAX(0,E17-D17-F17)</f>
        <v/>
      </c>
      <c r="H17" s="53">
        <f>G17/issue_price</f>
        <v/>
      </c>
      <c r="I17" s="53">
        <f>IF(AND(D17&gt;E17,$A17&gt;=dev_start),(D17-E17)*dev_share,0)</f>
        <v/>
      </c>
      <c r="J17" s="53">
        <f>IF($A17&gt;=dev_start,MAX(0,S16-F17-reserve_buffer*Economy!O17),0)</f>
        <v/>
      </c>
      <c r="K17" s="53">
        <f>IF(D17&gt;E17,MIN((D17-E17-I17)*repay_share,R16-C17),0)</f>
        <v/>
      </c>
      <c r="L17" s="53">
        <f>IF(D17&gt;E17,D17-E17-I17-K17,0)</f>
        <v/>
      </c>
      <c r="M17" s="53">
        <f>D17+F17+G17-I17-K17-L17</f>
        <v/>
      </c>
      <c r="N17" s="53">
        <f>I17+J17+Q17*dev_bonds+SUMPRODUCT((Events!$B$6:$B$158&lt;=$A17)*(Events!$C$6:$C$158&gt;=$A17)*(Events!$E$6:$E$158="Investment")*Events!$H$6:$H$158)</f>
        <v/>
      </c>
      <c r="O17" s="53">
        <f>O16*(1-dev_dep)+N17</f>
        <v/>
      </c>
      <c r="P17" s="53">
        <f>SUMPRODUCT((Events!$B$6:$B$158&lt;=$A17)*(Events!$C$6:$C$158&gt;=$A17)*(Events!$E$6:$E$158="Debt assumed")*Events!$H$6:$H$158)</f>
        <v/>
      </c>
      <c r="Q17" s="53">
        <f>IF($A17&lt;1887,0,MAX(0,debt_floor*Economy!O17-(R16+P17+H17-C17-K17)))</f>
        <v/>
      </c>
      <c r="R17" s="53">
        <f>R16+P17+H17-C17-K17+Q17</f>
        <v/>
      </c>
      <c r="S17" s="53">
        <f>S16+L17-F17-J17+Q17*(1-dev_bonds)</f>
        <v/>
      </c>
      <c r="T17" s="69">
        <f>Loans!X17</f>
        <v/>
      </c>
      <c r="U17" s="53">
        <f>R17-M17-S17-T17</f>
        <v/>
      </c>
      <c r="V17" s="63">
        <f>R17/Economy!O17</f>
        <v/>
      </c>
      <c r="W17" s="63">
        <f>Budget!X17/Budget!M17</f>
        <v/>
      </c>
      <c r="X17" s="63">
        <f>S17/Economy!O17</f>
        <v/>
      </c>
      <c r="Y17" s="53">
        <f>MAX(0,H17+Q17-'Gold &amp; money'!G17)</f>
        <v/>
      </c>
    </row>
    <row r="18">
      <c r="A18" s="58" t="n">
        <v>1858</v>
      </c>
      <c r="B18" s="53">
        <f>Loans!V18-Loans!W18</f>
        <v/>
      </c>
      <c r="C18" s="53">
        <f>R17*debt_amort</f>
        <v/>
      </c>
      <c r="D18" s="53">
        <f>M17+Budget!Z18-B18-C18</f>
        <v/>
      </c>
      <c r="E18" s="53">
        <f>MAX(0.1,Budget!M18*cash_target)</f>
        <v/>
      </c>
      <c r="F18" s="53">
        <f>IF(D18&lt;E18,MIN(E18-D18,S17),0)</f>
        <v/>
      </c>
      <c r="G18" s="53">
        <f>MAX(0,E18-D18-F18)</f>
        <v/>
      </c>
      <c r="H18" s="53">
        <f>G18/issue_price</f>
        <v/>
      </c>
      <c r="I18" s="53">
        <f>IF(AND(D18&gt;E18,$A18&gt;=dev_start),(D18-E18)*dev_share,0)</f>
        <v/>
      </c>
      <c r="J18" s="53">
        <f>IF($A18&gt;=dev_start,MAX(0,S17-F18-reserve_buffer*Economy!O18),0)</f>
        <v/>
      </c>
      <c r="K18" s="53">
        <f>IF(D18&gt;E18,MIN((D18-E18-I18)*repay_share,R17-C18),0)</f>
        <v/>
      </c>
      <c r="L18" s="53">
        <f>IF(D18&gt;E18,D18-E18-I18-K18,0)</f>
        <v/>
      </c>
      <c r="M18" s="53">
        <f>D18+F18+G18-I18-K18-L18</f>
        <v/>
      </c>
      <c r="N18" s="53">
        <f>I18+J18+Q18*dev_bonds+SUMPRODUCT((Events!$B$6:$B$158&lt;=$A18)*(Events!$C$6:$C$158&gt;=$A18)*(Events!$E$6:$E$158="Investment")*Events!$H$6:$H$158)</f>
        <v/>
      </c>
      <c r="O18" s="53">
        <f>O17*(1-dev_dep)+N18</f>
        <v/>
      </c>
      <c r="P18" s="53">
        <f>SUMPRODUCT((Events!$B$6:$B$158&lt;=$A18)*(Events!$C$6:$C$158&gt;=$A18)*(Events!$E$6:$E$158="Debt assumed")*Events!$H$6:$H$158)</f>
        <v/>
      </c>
      <c r="Q18" s="53">
        <f>IF($A18&lt;1887,0,MAX(0,debt_floor*Economy!O18-(R17+P18+H18-C18-K18)))</f>
        <v/>
      </c>
      <c r="R18" s="53">
        <f>R17+P18+H18-C18-K18+Q18</f>
        <v/>
      </c>
      <c r="S18" s="53">
        <f>S17+L18-F18-J18+Q18*(1-dev_bonds)</f>
        <v/>
      </c>
      <c r="T18" s="69">
        <f>Loans!X18</f>
        <v/>
      </c>
      <c r="U18" s="53">
        <f>R18-M18-S18-T18</f>
        <v/>
      </c>
      <c r="V18" s="63">
        <f>R18/Economy!O18</f>
        <v/>
      </c>
      <c r="W18" s="63">
        <f>Budget!X18/Budget!M18</f>
        <v/>
      </c>
      <c r="X18" s="63">
        <f>S18/Economy!O18</f>
        <v/>
      </c>
      <c r="Y18" s="53">
        <f>MAX(0,H18+Q18-'Gold &amp; money'!G18)</f>
        <v/>
      </c>
    </row>
    <row r="19">
      <c r="A19" s="58" t="n">
        <v>1859</v>
      </c>
      <c r="B19" s="53">
        <f>Loans!V19-Loans!W19</f>
        <v/>
      </c>
      <c r="C19" s="53">
        <f>R18*debt_amort</f>
        <v/>
      </c>
      <c r="D19" s="53">
        <f>M18+Budget!Z19-B19-C19</f>
        <v/>
      </c>
      <c r="E19" s="53">
        <f>MAX(0.1,Budget!M19*cash_target)</f>
        <v/>
      </c>
      <c r="F19" s="53">
        <f>IF(D19&lt;E19,MIN(E19-D19,S18),0)</f>
        <v/>
      </c>
      <c r="G19" s="53">
        <f>MAX(0,E19-D19-F19)</f>
        <v/>
      </c>
      <c r="H19" s="53">
        <f>G19/issue_price</f>
        <v/>
      </c>
      <c r="I19" s="53">
        <f>IF(AND(D19&gt;E19,$A19&gt;=dev_start),(D19-E19)*dev_share,0)</f>
        <v/>
      </c>
      <c r="J19" s="53">
        <f>IF($A19&gt;=dev_start,MAX(0,S18-F19-reserve_buffer*Economy!O19),0)</f>
        <v/>
      </c>
      <c r="K19" s="53">
        <f>IF(D19&gt;E19,MIN((D19-E19-I19)*repay_share,R18-C19),0)</f>
        <v/>
      </c>
      <c r="L19" s="53">
        <f>IF(D19&gt;E19,D19-E19-I19-K19,0)</f>
        <v/>
      </c>
      <c r="M19" s="53">
        <f>D19+F19+G19-I19-K19-L19</f>
        <v/>
      </c>
      <c r="N19" s="53">
        <f>I19+J19+Q19*dev_bonds+SUMPRODUCT((Events!$B$6:$B$158&lt;=$A19)*(Events!$C$6:$C$158&gt;=$A19)*(Events!$E$6:$E$158="Investment")*Events!$H$6:$H$158)</f>
        <v/>
      </c>
      <c r="O19" s="53">
        <f>O18*(1-dev_dep)+N19</f>
        <v/>
      </c>
      <c r="P19" s="53">
        <f>SUMPRODUCT((Events!$B$6:$B$158&lt;=$A19)*(Events!$C$6:$C$158&gt;=$A19)*(Events!$E$6:$E$158="Debt assumed")*Events!$H$6:$H$158)</f>
        <v/>
      </c>
      <c r="Q19" s="53">
        <f>IF($A19&lt;1887,0,MAX(0,debt_floor*Economy!O19-(R18+P19+H19-C19-K19)))</f>
        <v/>
      </c>
      <c r="R19" s="53">
        <f>R18+P19+H19-C19-K19+Q19</f>
        <v/>
      </c>
      <c r="S19" s="53">
        <f>S18+L19-F19-J19+Q19*(1-dev_bonds)</f>
        <v/>
      </c>
      <c r="T19" s="69">
        <f>Loans!X19</f>
        <v/>
      </c>
      <c r="U19" s="53">
        <f>R19-M19-S19-T19</f>
        <v/>
      </c>
      <c r="V19" s="63">
        <f>R19/Economy!O19</f>
        <v/>
      </c>
      <c r="W19" s="63">
        <f>Budget!X19/Budget!M19</f>
        <v/>
      </c>
      <c r="X19" s="63">
        <f>S19/Economy!O19</f>
        <v/>
      </c>
      <c r="Y19" s="53">
        <f>MAX(0,H19+Q19-'Gold &amp; money'!G19)</f>
        <v/>
      </c>
    </row>
    <row r="20">
      <c r="A20" s="58" t="n">
        <v>1860</v>
      </c>
      <c r="B20" s="53">
        <f>Loans!V20-Loans!W20</f>
        <v/>
      </c>
      <c r="C20" s="53">
        <f>R19*debt_amort</f>
        <v/>
      </c>
      <c r="D20" s="53">
        <f>M19+Budget!Z20-B20-C20</f>
        <v/>
      </c>
      <c r="E20" s="53">
        <f>MAX(0.1,Budget!M20*cash_target)</f>
        <v/>
      </c>
      <c r="F20" s="53">
        <f>IF(D20&lt;E20,MIN(E20-D20,S19),0)</f>
        <v/>
      </c>
      <c r="G20" s="53">
        <f>MAX(0,E20-D20-F20)</f>
        <v/>
      </c>
      <c r="H20" s="53">
        <f>G20/issue_price</f>
        <v/>
      </c>
      <c r="I20" s="53">
        <f>IF(AND(D20&gt;E20,$A20&gt;=dev_start),(D20-E20)*dev_share,0)</f>
        <v/>
      </c>
      <c r="J20" s="53">
        <f>IF($A20&gt;=dev_start,MAX(0,S19-F20-reserve_buffer*Economy!O20),0)</f>
        <v/>
      </c>
      <c r="K20" s="53">
        <f>IF(D20&gt;E20,MIN((D20-E20-I20)*repay_share,R19-C20),0)</f>
        <v/>
      </c>
      <c r="L20" s="53">
        <f>IF(D20&gt;E20,D20-E20-I20-K20,0)</f>
        <v/>
      </c>
      <c r="M20" s="53">
        <f>D20+F20+G20-I20-K20-L20</f>
        <v/>
      </c>
      <c r="N20" s="53">
        <f>I20+J20+Q20*dev_bonds+SUMPRODUCT((Events!$B$6:$B$158&lt;=$A20)*(Events!$C$6:$C$158&gt;=$A20)*(Events!$E$6:$E$158="Investment")*Events!$H$6:$H$158)</f>
        <v/>
      </c>
      <c r="O20" s="53">
        <f>O19*(1-dev_dep)+N20</f>
        <v/>
      </c>
      <c r="P20" s="53">
        <f>SUMPRODUCT((Events!$B$6:$B$158&lt;=$A20)*(Events!$C$6:$C$158&gt;=$A20)*(Events!$E$6:$E$158="Debt assumed")*Events!$H$6:$H$158)</f>
        <v/>
      </c>
      <c r="Q20" s="53">
        <f>IF($A20&lt;1887,0,MAX(0,debt_floor*Economy!O20-(R19+P20+H20-C20-K20)))</f>
        <v/>
      </c>
      <c r="R20" s="53">
        <f>R19+P20+H20-C20-K20+Q20</f>
        <v/>
      </c>
      <c r="S20" s="53">
        <f>S19+L20-F20-J20+Q20*(1-dev_bonds)</f>
        <v/>
      </c>
      <c r="T20" s="69">
        <f>Loans!X20</f>
        <v/>
      </c>
      <c r="U20" s="53">
        <f>R20-M20-S20-T20</f>
        <v/>
      </c>
      <c r="V20" s="63">
        <f>R20/Economy!O20</f>
        <v/>
      </c>
      <c r="W20" s="63">
        <f>Budget!X20/Budget!M20</f>
        <v/>
      </c>
      <c r="X20" s="63">
        <f>S20/Economy!O20</f>
        <v/>
      </c>
      <c r="Y20" s="53">
        <f>MAX(0,H20+Q20-'Gold &amp; money'!G20)</f>
        <v/>
      </c>
    </row>
    <row r="21">
      <c r="A21" s="61" t="n">
        <v>1861</v>
      </c>
      <c r="B21" s="53">
        <f>Loans!V21-Loans!W21</f>
        <v/>
      </c>
      <c r="C21" s="53">
        <f>R20*debt_amort</f>
        <v/>
      </c>
      <c r="D21" s="53">
        <f>M20+Budget!Z21-B21-C21</f>
        <v/>
      </c>
      <c r="E21" s="53">
        <f>MAX(0.1,Budget!M21*cash_target)</f>
        <v/>
      </c>
      <c r="F21" s="53">
        <f>IF(D21&lt;E21,MIN(E21-D21,S20),0)</f>
        <v/>
      </c>
      <c r="G21" s="53">
        <f>MAX(0,E21-D21-F21)</f>
        <v/>
      </c>
      <c r="H21" s="53">
        <f>G21/issue_price</f>
        <v/>
      </c>
      <c r="I21" s="53">
        <f>IF(AND(D21&gt;E21,$A21&gt;=dev_start),(D21-E21)*dev_share,0)</f>
        <v/>
      </c>
      <c r="J21" s="53">
        <f>IF($A21&gt;=dev_start,MAX(0,S20-F21-reserve_buffer*Economy!O21),0)</f>
        <v/>
      </c>
      <c r="K21" s="53">
        <f>IF(D21&gt;E21,MIN((D21-E21-I21)*repay_share,R20-C21),0)</f>
        <v/>
      </c>
      <c r="L21" s="53">
        <f>IF(D21&gt;E21,D21-E21-I21-K21,0)</f>
        <v/>
      </c>
      <c r="M21" s="53">
        <f>D21+F21+G21-I21-K21-L21</f>
        <v/>
      </c>
      <c r="N21" s="53">
        <f>I21+J21+Q21*dev_bonds+SUMPRODUCT((Events!$B$6:$B$158&lt;=$A21)*(Events!$C$6:$C$158&gt;=$A21)*(Events!$E$6:$E$158="Investment")*Events!$H$6:$H$158)</f>
        <v/>
      </c>
      <c r="O21" s="53">
        <f>O20*(1-dev_dep)+N21</f>
        <v/>
      </c>
      <c r="P21" s="53">
        <f>SUMPRODUCT((Events!$B$6:$B$158&lt;=$A21)*(Events!$C$6:$C$158&gt;=$A21)*(Events!$E$6:$E$158="Debt assumed")*Events!$H$6:$H$158)</f>
        <v/>
      </c>
      <c r="Q21" s="53">
        <f>IF($A21&lt;1887,0,MAX(0,debt_floor*Economy!O21-(R20+P21+H21-C21-K21)))</f>
        <v/>
      </c>
      <c r="R21" s="53">
        <f>R20+P21+H21-C21-K21+Q21</f>
        <v/>
      </c>
      <c r="S21" s="53">
        <f>S20+L21-F21-J21+Q21*(1-dev_bonds)</f>
        <v/>
      </c>
      <c r="T21" s="69">
        <f>Loans!X21</f>
        <v/>
      </c>
      <c r="U21" s="53">
        <f>R21-M21-S21-T21</f>
        <v/>
      </c>
      <c r="V21" s="63">
        <f>R21/Economy!O21</f>
        <v/>
      </c>
      <c r="W21" s="63">
        <f>Budget!X21/Budget!M21</f>
        <v/>
      </c>
      <c r="X21" s="63">
        <f>S21/Economy!O21</f>
        <v/>
      </c>
      <c r="Y21" s="53">
        <f>MAX(0,H21+Q21-'Gold &amp; money'!G21)</f>
        <v/>
      </c>
    </row>
    <row r="22">
      <c r="A22" s="61" t="n">
        <v>1862</v>
      </c>
      <c r="B22" s="53">
        <f>Loans!V22-Loans!W22</f>
        <v/>
      </c>
      <c r="C22" s="53">
        <f>R21*debt_amort</f>
        <v/>
      </c>
      <c r="D22" s="53">
        <f>M21+Budget!Z22-B22-C22</f>
        <v/>
      </c>
      <c r="E22" s="53">
        <f>MAX(0.1,Budget!M22*cash_target)</f>
        <v/>
      </c>
      <c r="F22" s="53">
        <f>IF(D22&lt;E22,MIN(E22-D22,S21),0)</f>
        <v/>
      </c>
      <c r="G22" s="53">
        <f>MAX(0,E22-D22-F22)</f>
        <v/>
      </c>
      <c r="H22" s="53">
        <f>G22/issue_price</f>
        <v/>
      </c>
      <c r="I22" s="53">
        <f>IF(AND(D22&gt;E22,$A22&gt;=dev_start),(D22-E22)*dev_share,0)</f>
        <v/>
      </c>
      <c r="J22" s="53">
        <f>IF($A22&gt;=dev_start,MAX(0,S21-F22-reserve_buffer*Economy!O22),0)</f>
        <v/>
      </c>
      <c r="K22" s="53">
        <f>IF(D22&gt;E22,MIN((D22-E22-I22)*repay_share,R21-C22),0)</f>
        <v/>
      </c>
      <c r="L22" s="53">
        <f>IF(D22&gt;E22,D22-E22-I22-K22,0)</f>
        <v/>
      </c>
      <c r="M22" s="53">
        <f>D22+F22+G22-I22-K22-L22</f>
        <v/>
      </c>
      <c r="N22" s="53">
        <f>I22+J22+Q22*dev_bonds+SUMPRODUCT((Events!$B$6:$B$158&lt;=$A22)*(Events!$C$6:$C$158&gt;=$A22)*(Events!$E$6:$E$158="Investment")*Events!$H$6:$H$158)</f>
        <v/>
      </c>
      <c r="O22" s="53">
        <f>O21*(1-dev_dep)+N22</f>
        <v/>
      </c>
      <c r="P22" s="53">
        <f>SUMPRODUCT((Events!$B$6:$B$158&lt;=$A22)*(Events!$C$6:$C$158&gt;=$A22)*(Events!$E$6:$E$158="Debt assumed")*Events!$H$6:$H$158)</f>
        <v/>
      </c>
      <c r="Q22" s="53">
        <f>IF($A22&lt;1887,0,MAX(0,debt_floor*Economy!O22-(R21+P22+H22-C22-K22)))</f>
        <v/>
      </c>
      <c r="R22" s="53">
        <f>R21+P22+H22-C22-K22+Q22</f>
        <v/>
      </c>
      <c r="S22" s="53">
        <f>S21+L22-F22-J22+Q22*(1-dev_bonds)</f>
        <v/>
      </c>
      <c r="T22" s="69">
        <f>Loans!X22</f>
        <v/>
      </c>
      <c r="U22" s="53">
        <f>R22-M22-S22-T22</f>
        <v/>
      </c>
      <c r="V22" s="63">
        <f>R22/Economy!O22</f>
        <v/>
      </c>
      <c r="W22" s="63">
        <f>Budget!X22/Budget!M22</f>
        <v/>
      </c>
      <c r="X22" s="63">
        <f>S22/Economy!O22</f>
        <v/>
      </c>
      <c r="Y22" s="53">
        <f>MAX(0,H22+Q22-'Gold &amp; money'!G22)</f>
        <v/>
      </c>
    </row>
    <row r="23">
      <c r="A23" s="61" t="n">
        <v>1863</v>
      </c>
      <c r="B23" s="53">
        <f>Loans!V23-Loans!W23</f>
        <v/>
      </c>
      <c r="C23" s="53">
        <f>R22*debt_amort</f>
        <v/>
      </c>
      <c r="D23" s="53">
        <f>M22+Budget!Z23-B23-C23</f>
        <v/>
      </c>
      <c r="E23" s="53">
        <f>MAX(0.1,Budget!M23*cash_target)</f>
        <v/>
      </c>
      <c r="F23" s="53">
        <f>IF(D23&lt;E23,MIN(E23-D23,S22),0)</f>
        <v/>
      </c>
      <c r="G23" s="53">
        <f>MAX(0,E23-D23-F23)</f>
        <v/>
      </c>
      <c r="H23" s="53">
        <f>G23/issue_price</f>
        <v/>
      </c>
      <c r="I23" s="53">
        <f>IF(AND(D23&gt;E23,$A23&gt;=dev_start),(D23-E23)*dev_share,0)</f>
        <v/>
      </c>
      <c r="J23" s="53">
        <f>IF($A23&gt;=dev_start,MAX(0,S22-F23-reserve_buffer*Economy!O23),0)</f>
        <v/>
      </c>
      <c r="K23" s="53">
        <f>IF(D23&gt;E23,MIN((D23-E23-I23)*repay_share,R22-C23),0)</f>
        <v/>
      </c>
      <c r="L23" s="53">
        <f>IF(D23&gt;E23,D23-E23-I23-K23,0)</f>
        <v/>
      </c>
      <c r="M23" s="53">
        <f>D23+F23+G23-I23-K23-L23</f>
        <v/>
      </c>
      <c r="N23" s="53">
        <f>I23+J23+Q23*dev_bonds+SUMPRODUCT((Events!$B$6:$B$158&lt;=$A23)*(Events!$C$6:$C$158&gt;=$A23)*(Events!$E$6:$E$158="Investment")*Events!$H$6:$H$158)</f>
        <v/>
      </c>
      <c r="O23" s="53">
        <f>O22*(1-dev_dep)+N23</f>
        <v/>
      </c>
      <c r="P23" s="53">
        <f>SUMPRODUCT((Events!$B$6:$B$158&lt;=$A23)*(Events!$C$6:$C$158&gt;=$A23)*(Events!$E$6:$E$158="Debt assumed")*Events!$H$6:$H$158)</f>
        <v/>
      </c>
      <c r="Q23" s="53">
        <f>IF($A23&lt;1887,0,MAX(0,debt_floor*Economy!O23-(R22+P23+H23-C23-K23)))</f>
        <v/>
      </c>
      <c r="R23" s="53">
        <f>R22+P23+H23-C23-K23+Q23</f>
        <v/>
      </c>
      <c r="S23" s="53">
        <f>S22+L23-F23-J23+Q23*(1-dev_bonds)</f>
        <v/>
      </c>
      <c r="T23" s="69">
        <f>Loans!X23</f>
        <v/>
      </c>
      <c r="U23" s="53">
        <f>R23-M23-S23-T23</f>
        <v/>
      </c>
      <c r="V23" s="63">
        <f>R23/Economy!O23</f>
        <v/>
      </c>
      <c r="W23" s="63">
        <f>Budget!X23/Budget!M23</f>
        <v/>
      </c>
      <c r="X23" s="63">
        <f>S23/Economy!O23</f>
        <v/>
      </c>
      <c r="Y23" s="53">
        <f>MAX(0,H23+Q23-'Gold &amp; money'!G23)</f>
        <v/>
      </c>
    </row>
    <row r="24">
      <c r="A24" s="61" t="n">
        <v>1864</v>
      </c>
      <c r="B24" s="53">
        <f>Loans!V24-Loans!W24</f>
        <v/>
      </c>
      <c r="C24" s="53">
        <f>R23*debt_amort</f>
        <v/>
      </c>
      <c r="D24" s="53">
        <f>M23+Budget!Z24-B24-C24</f>
        <v/>
      </c>
      <c r="E24" s="53">
        <f>MAX(0.1,Budget!M24*cash_target)</f>
        <v/>
      </c>
      <c r="F24" s="53">
        <f>IF(D24&lt;E24,MIN(E24-D24,S23),0)</f>
        <v/>
      </c>
      <c r="G24" s="53">
        <f>MAX(0,E24-D24-F24)</f>
        <v/>
      </c>
      <c r="H24" s="53">
        <f>G24/issue_price</f>
        <v/>
      </c>
      <c r="I24" s="53">
        <f>IF(AND(D24&gt;E24,$A24&gt;=dev_start),(D24-E24)*dev_share,0)</f>
        <v/>
      </c>
      <c r="J24" s="53">
        <f>IF($A24&gt;=dev_start,MAX(0,S23-F24-reserve_buffer*Economy!O24),0)</f>
        <v/>
      </c>
      <c r="K24" s="53">
        <f>IF(D24&gt;E24,MIN((D24-E24-I24)*repay_share,R23-C24),0)</f>
        <v/>
      </c>
      <c r="L24" s="53">
        <f>IF(D24&gt;E24,D24-E24-I24-K24,0)</f>
        <v/>
      </c>
      <c r="M24" s="53">
        <f>D24+F24+G24-I24-K24-L24</f>
        <v/>
      </c>
      <c r="N24" s="53">
        <f>I24+J24+Q24*dev_bonds+SUMPRODUCT((Events!$B$6:$B$158&lt;=$A24)*(Events!$C$6:$C$158&gt;=$A24)*(Events!$E$6:$E$158="Investment")*Events!$H$6:$H$158)</f>
        <v/>
      </c>
      <c r="O24" s="53">
        <f>O23*(1-dev_dep)+N24</f>
        <v/>
      </c>
      <c r="P24" s="53">
        <f>SUMPRODUCT((Events!$B$6:$B$158&lt;=$A24)*(Events!$C$6:$C$158&gt;=$A24)*(Events!$E$6:$E$158="Debt assumed")*Events!$H$6:$H$158)</f>
        <v/>
      </c>
      <c r="Q24" s="53">
        <f>IF($A24&lt;1887,0,MAX(0,debt_floor*Economy!O24-(R23+P24+H24-C24-K24)))</f>
        <v/>
      </c>
      <c r="R24" s="53">
        <f>R23+P24+H24-C24-K24+Q24</f>
        <v/>
      </c>
      <c r="S24" s="53">
        <f>S23+L24-F24-J24+Q24*(1-dev_bonds)</f>
        <v/>
      </c>
      <c r="T24" s="69">
        <f>Loans!X24</f>
        <v/>
      </c>
      <c r="U24" s="53">
        <f>R24-M24-S24-T24</f>
        <v/>
      </c>
      <c r="V24" s="63">
        <f>R24/Economy!O24</f>
        <v/>
      </c>
      <c r="W24" s="63">
        <f>Budget!X24/Budget!M24</f>
        <v/>
      </c>
      <c r="X24" s="63">
        <f>S24/Economy!O24</f>
        <v/>
      </c>
      <c r="Y24" s="53">
        <f>MAX(0,H24+Q24-'Gold &amp; money'!G24)</f>
        <v/>
      </c>
    </row>
    <row r="25">
      <c r="A25" s="61" t="n">
        <v>1865</v>
      </c>
      <c r="B25" s="53">
        <f>Loans!V25-Loans!W25</f>
        <v/>
      </c>
      <c r="C25" s="53">
        <f>R24*debt_amort</f>
        <v/>
      </c>
      <c r="D25" s="53">
        <f>M24+Budget!Z25-B25-C25</f>
        <v/>
      </c>
      <c r="E25" s="53">
        <f>MAX(0.1,Budget!M25*cash_target)</f>
        <v/>
      </c>
      <c r="F25" s="53">
        <f>IF(D25&lt;E25,MIN(E25-D25,S24),0)</f>
        <v/>
      </c>
      <c r="G25" s="53">
        <f>MAX(0,E25-D25-F25)</f>
        <v/>
      </c>
      <c r="H25" s="53">
        <f>G25/issue_price</f>
        <v/>
      </c>
      <c r="I25" s="53">
        <f>IF(AND(D25&gt;E25,$A25&gt;=dev_start),(D25-E25)*dev_share,0)</f>
        <v/>
      </c>
      <c r="J25" s="53">
        <f>IF($A25&gt;=dev_start,MAX(0,S24-F25-reserve_buffer*Economy!O25),0)</f>
        <v/>
      </c>
      <c r="K25" s="53">
        <f>IF(D25&gt;E25,MIN((D25-E25-I25)*repay_share,R24-C25),0)</f>
        <v/>
      </c>
      <c r="L25" s="53">
        <f>IF(D25&gt;E25,D25-E25-I25-K25,0)</f>
        <v/>
      </c>
      <c r="M25" s="53">
        <f>D25+F25+G25-I25-K25-L25</f>
        <v/>
      </c>
      <c r="N25" s="53">
        <f>I25+J25+Q25*dev_bonds+SUMPRODUCT((Events!$B$6:$B$158&lt;=$A25)*(Events!$C$6:$C$158&gt;=$A25)*(Events!$E$6:$E$158="Investment")*Events!$H$6:$H$158)</f>
        <v/>
      </c>
      <c r="O25" s="53">
        <f>O24*(1-dev_dep)+N25</f>
        <v/>
      </c>
      <c r="P25" s="53">
        <f>SUMPRODUCT((Events!$B$6:$B$158&lt;=$A25)*(Events!$C$6:$C$158&gt;=$A25)*(Events!$E$6:$E$158="Debt assumed")*Events!$H$6:$H$158)</f>
        <v/>
      </c>
      <c r="Q25" s="53">
        <f>IF($A25&lt;1887,0,MAX(0,debt_floor*Economy!O25-(R24+P25+H25-C25-K25)))</f>
        <v/>
      </c>
      <c r="R25" s="53">
        <f>R24+P25+H25-C25-K25+Q25</f>
        <v/>
      </c>
      <c r="S25" s="53">
        <f>S24+L25-F25-J25+Q25*(1-dev_bonds)</f>
        <v/>
      </c>
      <c r="T25" s="69">
        <f>Loans!X25</f>
        <v/>
      </c>
      <c r="U25" s="53">
        <f>R25-M25-S25-T25</f>
        <v/>
      </c>
      <c r="V25" s="63">
        <f>R25/Economy!O25</f>
        <v/>
      </c>
      <c r="W25" s="63">
        <f>Budget!X25/Budget!M25</f>
        <v/>
      </c>
      <c r="X25" s="63">
        <f>S25/Economy!O25</f>
        <v/>
      </c>
      <c r="Y25" s="53">
        <f>MAX(0,H25+Q25-'Gold &amp; money'!G25)</f>
        <v/>
      </c>
    </row>
    <row r="26">
      <c r="A26" s="58" t="n">
        <v>1866</v>
      </c>
      <c r="B26" s="53">
        <f>Loans!V26-Loans!W26</f>
        <v/>
      </c>
      <c r="C26" s="53">
        <f>R25*debt_amort</f>
        <v/>
      </c>
      <c r="D26" s="53">
        <f>M25+Budget!Z26-B26-C26</f>
        <v/>
      </c>
      <c r="E26" s="53">
        <f>MAX(0.1,Budget!M26*cash_target)</f>
        <v/>
      </c>
      <c r="F26" s="53">
        <f>IF(D26&lt;E26,MIN(E26-D26,S25),0)</f>
        <v/>
      </c>
      <c r="G26" s="53">
        <f>MAX(0,E26-D26-F26)</f>
        <v/>
      </c>
      <c r="H26" s="53">
        <f>G26/issue_price</f>
        <v/>
      </c>
      <c r="I26" s="53">
        <f>IF(AND(D26&gt;E26,$A26&gt;=dev_start),(D26-E26)*dev_share,0)</f>
        <v/>
      </c>
      <c r="J26" s="53">
        <f>IF($A26&gt;=dev_start,MAX(0,S25-F26-reserve_buffer*Economy!O26),0)</f>
        <v/>
      </c>
      <c r="K26" s="53">
        <f>IF(D26&gt;E26,MIN((D26-E26-I26)*repay_share,R25-C26),0)</f>
        <v/>
      </c>
      <c r="L26" s="53">
        <f>IF(D26&gt;E26,D26-E26-I26-K26,0)</f>
        <v/>
      </c>
      <c r="M26" s="53">
        <f>D26+F26+G26-I26-K26-L26</f>
        <v/>
      </c>
      <c r="N26" s="53">
        <f>I26+J26+Q26*dev_bonds+SUMPRODUCT((Events!$B$6:$B$158&lt;=$A26)*(Events!$C$6:$C$158&gt;=$A26)*(Events!$E$6:$E$158="Investment")*Events!$H$6:$H$158)</f>
        <v/>
      </c>
      <c r="O26" s="53">
        <f>O25*(1-dev_dep)+N26</f>
        <v/>
      </c>
      <c r="P26" s="53">
        <f>SUMPRODUCT((Events!$B$6:$B$158&lt;=$A26)*(Events!$C$6:$C$158&gt;=$A26)*(Events!$E$6:$E$158="Debt assumed")*Events!$H$6:$H$158)</f>
        <v/>
      </c>
      <c r="Q26" s="53">
        <f>IF($A26&lt;1887,0,MAX(0,debt_floor*Economy!O26-(R25+P26+H26-C26-K26)))</f>
        <v/>
      </c>
      <c r="R26" s="53">
        <f>R25+P26+H26-C26-K26+Q26</f>
        <v/>
      </c>
      <c r="S26" s="53">
        <f>S25+L26-F26-J26+Q26*(1-dev_bonds)</f>
        <v/>
      </c>
      <c r="T26" s="69">
        <f>Loans!X26</f>
        <v/>
      </c>
      <c r="U26" s="53">
        <f>R26-M26-S26-T26</f>
        <v/>
      </c>
      <c r="V26" s="63">
        <f>R26/Economy!O26</f>
        <v/>
      </c>
      <c r="W26" s="63">
        <f>Budget!X26/Budget!M26</f>
        <v/>
      </c>
      <c r="X26" s="63">
        <f>S26/Economy!O26</f>
        <v/>
      </c>
      <c r="Y26" s="53">
        <f>MAX(0,H26+Q26-'Gold &amp; money'!G26)</f>
        <v/>
      </c>
    </row>
    <row r="27">
      <c r="A27" s="58" t="n">
        <v>1867</v>
      </c>
      <c r="B27" s="53">
        <f>Loans!V27-Loans!W27</f>
        <v/>
      </c>
      <c r="C27" s="53">
        <f>R26*debt_amort</f>
        <v/>
      </c>
      <c r="D27" s="53">
        <f>M26+Budget!Z27-B27-C27</f>
        <v/>
      </c>
      <c r="E27" s="53">
        <f>MAX(0.1,Budget!M27*cash_target)</f>
        <v/>
      </c>
      <c r="F27" s="53">
        <f>IF(D27&lt;E27,MIN(E27-D27,S26),0)</f>
        <v/>
      </c>
      <c r="G27" s="53">
        <f>MAX(0,E27-D27-F27)</f>
        <v/>
      </c>
      <c r="H27" s="53">
        <f>G27/issue_price</f>
        <v/>
      </c>
      <c r="I27" s="53">
        <f>IF(AND(D27&gt;E27,$A27&gt;=dev_start),(D27-E27)*dev_share,0)</f>
        <v/>
      </c>
      <c r="J27" s="53">
        <f>IF($A27&gt;=dev_start,MAX(0,S26-F27-reserve_buffer*Economy!O27),0)</f>
        <v/>
      </c>
      <c r="K27" s="53">
        <f>IF(D27&gt;E27,MIN((D27-E27-I27)*repay_share,R26-C27),0)</f>
        <v/>
      </c>
      <c r="L27" s="53">
        <f>IF(D27&gt;E27,D27-E27-I27-K27,0)</f>
        <v/>
      </c>
      <c r="M27" s="53">
        <f>D27+F27+G27-I27-K27-L27</f>
        <v/>
      </c>
      <c r="N27" s="53">
        <f>I27+J27+Q27*dev_bonds+SUMPRODUCT((Events!$B$6:$B$158&lt;=$A27)*(Events!$C$6:$C$158&gt;=$A27)*(Events!$E$6:$E$158="Investment")*Events!$H$6:$H$158)</f>
        <v/>
      </c>
      <c r="O27" s="53">
        <f>O26*(1-dev_dep)+N27</f>
        <v/>
      </c>
      <c r="P27" s="53">
        <f>SUMPRODUCT((Events!$B$6:$B$158&lt;=$A27)*(Events!$C$6:$C$158&gt;=$A27)*(Events!$E$6:$E$158="Debt assumed")*Events!$H$6:$H$158)</f>
        <v/>
      </c>
      <c r="Q27" s="53">
        <f>IF($A27&lt;1887,0,MAX(0,debt_floor*Economy!O27-(R26+P27+H27-C27-K27)))</f>
        <v/>
      </c>
      <c r="R27" s="53">
        <f>R26+P27+H27-C27-K27+Q27</f>
        <v/>
      </c>
      <c r="S27" s="53">
        <f>S26+L27-F27-J27+Q27*(1-dev_bonds)</f>
        <v/>
      </c>
      <c r="T27" s="69">
        <f>Loans!X27</f>
        <v/>
      </c>
      <c r="U27" s="53">
        <f>R27-M27-S27-T27</f>
        <v/>
      </c>
      <c r="V27" s="63">
        <f>R27/Economy!O27</f>
        <v/>
      </c>
      <c r="W27" s="63">
        <f>Budget!X27/Budget!M27</f>
        <v/>
      </c>
      <c r="X27" s="63">
        <f>S27/Economy!O27</f>
        <v/>
      </c>
      <c r="Y27" s="53">
        <f>MAX(0,H27+Q27-'Gold &amp; money'!G27)</f>
        <v/>
      </c>
    </row>
    <row r="28">
      <c r="A28" s="58" t="n">
        <v>1868</v>
      </c>
      <c r="B28" s="53">
        <f>Loans!V28-Loans!W28</f>
        <v/>
      </c>
      <c r="C28" s="53">
        <f>R27*debt_amort</f>
        <v/>
      </c>
      <c r="D28" s="53">
        <f>M27+Budget!Z28-B28-C28</f>
        <v/>
      </c>
      <c r="E28" s="53">
        <f>MAX(0.1,Budget!M28*cash_target)</f>
        <v/>
      </c>
      <c r="F28" s="53">
        <f>IF(D28&lt;E28,MIN(E28-D28,S27),0)</f>
        <v/>
      </c>
      <c r="G28" s="53">
        <f>MAX(0,E28-D28-F28)</f>
        <v/>
      </c>
      <c r="H28" s="53">
        <f>G28/issue_price</f>
        <v/>
      </c>
      <c r="I28" s="53">
        <f>IF(AND(D28&gt;E28,$A28&gt;=dev_start),(D28-E28)*dev_share,0)</f>
        <v/>
      </c>
      <c r="J28" s="53">
        <f>IF($A28&gt;=dev_start,MAX(0,S27-F28-reserve_buffer*Economy!O28),0)</f>
        <v/>
      </c>
      <c r="K28" s="53">
        <f>IF(D28&gt;E28,MIN((D28-E28-I28)*repay_share,R27-C28),0)</f>
        <v/>
      </c>
      <c r="L28" s="53">
        <f>IF(D28&gt;E28,D28-E28-I28-K28,0)</f>
        <v/>
      </c>
      <c r="M28" s="53">
        <f>D28+F28+G28-I28-K28-L28</f>
        <v/>
      </c>
      <c r="N28" s="53">
        <f>I28+J28+Q28*dev_bonds+SUMPRODUCT((Events!$B$6:$B$158&lt;=$A28)*(Events!$C$6:$C$158&gt;=$A28)*(Events!$E$6:$E$158="Investment")*Events!$H$6:$H$158)</f>
        <v/>
      </c>
      <c r="O28" s="53">
        <f>O27*(1-dev_dep)+N28</f>
        <v/>
      </c>
      <c r="P28" s="53">
        <f>SUMPRODUCT((Events!$B$6:$B$158&lt;=$A28)*(Events!$C$6:$C$158&gt;=$A28)*(Events!$E$6:$E$158="Debt assumed")*Events!$H$6:$H$158)</f>
        <v/>
      </c>
      <c r="Q28" s="53">
        <f>IF($A28&lt;1887,0,MAX(0,debt_floor*Economy!O28-(R27+P28+H28-C28-K28)))</f>
        <v/>
      </c>
      <c r="R28" s="53">
        <f>R27+P28+H28-C28-K28+Q28</f>
        <v/>
      </c>
      <c r="S28" s="53">
        <f>S27+L28-F28-J28+Q28*(1-dev_bonds)</f>
        <v/>
      </c>
      <c r="T28" s="69">
        <f>Loans!X28</f>
        <v/>
      </c>
      <c r="U28" s="53">
        <f>R28-M28-S28-T28</f>
        <v/>
      </c>
      <c r="V28" s="63">
        <f>R28/Economy!O28</f>
        <v/>
      </c>
      <c r="W28" s="63">
        <f>Budget!X28/Budget!M28</f>
        <v/>
      </c>
      <c r="X28" s="63">
        <f>S28/Economy!O28</f>
        <v/>
      </c>
      <c r="Y28" s="53">
        <f>MAX(0,H28+Q28-'Gold &amp; money'!G28)</f>
        <v/>
      </c>
    </row>
    <row r="29">
      <c r="A29" s="58" t="n">
        <v>1869</v>
      </c>
      <c r="B29" s="53">
        <f>Loans!V29-Loans!W29</f>
        <v/>
      </c>
      <c r="C29" s="53">
        <f>R28*debt_amort</f>
        <v/>
      </c>
      <c r="D29" s="53">
        <f>M28+Budget!Z29-B29-C29</f>
        <v/>
      </c>
      <c r="E29" s="53">
        <f>MAX(0.1,Budget!M29*cash_target)</f>
        <v/>
      </c>
      <c r="F29" s="53">
        <f>IF(D29&lt;E29,MIN(E29-D29,S28),0)</f>
        <v/>
      </c>
      <c r="G29" s="53">
        <f>MAX(0,E29-D29-F29)</f>
        <v/>
      </c>
      <c r="H29" s="53">
        <f>G29/issue_price</f>
        <v/>
      </c>
      <c r="I29" s="53">
        <f>IF(AND(D29&gt;E29,$A29&gt;=dev_start),(D29-E29)*dev_share,0)</f>
        <v/>
      </c>
      <c r="J29" s="53">
        <f>IF($A29&gt;=dev_start,MAX(0,S28-F29-reserve_buffer*Economy!O29),0)</f>
        <v/>
      </c>
      <c r="K29" s="53">
        <f>IF(D29&gt;E29,MIN((D29-E29-I29)*repay_share,R28-C29),0)</f>
        <v/>
      </c>
      <c r="L29" s="53">
        <f>IF(D29&gt;E29,D29-E29-I29-K29,0)</f>
        <v/>
      </c>
      <c r="M29" s="53">
        <f>D29+F29+G29-I29-K29-L29</f>
        <v/>
      </c>
      <c r="N29" s="53">
        <f>I29+J29+Q29*dev_bonds+SUMPRODUCT((Events!$B$6:$B$158&lt;=$A29)*(Events!$C$6:$C$158&gt;=$A29)*(Events!$E$6:$E$158="Investment")*Events!$H$6:$H$158)</f>
        <v/>
      </c>
      <c r="O29" s="53">
        <f>O28*(1-dev_dep)+N29</f>
        <v/>
      </c>
      <c r="P29" s="53">
        <f>SUMPRODUCT((Events!$B$6:$B$158&lt;=$A29)*(Events!$C$6:$C$158&gt;=$A29)*(Events!$E$6:$E$158="Debt assumed")*Events!$H$6:$H$158)</f>
        <v/>
      </c>
      <c r="Q29" s="53">
        <f>IF($A29&lt;1887,0,MAX(0,debt_floor*Economy!O29-(R28+P29+H29-C29-K29)))</f>
        <v/>
      </c>
      <c r="R29" s="53">
        <f>R28+P29+H29-C29-K29+Q29</f>
        <v/>
      </c>
      <c r="S29" s="53">
        <f>S28+L29-F29-J29+Q29*(1-dev_bonds)</f>
        <v/>
      </c>
      <c r="T29" s="69">
        <f>Loans!X29</f>
        <v/>
      </c>
      <c r="U29" s="53">
        <f>R29-M29-S29-T29</f>
        <v/>
      </c>
      <c r="V29" s="63">
        <f>R29/Economy!O29</f>
        <v/>
      </c>
      <c r="W29" s="63">
        <f>Budget!X29/Budget!M29</f>
        <v/>
      </c>
      <c r="X29" s="63">
        <f>S29/Economy!O29</f>
        <v/>
      </c>
      <c r="Y29" s="53">
        <f>MAX(0,H29+Q29-'Gold &amp; money'!G29)</f>
        <v/>
      </c>
    </row>
    <row r="30">
      <c r="A30" s="61" t="n">
        <v>1870</v>
      </c>
      <c r="B30" s="53">
        <f>Loans!V30-Loans!W30</f>
        <v/>
      </c>
      <c r="C30" s="53">
        <f>R29*debt_amort</f>
        <v/>
      </c>
      <c r="D30" s="53">
        <f>M29+Budget!Z30-B30-C30</f>
        <v/>
      </c>
      <c r="E30" s="53">
        <f>MAX(0.1,Budget!M30*cash_target)</f>
        <v/>
      </c>
      <c r="F30" s="53">
        <f>IF(D30&lt;E30,MIN(E30-D30,S29),0)</f>
        <v/>
      </c>
      <c r="G30" s="53">
        <f>MAX(0,E30-D30-F30)</f>
        <v/>
      </c>
      <c r="H30" s="53">
        <f>G30/issue_price</f>
        <v/>
      </c>
      <c r="I30" s="53">
        <f>IF(AND(D30&gt;E30,$A30&gt;=dev_start),(D30-E30)*dev_share,0)</f>
        <v/>
      </c>
      <c r="J30" s="53">
        <f>IF($A30&gt;=dev_start,MAX(0,S29-F30-reserve_buffer*Economy!O30),0)</f>
        <v/>
      </c>
      <c r="K30" s="53">
        <f>IF(D30&gt;E30,MIN((D30-E30-I30)*repay_share,R29-C30),0)</f>
        <v/>
      </c>
      <c r="L30" s="53">
        <f>IF(D30&gt;E30,D30-E30-I30-K30,0)</f>
        <v/>
      </c>
      <c r="M30" s="53">
        <f>D30+F30+G30-I30-K30-L30</f>
        <v/>
      </c>
      <c r="N30" s="53">
        <f>I30+J30+Q30*dev_bonds+SUMPRODUCT((Events!$B$6:$B$158&lt;=$A30)*(Events!$C$6:$C$158&gt;=$A30)*(Events!$E$6:$E$158="Investment")*Events!$H$6:$H$158)</f>
        <v/>
      </c>
      <c r="O30" s="53">
        <f>O29*(1-dev_dep)+N30</f>
        <v/>
      </c>
      <c r="P30" s="53">
        <f>SUMPRODUCT((Events!$B$6:$B$158&lt;=$A30)*(Events!$C$6:$C$158&gt;=$A30)*(Events!$E$6:$E$158="Debt assumed")*Events!$H$6:$H$158)</f>
        <v/>
      </c>
      <c r="Q30" s="53">
        <f>IF($A30&lt;1887,0,MAX(0,debt_floor*Economy!O30-(R29+P30+H30-C30-K30)))</f>
        <v/>
      </c>
      <c r="R30" s="53">
        <f>R29+P30+H30-C30-K30+Q30</f>
        <v/>
      </c>
      <c r="S30" s="53">
        <f>S29+L30-F30-J30+Q30*(1-dev_bonds)</f>
        <v/>
      </c>
      <c r="T30" s="69">
        <f>Loans!X30</f>
        <v/>
      </c>
      <c r="U30" s="53">
        <f>R30-M30-S30-T30</f>
        <v/>
      </c>
      <c r="V30" s="63">
        <f>R30/Economy!O30</f>
        <v/>
      </c>
      <c r="W30" s="63">
        <f>Budget!X30/Budget!M30</f>
        <v/>
      </c>
      <c r="X30" s="63">
        <f>S30/Economy!O30</f>
        <v/>
      </c>
      <c r="Y30" s="53">
        <f>MAX(0,H30+Q30-'Gold &amp; money'!G30)</f>
        <v/>
      </c>
    </row>
    <row r="31">
      <c r="A31" s="61" t="n">
        <v>1871</v>
      </c>
      <c r="B31" s="53">
        <f>Loans!V31-Loans!W31</f>
        <v/>
      </c>
      <c r="C31" s="53">
        <f>R30*debt_amort</f>
        <v/>
      </c>
      <c r="D31" s="53">
        <f>M30+Budget!Z31-B31-C31</f>
        <v/>
      </c>
      <c r="E31" s="53">
        <f>MAX(0.1,Budget!M31*cash_target)</f>
        <v/>
      </c>
      <c r="F31" s="53">
        <f>IF(D31&lt;E31,MIN(E31-D31,S30),0)</f>
        <v/>
      </c>
      <c r="G31" s="53">
        <f>MAX(0,E31-D31-F31)</f>
        <v/>
      </c>
      <c r="H31" s="53">
        <f>G31/issue_price</f>
        <v/>
      </c>
      <c r="I31" s="53">
        <f>IF(AND(D31&gt;E31,$A31&gt;=dev_start),(D31-E31)*dev_share,0)</f>
        <v/>
      </c>
      <c r="J31" s="53">
        <f>IF($A31&gt;=dev_start,MAX(0,S30-F31-reserve_buffer*Economy!O31),0)</f>
        <v/>
      </c>
      <c r="K31" s="53">
        <f>IF(D31&gt;E31,MIN((D31-E31-I31)*repay_share,R30-C31),0)</f>
        <v/>
      </c>
      <c r="L31" s="53">
        <f>IF(D31&gt;E31,D31-E31-I31-K31,0)</f>
        <v/>
      </c>
      <c r="M31" s="53">
        <f>D31+F31+G31-I31-K31-L31</f>
        <v/>
      </c>
      <c r="N31" s="53">
        <f>I31+J31+Q31*dev_bonds+SUMPRODUCT((Events!$B$6:$B$158&lt;=$A31)*(Events!$C$6:$C$158&gt;=$A31)*(Events!$E$6:$E$158="Investment")*Events!$H$6:$H$158)</f>
        <v/>
      </c>
      <c r="O31" s="53">
        <f>O30*(1-dev_dep)+N31</f>
        <v/>
      </c>
      <c r="P31" s="53">
        <f>SUMPRODUCT((Events!$B$6:$B$158&lt;=$A31)*(Events!$C$6:$C$158&gt;=$A31)*(Events!$E$6:$E$158="Debt assumed")*Events!$H$6:$H$158)</f>
        <v/>
      </c>
      <c r="Q31" s="53">
        <f>IF($A31&lt;1887,0,MAX(0,debt_floor*Economy!O31-(R30+P31+H31-C31-K31)))</f>
        <v/>
      </c>
      <c r="R31" s="53">
        <f>R30+P31+H31-C31-K31+Q31</f>
        <v/>
      </c>
      <c r="S31" s="53">
        <f>S30+L31-F31-J31+Q31*(1-dev_bonds)</f>
        <v/>
      </c>
      <c r="T31" s="69">
        <f>Loans!X31</f>
        <v/>
      </c>
      <c r="U31" s="53">
        <f>R31-M31-S31-T31</f>
        <v/>
      </c>
      <c r="V31" s="63">
        <f>R31/Economy!O31</f>
        <v/>
      </c>
      <c r="W31" s="63">
        <f>Budget!X31/Budget!M31</f>
        <v/>
      </c>
      <c r="X31" s="63">
        <f>S31/Economy!O31</f>
        <v/>
      </c>
      <c r="Y31" s="53">
        <f>MAX(0,H31+Q31-'Gold &amp; money'!G31)</f>
        <v/>
      </c>
    </row>
    <row r="32">
      <c r="A32" s="58" t="n">
        <v>1872</v>
      </c>
      <c r="B32" s="53">
        <f>Loans!V32-Loans!W32</f>
        <v/>
      </c>
      <c r="C32" s="53">
        <f>R31*debt_amort</f>
        <v/>
      </c>
      <c r="D32" s="53">
        <f>M31+Budget!Z32-B32-C32</f>
        <v/>
      </c>
      <c r="E32" s="53">
        <f>MAX(0.1,Budget!M32*cash_target)</f>
        <v/>
      </c>
      <c r="F32" s="53">
        <f>IF(D32&lt;E32,MIN(E32-D32,S31),0)</f>
        <v/>
      </c>
      <c r="G32" s="53">
        <f>MAX(0,E32-D32-F32)</f>
        <v/>
      </c>
      <c r="H32" s="53">
        <f>G32/issue_price</f>
        <v/>
      </c>
      <c r="I32" s="53">
        <f>IF(AND(D32&gt;E32,$A32&gt;=dev_start),(D32-E32)*dev_share,0)</f>
        <v/>
      </c>
      <c r="J32" s="53">
        <f>IF($A32&gt;=dev_start,MAX(0,S31-F32-reserve_buffer*Economy!O32),0)</f>
        <v/>
      </c>
      <c r="K32" s="53">
        <f>IF(D32&gt;E32,MIN((D32-E32-I32)*repay_share,R31-C32),0)</f>
        <v/>
      </c>
      <c r="L32" s="53">
        <f>IF(D32&gt;E32,D32-E32-I32-K32,0)</f>
        <v/>
      </c>
      <c r="M32" s="53">
        <f>D32+F32+G32-I32-K32-L32</f>
        <v/>
      </c>
      <c r="N32" s="53">
        <f>I32+J32+Q32*dev_bonds+SUMPRODUCT((Events!$B$6:$B$158&lt;=$A32)*(Events!$C$6:$C$158&gt;=$A32)*(Events!$E$6:$E$158="Investment")*Events!$H$6:$H$158)</f>
        <v/>
      </c>
      <c r="O32" s="53">
        <f>O31*(1-dev_dep)+N32</f>
        <v/>
      </c>
      <c r="P32" s="53">
        <f>SUMPRODUCT((Events!$B$6:$B$158&lt;=$A32)*(Events!$C$6:$C$158&gt;=$A32)*(Events!$E$6:$E$158="Debt assumed")*Events!$H$6:$H$158)</f>
        <v/>
      </c>
      <c r="Q32" s="53">
        <f>IF($A32&lt;1887,0,MAX(0,debt_floor*Economy!O32-(R31+P32+H32-C32-K32)))</f>
        <v/>
      </c>
      <c r="R32" s="53">
        <f>R31+P32+H32-C32-K32+Q32</f>
        <v/>
      </c>
      <c r="S32" s="53">
        <f>S31+L32-F32-J32+Q32*(1-dev_bonds)</f>
        <v/>
      </c>
      <c r="T32" s="69">
        <f>Loans!X32</f>
        <v/>
      </c>
      <c r="U32" s="53">
        <f>R32-M32-S32-T32</f>
        <v/>
      </c>
      <c r="V32" s="63">
        <f>R32/Economy!O32</f>
        <v/>
      </c>
      <c r="W32" s="63">
        <f>Budget!X32/Budget!M32</f>
        <v/>
      </c>
      <c r="X32" s="63">
        <f>S32/Economy!O32</f>
        <v/>
      </c>
      <c r="Y32" s="53">
        <f>MAX(0,H32+Q32-'Gold &amp; money'!G32)</f>
        <v/>
      </c>
    </row>
    <row r="33">
      <c r="A33" s="58" t="n">
        <v>1873</v>
      </c>
      <c r="B33" s="53">
        <f>Loans!V33-Loans!W33</f>
        <v/>
      </c>
      <c r="C33" s="53">
        <f>R32*debt_amort</f>
        <v/>
      </c>
      <c r="D33" s="53">
        <f>M32+Budget!Z33-B33-C33</f>
        <v/>
      </c>
      <c r="E33" s="53">
        <f>MAX(0.1,Budget!M33*cash_target)</f>
        <v/>
      </c>
      <c r="F33" s="53">
        <f>IF(D33&lt;E33,MIN(E33-D33,S32),0)</f>
        <v/>
      </c>
      <c r="G33" s="53">
        <f>MAX(0,E33-D33-F33)</f>
        <v/>
      </c>
      <c r="H33" s="53">
        <f>G33/issue_price</f>
        <v/>
      </c>
      <c r="I33" s="53">
        <f>IF(AND(D33&gt;E33,$A33&gt;=dev_start),(D33-E33)*dev_share,0)</f>
        <v/>
      </c>
      <c r="J33" s="53">
        <f>IF($A33&gt;=dev_start,MAX(0,S32-F33-reserve_buffer*Economy!O33),0)</f>
        <v/>
      </c>
      <c r="K33" s="53">
        <f>IF(D33&gt;E33,MIN((D33-E33-I33)*repay_share,R32-C33),0)</f>
        <v/>
      </c>
      <c r="L33" s="53">
        <f>IF(D33&gt;E33,D33-E33-I33-K33,0)</f>
        <v/>
      </c>
      <c r="M33" s="53">
        <f>D33+F33+G33-I33-K33-L33</f>
        <v/>
      </c>
      <c r="N33" s="53">
        <f>I33+J33+Q33*dev_bonds+SUMPRODUCT((Events!$B$6:$B$158&lt;=$A33)*(Events!$C$6:$C$158&gt;=$A33)*(Events!$E$6:$E$158="Investment")*Events!$H$6:$H$158)</f>
        <v/>
      </c>
      <c r="O33" s="53">
        <f>O32*(1-dev_dep)+N33</f>
        <v/>
      </c>
      <c r="P33" s="53">
        <f>SUMPRODUCT((Events!$B$6:$B$158&lt;=$A33)*(Events!$C$6:$C$158&gt;=$A33)*(Events!$E$6:$E$158="Debt assumed")*Events!$H$6:$H$158)</f>
        <v/>
      </c>
      <c r="Q33" s="53">
        <f>IF($A33&lt;1887,0,MAX(0,debt_floor*Economy!O33-(R32+P33+H33-C33-K33)))</f>
        <v/>
      </c>
      <c r="R33" s="53">
        <f>R32+P33+H33-C33-K33+Q33</f>
        <v/>
      </c>
      <c r="S33" s="53">
        <f>S32+L33-F33-J33+Q33*(1-dev_bonds)</f>
        <v/>
      </c>
      <c r="T33" s="69">
        <f>Loans!X33</f>
        <v/>
      </c>
      <c r="U33" s="53">
        <f>R33-M33-S33-T33</f>
        <v/>
      </c>
      <c r="V33" s="63">
        <f>R33/Economy!O33</f>
        <v/>
      </c>
      <c r="W33" s="63">
        <f>Budget!X33/Budget!M33</f>
        <v/>
      </c>
      <c r="X33" s="63">
        <f>S33/Economy!O33</f>
        <v/>
      </c>
      <c r="Y33" s="53">
        <f>MAX(0,H33+Q33-'Gold &amp; money'!G33)</f>
        <v/>
      </c>
    </row>
    <row r="34">
      <c r="A34" s="58" t="n">
        <v>1874</v>
      </c>
      <c r="B34" s="53">
        <f>Loans!V34-Loans!W34</f>
        <v/>
      </c>
      <c r="C34" s="53">
        <f>R33*debt_amort</f>
        <v/>
      </c>
      <c r="D34" s="53">
        <f>M33+Budget!Z34-B34-C34</f>
        <v/>
      </c>
      <c r="E34" s="53">
        <f>MAX(0.1,Budget!M34*cash_target)</f>
        <v/>
      </c>
      <c r="F34" s="53">
        <f>IF(D34&lt;E34,MIN(E34-D34,S33),0)</f>
        <v/>
      </c>
      <c r="G34" s="53">
        <f>MAX(0,E34-D34-F34)</f>
        <v/>
      </c>
      <c r="H34" s="53">
        <f>G34/issue_price</f>
        <v/>
      </c>
      <c r="I34" s="53">
        <f>IF(AND(D34&gt;E34,$A34&gt;=dev_start),(D34-E34)*dev_share,0)</f>
        <v/>
      </c>
      <c r="J34" s="53">
        <f>IF($A34&gt;=dev_start,MAX(0,S33-F34-reserve_buffer*Economy!O34),0)</f>
        <v/>
      </c>
      <c r="K34" s="53">
        <f>IF(D34&gt;E34,MIN((D34-E34-I34)*repay_share,R33-C34),0)</f>
        <v/>
      </c>
      <c r="L34" s="53">
        <f>IF(D34&gt;E34,D34-E34-I34-K34,0)</f>
        <v/>
      </c>
      <c r="M34" s="53">
        <f>D34+F34+G34-I34-K34-L34</f>
        <v/>
      </c>
      <c r="N34" s="53">
        <f>I34+J34+Q34*dev_bonds+SUMPRODUCT((Events!$B$6:$B$158&lt;=$A34)*(Events!$C$6:$C$158&gt;=$A34)*(Events!$E$6:$E$158="Investment")*Events!$H$6:$H$158)</f>
        <v/>
      </c>
      <c r="O34" s="53">
        <f>O33*(1-dev_dep)+N34</f>
        <v/>
      </c>
      <c r="P34" s="53">
        <f>SUMPRODUCT((Events!$B$6:$B$158&lt;=$A34)*(Events!$C$6:$C$158&gt;=$A34)*(Events!$E$6:$E$158="Debt assumed")*Events!$H$6:$H$158)</f>
        <v/>
      </c>
      <c r="Q34" s="53">
        <f>IF($A34&lt;1887,0,MAX(0,debt_floor*Economy!O34-(R33+P34+H34-C34-K34)))</f>
        <v/>
      </c>
      <c r="R34" s="53">
        <f>R33+P34+H34-C34-K34+Q34</f>
        <v/>
      </c>
      <c r="S34" s="53">
        <f>S33+L34-F34-J34+Q34*(1-dev_bonds)</f>
        <v/>
      </c>
      <c r="T34" s="69">
        <f>Loans!X34</f>
        <v/>
      </c>
      <c r="U34" s="53">
        <f>R34-M34-S34-T34</f>
        <v/>
      </c>
      <c r="V34" s="63">
        <f>R34/Economy!O34</f>
        <v/>
      </c>
      <c r="W34" s="63">
        <f>Budget!X34/Budget!M34</f>
        <v/>
      </c>
      <c r="X34" s="63">
        <f>S34/Economy!O34</f>
        <v/>
      </c>
      <c r="Y34" s="53">
        <f>MAX(0,H34+Q34-'Gold &amp; money'!G34)</f>
        <v/>
      </c>
    </row>
    <row r="35">
      <c r="A35" s="58" t="n">
        <v>1875</v>
      </c>
      <c r="B35" s="53">
        <f>Loans!V35-Loans!W35</f>
        <v/>
      </c>
      <c r="C35" s="53">
        <f>R34*debt_amort</f>
        <v/>
      </c>
      <c r="D35" s="53">
        <f>M34+Budget!Z35-B35-C35</f>
        <v/>
      </c>
      <c r="E35" s="53">
        <f>MAX(0.1,Budget!M35*cash_target)</f>
        <v/>
      </c>
      <c r="F35" s="53">
        <f>IF(D35&lt;E35,MIN(E35-D35,S34),0)</f>
        <v/>
      </c>
      <c r="G35" s="53">
        <f>MAX(0,E35-D35-F35)</f>
        <v/>
      </c>
      <c r="H35" s="53">
        <f>G35/issue_price</f>
        <v/>
      </c>
      <c r="I35" s="53">
        <f>IF(AND(D35&gt;E35,$A35&gt;=dev_start),(D35-E35)*dev_share,0)</f>
        <v/>
      </c>
      <c r="J35" s="53">
        <f>IF($A35&gt;=dev_start,MAX(0,S34-F35-reserve_buffer*Economy!O35),0)</f>
        <v/>
      </c>
      <c r="K35" s="53">
        <f>IF(D35&gt;E35,MIN((D35-E35-I35)*repay_share,R34-C35),0)</f>
        <v/>
      </c>
      <c r="L35" s="53">
        <f>IF(D35&gt;E35,D35-E35-I35-K35,0)</f>
        <v/>
      </c>
      <c r="M35" s="53">
        <f>D35+F35+G35-I35-K35-L35</f>
        <v/>
      </c>
      <c r="N35" s="53">
        <f>I35+J35+Q35*dev_bonds+SUMPRODUCT((Events!$B$6:$B$158&lt;=$A35)*(Events!$C$6:$C$158&gt;=$A35)*(Events!$E$6:$E$158="Investment")*Events!$H$6:$H$158)</f>
        <v/>
      </c>
      <c r="O35" s="53">
        <f>O34*(1-dev_dep)+N35</f>
        <v/>
      </c>
      <c r="P35" s="53">
        <f>SUMPRODUCT((Events!$B$6:$B$158&lt;=$A35)*(Events!$C$6:$C$158&gt;=$A35)*(Events!$E$6:$E$158="Debt assumed")*Events!$H$6:$H$158)</f>
        <v/>
      </c>
      <c r="Q35" s="53">
        <f>IF($A35&lt;1887,0,MAX(0,debt_floor*Economy!O35-(R34+P35+H35-C35-K35)))</f>
        <v/>
      </c>
      <c r="R35" s="53">
        <f>R34+P35+H35-C35-K35+Q35</f>
        <v/>
      </c>
      <c r="S35" s="53">
        <f>S34+L35-F35-J35+Q35*(1-dev_bonds)</f>
        <v/>
      </c>
      <c r="T35" s="69">
        <f>Loans!X35</f>
        <v/>
      </c>
      <c r="U35" s="53">
        <f>R35-M35-S35-T35</f>
        <v/>
      </c>
      <c r="V35" s="63">
        <f>R35/Economy!O35</f>
        <v/>
      </c>
      <c r="W35" s="63">
        <f>Budget!X35/Budget!M35</f>
        <v/>
      </c>
      <c r="X35" s="63">
        <f>S35/Economy!O35</f>
        <v/>
      </c>
      <c r="Y35" s="53">
        <f>MAX(0,H35+Q35-'Gold &amp; money'!G35)</f>
        <v/>
      </c>
    </row>
    <row r="36">
      <c r="A36" s="58" t="n">
        <v>1876</v>
      </c>
      <c r="B36" s="53">
        <f>Loans!V36-Loans!W36</f>
        <v/>
      </c>
      <c r="C36" s="53">
        <f>R35*debt_amort</f>
        <v/>
      </c>
      <c r="D36" s="53">
        <f>M35+Budget!Z36-B36-C36</f>
        <v/>
      </c>
      <c r="E36" s="53">
        <f>MAX(0.1,Budget!M36*cash_target)</f>
        <v/>
      </c>
      <c r="F36" s="53">
        <f>IF(D36&lt;E36,MIN(E36-D36,S35),0)</f>
        <v/>
      </c>
      <c r="G36" s="53">
        <f>MAX(0,E36-D36-F36)</f>
        <v/>
      </c>
      <c r="H36" s="53">
        <f>G36/issue_price</f>
        <v/>
      </c>
      <c r="I36" s="53">
        <f>IF(AND(D36&gt;E36,$A36&gt;=dev_start),(D36-E36)*dev_share,0)</f>
        <v/>
      </c>
      <c r="J36" s="53">
        <f>IF($A36&gt;=dev_start,MAX(0,S35-F36-reserve_buffer*Economy!O36),0)</f>
        <v/>
      </c>
      <c r="K36" s="53">
        <f>IF(D36&gt;E36,MIN((D36-E36-I36)*repay_share,R35-C36),0)</f>
        <v/>
      </c>
      <c r="L36" s="53">
        <f>IF(D36&gt;E36,D36-E36-I36-K36,0)</f>
        <v/>
      </c>
      <c r="M36" s="53">
        <f>D36+F36+G36-I36-K36-L36</f>
        <v/>
      </c>
      <c r="N36" s="53">
        <f>I36+J36+Q36*dev_bonds+SUMPRODUCT((Events!$B$6:$B$158&lt;=$A36)*(Events!$C$6:$C$158&gt;=$A36)*(Events!$E$6:$E$158="Investment")*Events!$H$6:$H$158)</f>
        <v/>
      </c>
      <c r="O36" s="53">
        <f>O35*(1-dev_dep)+N36</f>
        <v/>
      </c>
      <c r="P36" s="53">
        <f>SUMPRODUCT((Events!$B$6:$B$158&lt;=$A36)*(Events!$C$6:$C$158&gt;=$A36)*(Events!$E$6:$E$158="Debt assumed")*Events!$H$6:$H$158)</f>
        <v/>
      </c>
      <c r="Q36" s="53">
        <f>IF($A36&lt;1887,0,MAX(0,debt_floor*Economy!O36-(R35+P36+H36-C36-K36)))</f>
        <v/>
      </c>
      <c r="R36" s="53">
        <f>R35+P36+H36-C36-K36+Q36</f>
        <v/>
      </c>
      <c r="S36" s="53">
        <f>S35+L36-F36-J36+Q36*(1-dev_bonds)</f>
        <v/>
      </c>
      <c r="T36" s="69">
        <f>Loans!X36</f>
        <v/>
      </c>
      <c r="U36" s="53">
        <f>R36-M36-S36-T36</f>
        <v/>
      </c>
      <c r="V36" s="63">
        <f>R36/Economy!O36</f>
        <v/>
      </c>
      <c r="W36" s="63">
        <f>Budget!X36/Budget!M36</f>
        <v/>
      </c>
      <c r="X36" s="63">
        <f>S36/Economy!O36</f>
        <v/>
      </c>
      <c r="Y36" s="53">
        <f>MAX(0,H36+Q36-'Gold &amp; money'!G36)</f>
        <v/>
      </c>
    </row>
    <row r="37">
      <c r="A37" s="58" t="n">
        <v>1877</v>
      </c>
      <c r="B37" s="53">
        <f>Loans!V37-Loans!W37</f>
        <v/>
      </c>
      <c r="C37" s="53">
        <f>R36*debt_amort</f>
        <v/>
      </c>
      <c r="D37" s="53">
        <f>M36+Budget!Z37-B37-C37</f>
        <v/>
      </c>
      <c r="E37" s="53">
        <f>MAX(0.1,Budget!M37*cash_target)</f>
        <v/>
      </c>
      <c r="F37" s="53">
        <f>IF(D37&lt;E37,MIN(E37-D37,S36),0)</f>
        <v/>
      </c>
      <c r="G37" s="53">
        <f>MAX(0,E37-D37-F37)</f>
        <v/>
      </c>
      <c r="H37" s="53">
        <f>G37/issue_price</f>
        <v/>
      </c>
      <c r="I37" s="53">
        <f>IF(AND(D37&gt;E37,$A37&gt;=dev_start),(D37-E37)*dev_share,0)</f>
        <v/>
      </c>
      <c r="J37" s="53">
        <f>IF($A37&gt;=dev_start,MAX(0,S36-F37-reserve_buffer*Economy!O37),0)</f>
        <v/>
      </c>
      <c r="K37" s="53">
        <f>IF(D37&gt;E37,MIN((D37-E37-I37)*repay_share,R36-C37),0)</f>
        <v/>
      </c>
      <c r="L37" s="53">
        <f>IF(D37&gt;E37,D37-E37-I37-K37,0)</f>
        <v/>
      </c>
      <c r="M37" s="53">
        <f>D37+F37+G37-I37-K37-L37</f>
        <v/>
      </c>
      <c r="N37" s="53">
        <f>I37+J37+Q37*dev_bonds+SUMPRODUCT((Events!$B$6:$B$158&lt;=$A37)*(Events!$C$6:$C$158&gt;=$A37)*(Events!$E$6:$E$158="Investment")*Events!$H$6:$H$158)</f>
        <v/>
      </c>
      <c r="O37" s="53">
        <f>O36*(1-dev_dep)+N37</f>
        <v/>
      </c>
      <c r="P37" s="53">
        <f>SUMPRODUCT((Events!$B$6:$B$158&lt;=$A37)*(Events!$C$6:$C$158&gt;=$A37)*(Events!$E$6:$E$158="Debt assumed")*Events!$H$6:$H$158)</f>
        <v/>
      </c>
      <c r="Q37" s="53">
        <f>IF($A37&lt;1887,0,MAX(0,debt_floor*Economy!O37-(R36+P37+H37-C37-K37)))</f>
        <v/>
      </c>
      <c r="R37" s="53">
        <f>R36+P37+H37-C37-K37+Q37</f>
        <v/>
      </c>
      <c r="S37" s="53">
        <f>S36+L37-F37-J37+Q37*(1-dev_bonds)</f>
        <v/>
      </c>
      <c r="T37" s="69">
        <f>Loans!X37</f>
        <v/>
      </c>
      <c r="U37" s="53">
        <f>R37-M37-S37-T37</f>
        <v/>
      </c>
      <c r="V37" s="63">
        <f>R37/Economy!O37</f>
        <v/>
      </c>
      <c r="W37" s="63">
        <f>Budget!X37/Budget!M37</f>
        <v/>
      </c>
      <c r="X37" s="63">
        <f>S37/Economy!O37</f>
        <v/>
      </c>
      <c r="Y37" s="53">
        <f>MAX(0,H37+Q37-'Gold &amp; money'!G37)</f>
        <v/>
      </c>
    </row>
    <row r="38">
      <c r="A38" s="58" t="n">
        <v>1878</v>
      </c>
      <c r="B38" s="53">
        <f>Loans!V38-Loans!W38</f>
        <v/>
      </c>
      <c r="C38" s="53">
        <f>R37*debt_amort</f>
        <v/>
      </c>
      <c r="D38" s="53">
        <f>M37+Budget!Z38-B38-C38</f>
        <v/>
      </c>
      <c r="E38" s="53">
        <f>MAX(0.1,Budget!M38*cash_target)</f>
        <v/>
      </c>
      <c r="F38" s="53">
        <f>IF(D38&lt;E38,MIN(E38-D38,S37),0)</f>
        <v/>
      </c>
      <c r="G38" s="53">
        <f>MAX(0,E38-D38-F38)</f>
        <v/>
      </c>
      <c r="H38" s="53">
        <f>G38/issue_price</f>
        <v/>
      </c>
      <c r="I38" s="53">
        <f>IF(AND(D38&gt;E38,$A38&gt;=dev_start),(D38-E38)*dev_share,0)</f>
        <v/>
      </c>
      <c r="J38" s="53">
        <f>IF($A38&gt;=dev_start,MAX(0,S37-F38-reserve_buffer*Economy!O38),0)</f>
        <v/>
      </c>
      <c r="K38" s="53">
        <f>IF(D38&gt;E38,MIN((D38-E38-I38)*repay_share,R37-C38),0)</f>
        <v/>
      </c>
      <c r="L38" s="53">
        <f>IF(D38&gt;E38,D38-E38-I38-K38,0)</f>
        <v/>
      </c>
      <c r="M38" s="53">
        <f>D38+F38+G38-I38-K38-L38</f>
        <v/>
      </c>
      <c r="N38" s="53">
        <f>I38+J38+Q38*dev_bonds+SUMPRODUCT((Events!$B$6:$B$158&lt;=$A38)*(Events!$C$6:$C$158&gt;=$A38)*(Events!$E$6:$E$158="Investment")*Events!$H$6:$H$158)</f>
        <v/>
      </c>
      <c r="O38" s="53">
        <f>O37*(1-dev_dep)+N38</f>
        <v/>
      </c>
      <c r="P38" s="53">
        <f>SUMPRODUCT((Events!$B$6:$B$158&lt;=$A38)*(Events!$C$6:$C$158&gt;=$A38)*(Events!$E$6:$E$158="Debt assumed")*Events!$H$6:$H$158)</f>
        <v/>
      </c>
      <c r="Q38" s="53">
        <f>IF($A38&lt;1887,0,MAX(0,debt_floor*Economy!O38-(R37+P38+H38-C38-K38)))</f>
        <v/>
      </c>
      <c r="R38" s="53">
        <f>R37+P38+H38-C38-K38+Q38</f>
        <v/>
      </c>
      <c r="S38" s="53">
        <f>S37+L38-F38-J38+Q38*(1-dev_bonds)</f>
        <v/>
      </c>
      <c r="T38" s="69">
        <f>Loans!X38</f>
        <v/>
      </c>
      <c r="U38" s="53">
        <f>R38-M38-S38-T38</f>
        <v/>
      </c>
      <c r="V38" s="63">
        <f>R38/Economy!O38</f>
        <v/>
      </c>
      <c r="W38" s="63">
        <f>Budget!X38/Budget!M38</f>
        <v/>
      </c>
      <c r="X38" s="63">
        <f>S38/Economy!O38</f>
        <v/>
      </c>
      <c r="Y38" s="53">
        <f>MAX(0,H38+Q38-'Gold &amp; money'!G38)</f>
        <v/>
      </c>
    </row>
    <row r="39">
      <c r="A39" s="58" t="n">
        <v>1879</v>
      </c>
      <c r="B39" s="53">
        <f>Loans!V39-Loans!W39</f>
        <v/>
      </c>
      <c r="C39" s="53">
        <f>R38*debt_amort</f>
        <v/>
      </c>
      <c r="D39" s="53">
        <f>M38+Budget!Z39-B39-C39</f>
        <v/>
      </c>
      <c r="E39" s="53">
        <f>MAX(0.1,Budget!M39*cash_target)</f>
        <v/>
      </c>
      <c r="F39" s="53">
        <f>IF(D39&lt;E39,MIN(E39-D39,S38),0)</f>
        <v/>
      </c>
      <c r="G39" s="53">
        <f>MAX(0,E39-D39-F39)</f>
        <v/>
      </c>
      <c r="H39" s="53">
        <f>G39/issue_price</f>
        <v/>
      </c>
      <c r="I39" s="53">
        <f>IF(AND(D39&gt;E39,$A39&gt;=dev_start),(D39-E39)*dev_share,0)</f>
        <v/>
      </c>
      <c r="J39" s="53">
        <f>IF($A39&gt;=dev_start,MAX(0,S38-F39-reserve_buffer*Economy!O39),0)</f>
        <v/>
      </c>
      <c r="K39" s="53">
        <f>IF(D39&gt;E39,MIN((D39-E39-I39)*repay_share,R38-C39),0)</f>
        <v/>
      </c>
      <c r="L39" s="53">
        <f>IF(D39&gt;E39,D39-E39-I39-K39,0)</f>
        <v/>
      </c>
      <c r="M39" s="53">
        <f>D39+F39+G39-I39-K39-L39</f>
        <v/>
      </c>
      <c r="N39" s="53">
        <f>I39+J39+Q39*dev_bonds+SUMPRODUCT((Events!$B$6:$B$158&lt;=$A39)*(Events!$C$6:$C$158&gt;=$A39)*(Events!$E$6:$E$158="Investment")*Events!$H$6:$H$158)</f>
        <v/>
      </c>
      <c r="O39" s="53">
        <f>O38*(1-dev_dep)+N39</f>
        <v/>
      </c>
      <c r="P39" s="53">
        <f>SUMPRODUCT((Events!$B$6:$B$158&lt;=$A39)*(Events!$C$6:$C$158&gt;=$A39)*(Events!$E$6:$E$158="Debt assumed")*Events!$H$6:$H$158)</f>
        <v/>
      </c>
      <c r="Q39" s="53">
        <f>IF($A39&lt;1887,0,MAX(0,debt_floor*Economy!O39-(R38+P39+H39-C39-K39)))</f>
        <v/>
      </c>
      <c r="R39" s="53">
        <f>R38+P39+H39-C39-K39+Q39</f>
        <v/>
      </c>
      <c r="S39" s="53">
        <f>S38+L39-F39-J39+Q39*(1-dev_bonds)</f>
        <v/>
      </c>
      <c r="T39" s="69">
        <f>Loans!X39</f>
        <v/>
      </c>
      <c r="U39" s="53">
        <f>R39-M39-S39-T39</f>
        <v/>
      </c>
      <c r="V39" s="63">
        <f>R39/Economy!O39</f>
        <v/>
      </c>
      <c r="W39" s="63">
        <f>Budget!X39/Budget!M39</f>
        <v/>
      </c>
      <c r="X39" s="63">
        <f>S39/Economy!O39</f>
        <v/>
      </c>
      <c r="Y39" s="53">
        <f>MAX(0,H39+Q39-'Gold &amp; money'!G39)</f>
        <v/>
      </c>
    </row>
    <row r="40">
      <c r="A40" s="58" t="n">
        <v>1880</v>
      </c>
      <c r="B40" s="53">
        <f>Loans!V40-Loans!W40</f>
        <v/>
      </c>
      <c r="C40" s="53">
        <f>R39*debt_amort</f>
        <v/>
      </c>
      <c r="D40" s="53">
        <f>M39+Budget!Z40-B40-C40</f>
        <v/>
      </c>
      <c r="E40" s="53">
        <f>MAX(0.1,Budget!M40*cash_target)</f>
        <v/>
      </c>
      <c r="F40" s="53">
        <f>IF(D40&lt;E40,MIN(E40-D40,S39),0)</f>
        <v/>
      </c>
      <c r="G40" s="53">
        <f>MAX(0,E40-D40-F40)</f>
        <v/>
      </c>
      <c r="H40" s="53">
        <f>G40/issue_price</f>
        <v/>
      </c>
      <c r="I40" s="53">
        <f>IF(AND(D40&gt;E40,$A40&gt;=dev_start),(D40-E40)*dev_share,0)</f>
        <v/>
      </c>
      <c r="J40" s="53">
        <f>IF($A40&gt;=dev_start,MAX(0,S39-F40-reserve_buffer*Economy!O40),0)</f>
        <v/>
      </c>
      <c r="K40" s="53">
        <f>IF(D40&gt;E40,MIN((D40-E40-I40)*repay_share,R39-C40),0)</f>
        <v/>
      </c>
      <c r="L40" s="53">
        <f>IF(D40&gt;E40,D40-E40-I40-K40,0)</f>
        <v/>
      </c>
      <c r="M40" s="53">
        <f>D40+F40+G40-I40-K40-L40</f>
        <v/>
      </c>
      <c r="N40" s="53">
        <f>I40+J40+Q40*dev_bonds+SUMPRODUCT((Events!$B$6:$B$158&lt;=$A40)*(Events!$C$6:$C$158&gt;=$A40)*(Events!$E$6:$E$158="Investment")*Events!$H$6:$H$158)</f>
        <v/>
      </c>
      <c r="O40" s="53">
        <f>O39*(1-dev_dep)+N40</f>
        <v/>
      </c>
      <c r="P40" s="53">
        <f>SUMPRODUCT((Events!$B$6:$B$158&lt;=$A40)*(Events!$C$6:$C$158&gt;=$A40)*(Events!$E$6:$E$158="Debt assumed")*Events!$H$6:$H$158)</f>
        <v/>
      </c>
      <c r="Q40" s="53">
        <f>IF($A40&lt;1887,0,MAX(0,debt_floor*Economy!O40-(R39+P40+H40-C40-K40)))</f>
        <v/>
      </c>
      <c r="R40" s="53">
        <f>R39+P40+H40-C40-K40+Q40</f>
        <v/>
      </c>
      <c r="S40" s="53">
        <f>S39+L40-F40-J40+Q40*(1-dev_bonds)</f>
        <v/>
      </c>
      <c r="T40" s="69">
        <f>Loans!X40</f>
        <v/>
      </c>
      <c r="U40" s="53">
        <f>R40-M40-S40-T40</f>
        <v/>
      </c>
      <c r="V40" s="63">
        <f>R40/Economy!O40</f>
        <v/>
      </c>
      <c r="W40" s="63">
        <f>Budget!X40/Budget!M40</f>
        <v/>
      </c>
      <c r="X40" s="63">
        <f>S40/Economy!O40</f>
        <v/>
      </c>
      <c r="Y40" s="53">
        <f>MAX(0,H40+Q40-'Gold &amp; money'!G40)</f>
        <v/>
      </c>
    </row>
    <row r="41">
      <c r="A41" s="58" t="n">
        <v>1881</v>
      </c>
      <c r="B41" s="53">
        <f>Loans!V41-Loans!W41</f>
        <v/>
      </c>
      <c r="C41" s="53">
        <f>R40*debt_amort</f>
        <v/>
      </c>
      <c r="D41" s="53">
        <f>M40+Budget!Z41-B41-C41</f>
        <v/>
      </c>
      <c r="E41" s="53">
        <f>MAX(0.1,Budget!M41*cash_target)</f>
        <v/>
      </c>
      <c r="F41" s="53">
        <f>IF(D41&lt;E41,MIN(E41-D41,S40),0)</f>
        <v/>
      </c>
      <c r="G41" s="53">
        <f>MAX(0,E41-D41-F41)</f>
        <v/>
      </c>
      <c r="H41" s="53">
        <f>G41/issue_price</f>
        <v/>
      </c>
      <c r="I41" s="53">
        <f>IF(AND(D41&gt;E41,$A41&gt;=dev_start),(D41-E41)*dev_share,0)</f>
        <v/>
      </c>
      <c r="J41" s="53">
        <f>IF($A41&gt;=dev_start,MAX(0,S40-F41-reserve_buffer*Economy!O41),0)</f>
        <v/>
      </c>
      <c r="K41" s="53">
        <f>IF(D41&gt;E41,MIN((D41-E41-I41)*repay_share,R40-C41),0)</f>
        <v/>
      </c>
      <c r="L41" s="53">
        <f>IF(D41&gt;E41,D41-E41-I41-K41,0)</f>
        <v/>
      </c>
      <c r="M41" s="53">
        <f>D41+F41+G41-I41-K41-L41</f>
        <v/>
      </c>
      <c r="N41" s="53">
        <f>I41+J41+Q41*dev_bonds+SUMPRODUCT((Events!$B$6:$B$158&lt;=$A41)*(Events!$C$6:$C$158&gt;=$A41)*(Events!$E$6:$E$158="Investment")*Events!$H$6:$H$158)</f>
        <v/>
      </c>
      <c r="O41" s="53">
        <f>O40*(1-dev_dep)+N41</f>
        <v/>
      </c>
      <c r="P41" s="53">
        <f>SUMPRODUCT((Events!$B$6:$B$158&lt;=$A41)*(Events!$C$6:$C$158&gt;=$A41)*(Events!$E$6:$E$158="Debt assumed")*Events!$H$6:$H$158)</f>
        <v/>
      </c>
      <c r="Q41" s="53">
        <f>IF($A41&lt;1887,0,MAX(0,debt_floor*Economy!O41-(R40+P41+H41-C41-K41)))</f>
        <v/>
      </c>
      <c r="R41" s="53">
        <f>R40+P41+H41-C41-K41+Q41</f>
        <v/>
      </c>
      <c r="S41" s="53">
        <f>S40+L41-F41-J41+Q41*(1-dev_bonds)</f>
        <v/>
      </c>
      <c r="T41" s="69">
        <f>Loans!X41</f>
        <v/>
      </c>
      <c r="U41" s="53">
        <f>R41-M41-S41-T41</f>
        <v/>
      </c>
      <c r="V41" s="63">
        <f>R41/Economy!O41</f>
        <v/>
      </c>
      <c r="W41" s="63">
        <f>Budget!X41/Budget!M41</f>
        <v/>
      </c>
      <c r="X41" s="63">
        <f>S41/Economy!O41</f>
        <v/>
      </c>
      <c r="Y41" s="53">
        <f>MAX(0,H41+Q41-'Gold &amp; money'!G41)</f>
        <v/>
      </c>
    </row>
    <row r="42">
      <c r="A42" s="58" t="n">
        <v>1882</v>
      </c>
      <c r="B42" s="53">
        <f>Loans!V42-Loans!W42</f>
        <v/>
      </c>
      <c r="C42" s="53">
        <f>R41*debt_amort</f>
        <v/>
      </c>
      <c r="D42" s="53">
        <f>M41+Budget!Z42-B42-C42</f>
        <v/>
      </c>
      <c r="E42" s="53">
        <f>MAX(0.1,Budget!M42*cash_target)</f>
        <v/>
      </c>
      <c r="F42" s="53">
        <f>IF(D42&lt;E42,MIN(E42-D42,S41),0)</f>
        <v/>
      </c>
      <c r="G42" s="53">
        <f>MAX(0,E42-D42-F42)</f>
        <v/>
      </c>
      <c r="H42" s="53">
        <f>G42/issue_price</f>
        <v/>
      </c>
      <c r="I42" s="53">
        <f>IF(AND(D42&gt;E42,$A42&gt;=dev_start),(D42-E42)*dev_share,0)</f>
        <v/>
      </c>
      <c r="J42" s="53">
        <f>IF($A42&gt;=dev_start,MAX(0,S41-F42-reserve_buffer*Economy!O42),0)</f>
        <v/>
      </c>
      <c r="K42" s="53">
        <f>IF(D42&gt;E42,MIN((D42-E42-I42)*repay_share,R41-C42),0)</f>
        <v/>
      </c>
      <c r="L42" s="53">
        <f>IF(D42&gt;E42,D42-E42-I42-K42,0)</f>
        <v/>
      </c>
      <c r="M42" s="53">
        <f>D42+F42+G42-I42-K42-L42</f>
        <v/>
      </c>
      <c r="N42" s="53">
        <f>I42+J42+Q42*dev_bonds+SUMPRODUCT((Events!$B$6:$B$158&lt;=$A42)*(Events!$C$6:$C$158&gt;=$A42)*(Events!$E$6:$E$158="Investment")*Events!$H$6:$H$158)</f>
        <v/>
      </c>
      <c r="O42" s="53">
        <f>O41*(1-dev_dep)+N42</f>
        <v/>
      </c>
      <c r="P42" s="53">
        <f>SUMPRODUCT((Events!$B$6:$B$158&lt;=$A42)*(Events!$C$6:$C$158&gt;=$A42)*(Events!$E$6:$E$158="Debt assumed")*Events!$H$6:$H$158)</f>
        <v/>
      </c>
      <c r="Q42" s="53">
        <f>IF($A42&lt;1887,0,MAX(0,debt_floor*Economy!O42-(R41+P42+H42-C42-K42)))</f>
        <v/>
      </c>
      <c r="R42" s="53">
        <f>R41+P42+H42-C42-K42+Q42</f>
        <v/>
      </c>
      <c r="S42" s="53">
        <f>S41+L42-F42-J42+Q42*(1-dev_bonds)</f>
        <v/>
      </c>
      <c r="T42" s="69">
        <f>Loans!X42</f>
        <v/>
      </c>
      <c r="U42" s="53">
        <f>R42-M42-S42-T42</f>
        <v/>
      </c>
      <c r="V42" s="63">
        <f>R42/Economy!O42</f>
        <v/>
      </c>
      <c r="W42" s="63">
        <f>Budget!X42/Budget!M42</f>
        <v/>
      </c>
      <c r="X42" s="63">
        <f>S42/Economy!O42</f>
        <v/>
      </c>
      <c r="Y42" s="53">
        <f>MAX(0,H42+Q42-'Gold &amp; money'!G42)</f>
        <v/>
      </c>
    </row>
    <row r="43">
      <c r="A43" s="58" t="n">
        <v>1883</v>
      </c>
      <c r="B43" s="53">
        <f>Loans!V43-Loans!W43</f>
        <v/>
      </c>
      <c r="C43" s="53">
        <f>R42*debt_amort</f>
        <v/>
      </c>
      <c r="D43" s="53">
        <f>M42+Budget!Z43-B43-C43</f>
        <v/>
      </c>
      <c r="E43" s="53">
        <f>MAX(0.1,Budget!M43*cash_target)</f>
        <v/>
      </c>
      <c r="F43" s="53">
        <f>IF(D43&lt;E43,MIN(E43-D43,S42),0)</f>
        <v/>
      </c>
      <c r="G43" s="53">
        <f>MAX(0,E43-D43-F43)</f>
        <v/>
      </c>
      <c r="H43" s="53">
        <f>G43/issue_price</f>
        <v/>
      </c>
      <c r="I43" s="53">
        <f>IF(AND(D43&gt;E43,$A43&gt;=dev_start),(D43-E43)*dev_share,0)</f>
        <v/>
      </c>
      <c r="J43" s="53">
        <f>IF($A43&gt;=dev_start,MAX(0,S42-F43-reserve_buffer*Economy!O43),0)</f>
        <v/>
      </c>
      <c r="K43" s="53">
        <f>IF(D43&gt;E43,MIN((D43-E43-I43)*repay_share,R42-C43),0)</f>
        <v/>
      </c>
      <c r="L43" s="53">
        <f>IF(D43&gt;E43,D43-E43-I43-K43,0)</f>
        <v/>
      </c>
      <c r="M43" s="53">
        <f>D43+F43+G43-I43-K43-L43</f>
        <v/>
      </c>
      <c r="N43" s="53">
        <f>I43+J43+Q43*dev_bonds+SUMPRODUCT((Events!$B$6:$B$158&lt;=$A43)*(Events!$C$6:$C$158&gt;=$A43)*(Events!$E$6:$E$158="Investment")*Events!$H$6:$H$158)</f>
        <v/>
      </c>
      <c r="O43" s="53">
        <f>O42*(1-dev_dep)+N43</f>
        <v/>
      </c>
      <c r="P43" s="53">
        <f>SUMPRODUCT((Events!$B$6:$B$158&lt;=$A43)*(Events!$C$6:$C$158&gt;=$A43)*(Events!$E$6:$E$158="Debt assumed")*Events!$H$6:$H$158)</f>
        <v/>
      </c>
      <c r="Q43" s="53">
        <f>IF($A43&lt;1887,0,MAX(0,debt_floor*Economy!O43-(R42+P43+H43-C43-K43)))</f>
        <v/>
      </c>
      <c r="R43" s="53">
        <f>R42+P43+H43-C43-K43+Q43</f>
        <v/>
      </c>
      <c r="S43" s="53">
        <f>S42+L43-F43-J43+Q43*(1-dev_bonds)</f>
        <v/>
      </c>
      <c r="T43" s="69">
        <f>Loans!X43</f>
        <v/>
      </c>
      <c r="U43" s="53">
        <f>R43-M43-S43-T43</f>
        <v/>
      </c>
      <c r="V43" s="63">
        <f>R43/Economy!O43</f>
        <v/>
      </c>
      <c r="W43" s="63">
        <f>Budget!X43/Budget!M43</f>
        <v/>
      </c>
      <c r="X43" s="63">
        <f>S43/Economy!O43</f>
        <v/>
      </c>
      <c r="Y43" s="53">
        <f>MAX(0,H43+Q43-'Gold &amp; money'!G43)</f>
        <v/>
      </c>
    </row>
    <row r="44">
      <c r="A44" s="58" t="n">
        <v>1884</v>
      </c>
      <c r="B44" s="53">
        <f>Loans!V44-Loans!W44</f>
        <v/>
      </c>
      <c r="C44" s="53">
        <f>R43*debt_amort</f>
        <v/>
      </c>
      <c r="D44" s="53">
        <f>M43+Budget!Z44-B44-C44</f>
        <v/>
      </c>
      <c r="E44" s="53">
        <f>MAX(0.1,Budget!M44*cash_target)</f>
        <v/>
      </c>
      <c r="F44" s="53">
        <f>IF(D44&lt;E44,MIN(E44-D44,S43),0)</f>
        <v/>
      </c>
      <c r="G44" s="53">
        <f>MAX(0,E44-D44-F44)</f>
        <v/>
      </c>
      <c r="H44" s="53">
        <f>G44/issue_price</f>
        <v/>
      </c>
      <c r="I44" s="53">
        <f>IF(AND(D44&gt;E44,$A44&gt;=dev_start),(D44-E44)*dev_share,0)</f>
        <v/>
      </c>
      <c r="J44" s="53">
        <f>IF($A44&gt;=dev_start,MAX(0,S43-F44-reserve_buffer*Economy!O44),0)</f>
        <v/>
      </c>
      <c r="K44" s="53">
        <f>IF(D44&gt;E44,MIN((D44-E44-I44)*repay_share,R43-C44),0)</f>
        <v/>
      </c>
      <c r="L44" s="53">
        <f>IF(D44&gt;E44,D44-E44-I44-K44,0)</f>
        <v/>
      </c>
      <c r="M44" s="53">
        <f>D44+F44+G44-I44-K44-L44</f>
        <v/>
      </c>
      <c r="N44" s="53">
        <f>I44+J44+Q44*dev_bonds+SUMPRODUCT((Events!$B$6:$B$158&lt;=$A44)*(Events!$C$6:$C$158&gt;=$A44)*(Events!$E$6:$E$158="Investment")*Events!$H$6:$H$158)</f>
        <v/>
      </c>
      <c r="O44" s="53">
        <f>O43*(1-dev_dep)+N44</f>
        <v/>
      </c>
      <c r="P44" s="53">
        <f>SUMPRODUCT((Events!$B$6:$B$158&lt;=$A44)*(Events!$C$6:$C$158&gt;=$A44)*(Events!$E$6:$E$158="Debt assumed")*Events!$H$6:$H$158)</f>
        <v/>
      </c>
      <c r="Q44" s="53">
        <f>IF($A44&lt;1887,0,MAX(0,debt_floor*Economy!O44-(R43+P44+H44-C44-K44)))</f>
        <v/>
      </c>
      <c r="R44" s="53">
        <f>R43+P44+H44-C44-K44+Q44</f>
        <v/>
      </c>
      <c r="S44" s="53">
        <f>S43+L44-F44-J44+Q44*(1-dev_bonds)</f>
        <v/>
      </c>
      <c r="T44" s="69">
        <f>Loans!X44</f>
        <v/>
      </c>
      <c r="U44" s="53">
        <f>R44-M44-S44-T44</f>
        <v/>
      </c>
      <c r="V44" s="63">
        <f>R44/Economy!O44</f>
        <v/>
      </c>
      <c r="W44" s="63">
        <f>Budget!X44/Budget!M44</f>
        <v/>
      </c>
      <c r="X44" s="63">
        <f>S44/Economy!O44</f>
        <v/>
      </c>
      <c r="Y44" s="53">
        <f>MAX(0,H44+Q44-'Gold &amp; money'!G44)</f>
        <v/>
      </c>
    </row>
    <row r="45">
      <c r="A45" s="58" t="n">
        <v>1885</v>
      </c>
      <c r="B45" s="53">
        <f>Loans!V45-Loans!W45</f>
        <v/>
      </c>
      <c r="C45" s="53">
        <f>R44*debt_amort</f>
        <v/>
      </c>
      <c r="D45" s="53">
        <f>M44+Budget!Z45-B45-C45</f>
        <v/>
      </c>
      <c r="E45" s="53">
        <f>MAX(0.1,Budget!M45*cash_target)</f>
        <v/>
      </c>
      <c r="F45" s="53">
        <f>IF(D45&lt;E45,MIN(E45-D45,S44),0)</f>
        <v/>
      </c>
      <c r="G45" s="53">
        <f>MAX(0,E45-D45-F45)</f>
        <v/>
      </c>
      <c r="H45" s="53">
        <f>G45/issue_price</f>
        <v/>
      </c>
      <c r="I45" s="53">
        <f>IF(AND(D45&gt;E45,$A45&gt;=dev_start),(D45-E45)*dev_share,0)</f>
        <v/>
      </c>
      <c r="J45" s="53">
        <f>IF($A45&gt;=dev_start,MAX(0,S44-F45-reserve_buffer*Economy!O45),0)</f>
        <v/>
      </c>
      <c r="K45" s="53">
        <f>IF(D45&gt;E45,MIN((D45-E45-I45)*repay_share,R44-C45),0)</f>
        <v/>
      </c>
      <c r="L45" s="53">
        <f>IF(D45&gt;E45,D45-E45-I45-K45,0)</f>
        <v/>
      </c>
      <c r="M45" s="53">
        <f>D45+F45+G45-I45-K45-L45</f>
        <v/>
      </c>
      <c r="N45" s="53">
        <f>I45+J45+Q45*dev_bonds+SUMPRODUCT((Events!$B$6:$B$158&lt;=$A45)*(Events!$C$6:$C$158&gt;=$A45)*(Events!$E$6:$E$158="Investment")*Events!$H$6:$H$158)</f>
        <v/>
      </c>
      <c r="O45" s="53">
        <f>O44*(1-dev_dep)+N45</f>
        <v/>
      </c>
      <c r="P45" s="53">
        <f>SUMPRODUCT((Events!$B$6:$B$158&lt;=$A45)*(Events!$C$6:$C$158&gt;=$A45)*(Events!$E$6:$E$158="Debt assumed")*Events!$H$6:$H$158)</f>
        <v/>
      </c>
      <c r="Q45" s="53">
        <f>IF($A45&lt;1887,0,MAX(0,debt_floor*Economy!O45-(R44+P45+H45-C45-K45)))</f>
        <v/>
      </c>
      <c r="R45" s="53">
        <f>R44+P45+H45-C45-K45+Q45</f>
        <v/>
      </c>
      <c r="S45" s="53">
        <f>S44+L45-F45-J45+Q45*(1-dev_bonds)</f>
        <v/>
      </c>
      <c r="T45" s="69">
        <f>Loans!X45</f>
        <v/>
      </c>
      <c r="U45" s="53">
        <f>R45-M45-S45-T45</f>
        <v/>
      </c>
      <c r="V45" s="63">
        <f>R45/Economy!O45</f>
        <v/>
      </c>
      <c r="W45" s="63">
        <f>Budget!X45/Budget!M45</f>
        <v/>
      </c>
      <c r="X45" s="63">
        <f>S45/Economy!O45</f>
        <v/>
      </c>
      <c r="Y45" s="53">
        <f>MAX(0,H45+Q45-'Gold &amp; money'!G45)</f>
        <v/>
      </c>
    </row>
    <row r="46">
      <c r="A46" s="58" t="n">
        <v>1886</v>
      </c>
      <c r="B46" s="53">
        <f>Loans!V46-Loans!W46</f>
        <v/>
      </c>
      <c r="C46" s="53">
        <f>R45*debt_amort</f>
        <v/>
      </c>
      <c r="D46" s="53">
        <f>M45+Budget!Z46-B46-C46</f>
        <v/>
      </c>
      <c r="E46" s="53">
        <f>MAX(0.1,Budget!M46*cash_target)</f>
        <v/>
      </c>
      <c r="F46" s="53">
        <f>IF(D46&lt;E46,MIN(E46-D46,S45),0)</f>
        <v/>
      </c>
      <c r="G46" s="53">
        <f>MAX(0,E46-D46-F46)</f>
        <v/>
      </c>
      <c r="H46" s="53">
        <f>G46/issue_price</f>
        <v/>
      </c>
      <c r="I46" s="53">
        <f>IF(AND(D46&gt;E46,$A46&gt;=dev_start),(D46-E46)*dev_share,0)</f>
        <v/>
      </c>
      <c r="J46" s="53">
        <f>IF($A46&gt;=dev_start,MAX(0,S45-F46-reserve_buffer*Economy!O46),0)</f>
        <v/>
      </c>
      <c r="K46" s="53">
        <f>IF(D46&gt;E46,MIN((D46-E46-I46)*repay_share,R45-C46),0)</f>
        <v/>
      </c>
      <c r="L46" s="53">
        <f>IF(D46&gt;E46,D46-E46-I46-K46,0)</f>
        <v/>
      </c>
      <c r="M46" s="53">
        <f>D46+F46+G46-I46-K46-L46</f>
        <v/>
      </c>
      <c r="N46" s="53">
        <f>I46+J46+Q46*dev_bonds+SUMPRODUCT((Events!$B$6:$B$158&lt;=$A46)*(Events!$C$6:$C$158&gt;=$A46)*(Events!$E$6:$E$158="Investment")*Events!$H$6:$H$158)</f>
        <v/>
      </c>
      <c r="O46" s="53">
        <f>O45*(1-dev_dep)+N46</f>
        <v/>
      </c>
      <c r="P46" s="53">
        <f>SUMPRODUCT((Events!$B$6:$B$158&lt;=$A46)*(Events!$C$6:$C$158&gt;=$A46)*(Events!$E$6:$E$158="Debt assumed")*Events!$H$6:$H$158)</f>
        <v/>
      </c>
      <c r="Q46" s="53">
        <f>IF($A46&lt;1887,0,MAX(0,debt_floor*Economy!O46-(R45+P46+H46-C46-K46)))</f>
        <v/>
      </c>
      <c r="R46" s="53">
        <f>R45+P46+H46-C46-K46+Q46</f>
        <v/>
      </c>
      <c r="S46" s="53">
        <f>S45+L46-F46-J46+Q46*(1-dev_bonds)</f>
        <v/>
      </c>
      <c r="T46" s="69">
        <f>Loans!X46</f>
        <v/>
      </c>
      <c r="U46" s="53">
        <f>R46-M46-S46-T46</f>
        <v/>
      </c>
      <c r="V46" s="63">
        <f>R46/Economy!O46</f>
        <v/>
      </c>
      <c r="W46" s="63">
        <f>Budget!X46/Budget!M46</f>
        <v/>
      </c>
      <c r="X46" s="63">
        <f>S46/Economy!O46</f>
        <v/>
      </c>
      <c r="Y46" s="53">
        <f>MAX(0,H46+Q46-'Gold &amp; money'!G46)</f>
        <v/>
      </c>
    </row>
    <row r="47">
      <c r="A47" s="58" t="n">
        <v>1887</v>
      </c>
      <c r="B47" s="53">
        <f>Loans!V47-Loans!W47</f>
        <v/>
      </c>
      <c r="C47" s="53">
        <f>R46*debt_amort</f>
        <v/>
      </c>
      <c r="D47" s="53">
        <f>M46+Budget!Z47-B47-C47</f>
        <v/>
      </c>
      <c r="E47" s="53">
        <f>MAX(0.1,Budget!M47*cash_target)</f>
        <v/>
      </c>
      <c r="F47" s="53">
        <f>IF(D47&lt;E47,MIN(E47-D47,S46),0)</f>
        <v/>
      </c>
      <c r="G47" s="53">
        <f>MAX(0,E47-D47-F47)</f>
        <v/>
      </c>
      <c r="H47" s="53">
        <f>G47/issue_price</f>
        <v/>
      </c>
      <c r="I47" s="53">
        <f>IF(AND(D47&gt;E47,$A47&gt;=dev_start),(D47-E47)*dev_share,0)</f>
        <v/>
      </c>
      <c r="J47" s="53">
        <f>IF($A47&gt;=dev_start,MAX(0,S46-F47-reserve_buffer*Economy!O47),0)</f>
        <v/>
      </c>
      <c r="K47" s="53">
        <f>IF(D47&gt;E47,MIN((D47-E47-I47)*repay_share,R46-C47),0)</f>
        <v/>
      </c>
      <c r="L47" s="53">
        <f>IF(D47&gt;E47,D47-E47-I47-K47,0)</f>
        <v/>
      </c>
      <c r="M47" s="53">
        <f>D47+F47+G47-I47-K47-L47</f>
        <v/>
      </c>
      <c r="N47" s="53">
        <f>I47+J47+Q47*dev_bonds+SUMPRODUCT((Events!$B$6:$B$158&lt;=$A47)*(Events!$C$6:$C$158&gt;=$A47)*(Events!$E$6:$E$158="Investment")*Events!$H$6:$H$158)</f>
        <v/>
      </c>
      <c r="O47" s="53">
        <f>O46*(1-dev_dep)+N47</f>
        <v/>
      </c>
      <c r="P47" s="53">
        <f>SUMPRODUCT((Events!$B$6:$B$158&lt;=$A47)*(Events!$C$6:$C$158&gt;=$A47)*(Events!$E$6:$E$158="Debt assumed")*Events!$H$6:$H$158)</f>
        <v/>
      </c>
      <c r="Q47" s="53">
        <f>IF($A47&lt;1887,0,MAX(0,debt_floor*Economy!O47-(R46+P47+H47-C47-K47)))</f>
        <v/>
      </c>
      <c r="R47" s="53">
        <f>R46+P47+H47-C47-K47+Q47</f>
        <v/>
      </c>
      <c r="S47" s="53">
        <f>S46+L47-F47-J47+Q47*(1-dev_bonds)</f>
        <v/>
      </c>
      <c r="T47" s="69">
        <f>Loans!X47</f>
        <v/>
      </c>
      <c r="U47" s="53">
        <f>R47-M47-S47-T47</f>
        <v/>
      </c>
      <c r="V47" s="63">
        <f>R47/Economy!O47</f>
        <v/>
      </c>
      <c r="W47" s="63">
        <f>Budget!X47/Budget!M47</f>
        <v/>
      </c>
      <c r="X47" s="63">
        <f>S47/Economy!O47</f>
        <v/>
      </c>
      <c r="Y47" s="53">
        <f>MAX(0,H47+Q47-'Gold &amp; money'!G47)</f>
        <v/>
      </c>
    </row>
    <row r="48">
      <c r="A48" s="58" t="n">
        <v>1888</v>
      </c>
      <c r="B48" s="53">
        <f>Loans!V48-Loans!W48</f>
        <v/>
      </c>
      <c r="C48" s="53">
        <f>R47*debt_amort</f>
        <v/>
      </c>
      <c r="D48" s="53">
        <f>M47+Budget!Z48-B48-C48</f>
        <v/>
      </c>
      <c r="E48" s="53">
        <f>MAX(0.1,Budget!M48*cash_target)</f>
        <v/>
      </c>
      <c r="F48" s="53">
        <f>IF(D48&lt;E48,MIN(E48-D48,S47),0)</f>
        <v/>
      </c>
      <c r="G48" s="53">
        <f>MAX(0,E48-D48-F48)</f>
        <v/>
      </c>
      <c r="H48" s="53">
        <f>G48/issue_price</f>
        <v/>
      </c>
      <c r="I48" s="53">
        <f>IF(AND(D48&gt;E48,$A48&gt;=dev_start),(D48-E48)*dev_share,0)</f>
        <v/>
      </c>
      <c r="J48" s="53">
        <f>IF($A48&gt;=dev_start,MAX(0,S47-F48-reserve_buffer*Economy!O48),0)</f>
        <v/>
      </c>
      <c r="K48" s="53">
        <f>IF(D48&gt;E48,MIN((D48-E48-I48)*repay_share,R47-C48),0)</f>
        <v/>
      </c>
      <c r="L48" s="53">
        <f>IF(D48&gt;E48,D48-E48-I48-K48,0)</f>
        <v/>
      </c>
      <c r="M48" s="53">
        <f>D48+F48+G48-I48-K48-L48</f>
        <v/>
      </c>
      <c r="N48" s="53">
        <f>I48+J48+Q48*dev_bonds+SUMPRODUCT((Events!$B$6:$B$158&lt;=$A48)*(Events!$C$6:$C$158&gt;=$A48)*(Events!$E$6:$E$158="Investment")*Events!$H$6:$H$158)</f>
        <v/>
      </c>
      <c r="O48" s="53">
        <f>O47*(1-dev_dep)+N48</f>
        <v/>
      </c>
      <c r="P48" s="53">
        <f>SUMPRODUCT((Events!$B$6:$B$158&lt;=$A48)*(Events!$C$6:$C$158&gt;=$A48)*(Events!$E$6:$E$158="Debt assumed")*Events!$H$6:$H$158)</f>
        <v/>
      </c>
      <c r="Q48" s="53">
        <f>IF($A48&lt;1887,0,MAX(0,debt_floor*Economy!O48-(R47+P48+H48-C48-K48)))</f>
        <v/>
      </c>
      <c r="R48" s="53">
        <f>R47+P48+H48-C48-K48+Q48</f>
        <v/>
      </c>
      <c r="S48" s="53">
        <f>S47+L48-F48-J48+Q48*(1-dev_bonds)</f>
        <v/>
      </c>
      <c r="T48" s="69">
        <f>Loans!X48</f>
        <v/>
      </c>
      <c r="U48" s="53">
        <f>R48-M48-S48-T48</f>
        <v/>
      </c>
      <c r="V48" s="63">
        <f>R48/Economy!O48</f>
        <v/>
      </c>
      <c r="W48" s="63">
        <f>Budget!X48/Budget!M48</f>
        <v/>
      </c>
      <c r="X48" s="63">
        <f>S48/Economy!O48</f>
        <v/>
      </c>
      <c r="Y48" s="53">
        <f>MAX(0,H48+Q48-'Gold &amp; money'!G48)</f>
        <v/>
      </c>
    </row>
    <row r="49">
      <c r="A49" s="58" t="n">
        <v>1889</v>
      </c>
      <c r="B49" s="53">
        <f>Loans!V49-Loans!W49</f>
        <v/>
      </c>
      <c r="C49" s="53">
        <f>R48*debt_amort</f>
        <v/>
      </c>
      <c r="D49" s="53">
        <f>M48+Budget!Z49-B49-C49</f>
        <v/>
      </c>
      <c r="E49" s="53">
        <f>MAX(0.1,Budget!M49*cash_target)</f>
        <v/>
      </c>
      <c r="F49" s="53">
        <f>IF(D49&lt;E49,MIN(E49-D49,S48),0)</f>
        <v/>
      </c>
      <c r="G49" s="53">
        <f>MAX(0,E49-D49-F49)</f>
        <v/>
      </c>
      <c r="H49" s="53">
        <f>G49/issue_price</f>
        <v/>
      </c>
      <c r="I49" s="53">
        <f>IF(AND(D49&gt;E49,$A49&gt;=dev_start),(D49-E49)*dev_share,0)</f>
        <v/>
      </c>
      <c r="J49" s="53">
        <f>IF($A49&gt;=dev_start,MAX(0,S48-F49-reserve_buffer*Economy!O49),0)</f>
        <v/>
      </c>
      <c r="K49" s="53">
        <f>IF(D49&gt;E49,MIN((D49-E49-I49)*repay_share,R48-C49),0)</f>
        <v/>
      </c>
      <c r="L49" s="53">
        <f>IF(D49&gt;E49,D49-E49-I49-K49,0)</f>
        <v/>
      </c>
      <c r="M49" s="53">
        <f>D49+F49+G49-I49-K49-L49</f>
        <v/>
      </c>
      <c r="N49" s="53">
        <f>I49+J49+Q49*dev_bonds+SUMPRODUCT((Events!$B$6:$B$158&lt;=$A49)*(Events!$C$6:$C$158&gt;=$A49)*(Events!$E$6:$E$158="Investment")*Events!$H$6:$H$158)</f>
        <v/>
      </c>
      <c r="O49" s="53">
        <f>O48*(1-dev_dep)+N49</f>
        <v/>
      </c>
      <c r="P49" s="53">
        <f>SUMPRODUCT((Events!$B$6:$B$158&lt;=$A49)*(Events!$C$6:$C$158&gt;=$A49)*(Events!$E$6:$E$158="Debt assumed")*Events!$H$6:$H$158)</f>
        <v/>
      </c>
      <c r="Q49" s="53">
        <f>IF($A49&lt;1887,0,MAX(0,debt_floor*Economy!O49-(R48+P49+H49-C49-K49)))</f>
        <v/>
      </c>
      <c r="R49" s="53">
        <f>R48+P49+H49-C49-K49+Q49</f>
        <v/>
      </c>
      <c r="S49" s="53">
        <f>S48+L49-F49-J49+Q49*(1-dev_bonds)</f>
        <v/>
      </c>
      <c r="T49" s="69">
        <f>Loans!X49</f>
        <v/>
      </c>
      <c r="U49" s="53">
        <f>R49-M49-S49-T49</f>
        <v/>
      </c>
      <c r="V49" s="63">
        <f>R49/Economy!O49</f>
        <v/>
      </c>
      <c r="W49" s="63">
        <f>Budget!X49/Budget!M49</f>
        <v/>
      </c>
      <c r="X49" s="63">
        <f>S49/Economy!O49</f>
        <v/>
      </c>
      <c r="Y49" s="53">
        <f>MAX(0,H49+Q49-'Gold &amp; money'!G49)</f>
        <v/>
      </c>
    </row>
    <row r="50">
      <c r="A50" s="58" t="n">
        <v>1890</v>
      </c>
      <c r="B50" s="53">
        <f>Loans!V50-Loans!W50</f>
        <v/>
      </c>
      <c r="C50" s="53">
        <f>R49*debt_amort</f>
        <v/>
      </c>
      <c r="D50" s="53">
        <f>M49+Budget!Z50-B50-C50</f>
        <v/>
      </c>
      <c r="E50" s="53">
        <f>MAX(0.1,Budget!M50*cash_target)</f>
        <v/>
      </c>
      <c r="F50" s="53">
        <f>IF(D50&lt;E50,MIN(E50-D50,S49),0)</f>
        <v/>
      </c>
      <c r="G50" s="53">
        <f>MAX(0,E50-D50-F50)</f>
        <v/>
      </c>
      <c r="H50" s="53">
        <f>G50/issue_price</f>
        <v/>
      </c>
      <c r="I50" s="53">
        <f>IF(AND(D50&gt;E50,$A50&gt;=dev_start),(D50-E50)*dev_share,0)</f>
        <v/>
      </c>
      <c r="J50" s="53">
        <f>IF($A50&gt;=dev_start,MAX(0,S49-F50-reserve_buffer*Economy!O50),0)</f>
        <v/>
      </c>
      <c r="K50" s="53">
        <f>IF(D50&gt;E50,MIN((D50-E50-I50)*repay_share,R49-C50),0)</f>
        <v/>
      </c>
      <c r="L50" s="53">
        <f>IF(D50&gt;E50,D50-E50-I50-K50,0)</f>
        <v/>
      </c>
      <c r="M50" s="53">
        <f>D50+F50+G50-I50-K50-L50</f>
        <v/>
      </c>
      <c r="N50" s="53">
        <f>I50+J50+Q50*dev_bonds+SUMPRODUCT((Events!$B$6:$B$158&lt;=$A50)*(Events!$C$6:$C$158&gt;=$A50)*(Events!$E$6:$E$158="Investment")*Events!$H$6:$H$158)</f>
        <v/>
      </c>
      <c r="O50" s="53">
        <f>O49*(1-dev_dep)+N50</f>
        <v/>
      </c>
      <c r="P50" s="53">
        <f>SUMPRODUCT((Events!$B$6:$B$158&lt;=$A50)*(Events!$C$6:$C$158&gt;=$A50)*(Events!$E$6:$E$158="Debt assumed")*Events!$H$6:$H$158)</f>
        <v/>
      </c>
      <c r="Q50" s="53">
        <f>IF($A50&lt;1887,0,MAX(0,debt_floor*Economy!O50-(R49+P50+H50-C50-K50)))</f>
        <v/>
      </c>
      <c r="R50" s="53">
        <f>R49+P50+H50-C50-K50+Q50</f>
        <v/>
      </c>
      <c r="S50" s="53">
        <f>S49+L50-F50-J50+Q50*(1-dev_bonds)</f>
        <v/>
      </c>
      <c r="T50" s="69">
        <f>Loans!X50</f>
        <v/>
      </c>
      <c r="U50" s="53">
        <f>R50-M50-S50-T50</f>
        <v/>
      </c>
      <c r="V50" s="63">
        <f>R50/Economy!O50</f>
        <v/>
      </c>
      <c r="W50" s="63">
        <f>Budget!X50/Budget!M50</f>
        <v/>
      </c>
      <c r="X50" s="63">
        <f>S50/Economy!O50</f>
        <v/>
      </c>
      <c r="Y50" s="53">
        <f>MAX(0,H50+Q50-'Gold &amp; money'!G50)</f>
        <v/>
      </c>
    </row>
    <row r="51">
      <c r="A51" s="58" t="n">
        <v>1891</v>
      </c>
      <c r="B51" s="53">
        <f>Loans!V51-Loans!W51</f>
        <v/>
      </c>
      <c r="C51" s="53">
        <f>R50*debt_amort</f>
        <v/>
      </c>
      <c r="D51" s="53">
        <f>M50+Budget!Z51-B51-C51</f>
        <v/>
      </c>
      <c r="E51" s="53">
        <f>MAX(0.1,Budget!M51*cash_target)</f>
        <v/>
      </c>
      <c r="F51" s="53">
        <f>IF(D51&lt;E51,MIN(E51-D51,S50),0)</f>
        <v/>
      </c>
      <c r="G51" s="53">
        <f>MAX(0,E51-D51-F51)</f>
        <v/>
      </c>
      <c r="H51" s="53">
        <f>G51/issue_price</f>
        <v/>
      </c>
      <c r="I51" s="53">
        <f>IF(AND(D51&gt;E51,$A51&gt;=dev_start),(D51-E51)*dev_share,0)</f>
        <v/>
      </c>
      <c r="J51" s="53">
        <f>IF($A51&gt;=dev_start,MAX(0,S50-F51-reserve_buffer*Economy!O51),0)</f>
        <v/>
      </c>
      <c r="K51" s="53">
        <f>IF(D51&gt;E51,MIN((D51-E51-I51)*repay_share,R50-C51),0)</f>
        <v/>
      </c>
      <c r="L51" s="53">
        <f>IF(D51&gt;E51,D51-E51-I51-K51,0)</f>
        <v/>
      </c>
      <c r="M51" s="53">
        <f>D51+F51+G51-I51-K51-L51</f>
        <v/>
      </c>
      <c r="N51" s="53">
        <f>I51+J51+Q51*dev_bonds+SUMPRODUCT((Events!$B$6:$B$158&lt;=$A51)*(Events!$C$6:$C$158&gt;=$A51)*(Events!$E$6:$E$158="Investment")*Events!$H$6:$H$158)</f>
        <v/>
      </c>
      <c r="O51" s="53">
        <f>O50*(1-dev_dep)+N51</f>
        <v/>
      </c>
      <c r="P51" s="53">
        <f>SUMPRODUCT((Events!$B$6:$B$158&lt;=$A51)*(Events!$C$6:$C$158&gt;=$A51)*(Events!$E$6:$E$158="Debt assumed")*Events!$H$6:$H$158)</f>
        <v/>
      </c>
      <c r="Q51" s="53">
        <f>IF($A51&lt;1887,0,MAX(0,debt_floor*Economy!O51-(R50+P51+H51-C51-K51)))</f>
        <v/>
      </c>
      <c r="R51" s="53">
        <f>R50+P51+H51-C51-K51+Q51</f>
        <v/>
      </c>
      <c r="S51" s="53">
        <f>S50+L51-F51-J51+Q51*(1-dev_bonds)</f>
        <v/>
      </c>
      <c r="T51" s="69">
        <f>Loans!X51</f>
        <v/>
      </c>
      <c r="U51" s="53">
        <f>R51-M51-S51-T51</f>
        <v/>
      </c>
      <c r="V51" s="63">
        <f>R51/Economy!O51</f>
        <v/>
      </c>
      <c r="W51" s="63">
        <f>Budget!X51/Budget!M51</f>
        <v/>
      </c>
      <c r="X51" s="63">
        <f>S51/Economy!O51</f>
        <v/>
      </c>
      <c r="Y51" s="53">
        <f>MAX(0,H51+Q51-'Gold &amp; money'!G51)</f>
        <v/>
      </c>
    </row>
    <row r="52">
      <c r="A52" s="58" t="n">
        <v>1892</v>
      </c>
      <c r="B52" s="53">
        <f>Loans!V52-Loans!W52</f>
        <v/>
      </c>
      <c r="C52" s="53">
        <f>R51*debt_amort</f>
        <v/>
      </c>
      <c r="D52" s="53">
        <f>M51+Budget!Z52-B52-C52</f>
        <v/>
      </c>
      <c r="E52" s="53">
        <f>MAX(0.1,Budget!M52*cash_target)</f>
        <v/>
      </c>
      <c r="F52" s="53">
        <f>IF(D52&lt;E52,MIN(E52-D52,S51),0)</f>
        <v/>
      </c>
      <c r="G52" s="53">
        <f>MAX(0,E52-D52-F52)</f>
        <v/>
      </c>
      <c r="H52" s="53">
        <f>G52/issue_price</f>
        <v/>
      </c>
      <c r="I52" s="53">
        <f>IF(AND(D52&gt;E52,$A52&gt;=dev_start),(D52-E52)*dev_share,0)</f>
        <v/>
      </c>
      <c r="J52" s="53">
        <f>IF($A52&gt;=dev_start,MAX(0,S51-F52-reserve_buffer*Economy!O52),0)</f>
        <v/>
      </c>
      <c r="K52" s="53">
        <f>IF(D52&gt;E52,MIN((D52-E52-I52)*repay_share,R51-C52),0)</f>
        <v/>
      </c>
      <c r="L52" s="53">
        <f>IF(D52&gt;E52,D52-E52-I52-K52,0)</f>
        <v/>
      </c>
      <c r="M52" s="53">
        <f>D52+F52+G52-I52-K52-L52</f>
        <v/>
      </c>
      <c r="N52" s="53">
        <f>I52+J52+Q52*dev_bonds+SUMPRODUCT((Events!$B$6:$B$158&lt;=$A52)*(Events!$C$6:$C$158&gt;=$A52)*(Events!$E$6:$E$158="Investment")*Events!$H$6:$H$158)</f>
        <v/>
      </c>
      <c r="O52" s="53">
        <f>O51*(1-dev_dep)+N52</f>
        <v/>
      </c>
      <c r="P52" s="53">
        <f>SUMPRODUCT((Events!$B$6:$B$158&lt;=$A52)*(Events!$C$6:$C$158&gt;=$A52)*(Events!$E$6:$E$158="Debt assumed")*Events!$H$6:$H$158)</f>
        <v/>
      </c>
      <c r="Q52" s="53">
        <f>IF($A52&lt;1887,0,MAX(0,debt_floor*Economy!O52-(R51+P52+H52-C52-K52)))</f>
        <v/>
      </c>
      <c r="R52" s="53">
        <f>R51+P52+H52-C52-K52+Q52</f>
        <v/>
      </c>
      <c r="S52" s="53">
        <f>S51+L52-F52-J52+Q52*(1-dev_bonds)</f>
        <v/>
      </c>
      <c r="T52" s="69">
        <f>Loans!X52</f>
        <v/>
      </c>
      <c r="U52" s="53">
        <f>R52-M52-S52-T52</f>
        <v/>
      </c>
      <c r="V52" s="63">
        <f>R52/Economy!O52</f>
        <v/>
      </c>
      <c r="W52" s="63">
        <f>Budget!X52/Budget!M52</f>
        <v/>
      </c>
      <c r="X52" s="63">
        <f>S52/Economy!O52</f>
        <v/>
      </c>
      <c r="Y52" s="53">
        <f>MAX(0,H52+Q52-'Gold &amp; money'!G52)</f>
        <v/>
      </c>
    </row>
    <row r="53">
      <c r="A53" s="58" t="n">
        <v>1893</v>
      </c>
      <c r="B53" s="53">
        <f>Loans!V53-Loans!W53</f>
        <v/>
      </c>
      <c r="C53" s="53">
        <f>R52*debt_amort</f>
        <v/>
      </c>
      <c r="D53" s="53">
        <f>M52+Budget!Z53-B53-C53</f>
        <v/>
      </c>
      <c r="E53" s="53">
        <f>MAX(0.1,Budget!M53*cash_target)</f>
        <v/>
      </c>
      <c r="F53" s="53">
        <f>IF(D53&lt;E53,MIN(E53-D53,S52),0)</f>
        <v/>
      </c>
      <c r="G53" s="53">
        <f>MAX(0,E53-D53-F53)</f>
        <v/>
      </c>
      <c r="H53" s="53">
        <f>G53/issue_price</f>
        <v/>
      </c>
      <c r="I53" s="53">
        <f>IF(AND(D53&gt;E53,$A53&gt;=dev_start),(D53-E53)*dev_share,0)</f>
        <v/>
      </c>
      <c r="J53" s="53">
        <f>IF($A53&gt;=dev_start,MAX(0,S52-F53-reserve_buffer*Economy!O53),0)</f>
        <v/>
      </c>
      <c r="K53" s="53">
        <f>IF(D53&gt;E53,MIN((D53-E53-I53)*repay_share,R52-C53),0)</f>
        <v/>
      </c>
      <c r="L53" s="53">
        <f>IF(D53&gt;E53,D53-E53-I53-K53,0)</f>
        <v/>
      </c>
      <c r="M53" s="53">
        <f>D53+F53+G53-I53-K53-L53</f>
        <v/>
      </c>
      <c r="N53" s="53">
        <f>I53+J53+Q53*dev_bonds+SUMPRODUCT((Events!$B$6:$B$158&lt;=$A53)*(Events!$C$6:$C$158&gt;=$A53)*(Events!$E$6:$E$158="Investment")*Events!$H$6:$H$158)</f>
        <v/>
      </c>
      <c r="O53" s="53">
        <f>O52*(1-dev_dep)+N53</f>
        <v/>
      </c>
      <c r="P53" s="53">
        <f>SUMPRODUCT((Events!$B$6:$B$158&lt;=$A53)*(Events!$C$6:$C$158&gt;=$A53)*(Events!$E$6:$E$158="Debt assumed")*Events!$H$6:$H$158)</f>
        <v/>
      </c>
      <c r="Q53" s="53">
        <f>IF($A53&lt;1887,0,MAX(0,debt_floor*Economy!O53-(R52+P53+H53-C53-K53)))</f>
        <v/>
      </c>
      <c r="R53" s="53">
        <f>R52+P53+H53-C53-K53+Q53</f>
        <v/>
      </c>
      <c r="S53" s="53">
        <f>S52+L53-F53-J53+Q53*(1-dev_bonds)</f>
        <v/>
      </c>
      <c r="T53" s="69">
        <f>Loans!X53</f>
        <v/>
      </c>
      <c r="U53" s="53">
        <f>R53-M53-S53-T53</f>
        <v/>
      </c>
      <c r="V53" s="63">
        <f>R53/Economy!O53</f>
        <v/>
      </c>
      <c r="W53" s="63">
        <f>Budget!X53/Budget!M53</f>
        <v/>
      </c>
      <c r="X53" s="63">
        <f>S53/Economy!O53</f>
        <v/>
      </c>
      <c r="Y53" s="53">
        <f>MAX(0,H53+Q53-'Gold &amp; money'!G53)</f>
        <v/>
      </c>
    </row>
    <row r="54">
      <c r="A54" s="58" t="n">
        <v>1894</v>
      </c>
      <c r="B54" s="53">
        <f>Loans!V54-Loans!W54</f>
        <v/>
      </c>
      <c r="C54" s="53">
        <f>R53*debt_amort</f>
        <v/>
      </c>
      <c r="D54" s="53">
        <f>M53+Budget!Z54-B54-C54</f>
        <v/>
      </c>
      <c r="E54" s="53">
        <f>MAX(0.1,Budget!M54*cash_target)</f>
        <v/>
      </c>
      <c r="F54" s="53">
        <f>IF(D54&lt;E54,MIN(E54-D54,S53),0)</f>
        <v/>
      </c>
      <c r="G54" s="53">
        <f>MAX(0,E54-D54-F54)</f>
        <v/>
      </c>
      <c r="H54" s="53">
        <f>G54/issue_price</f>
        <v/>
      </c>
      <c r="I54" s="53">
        <f>IF(AND(D54&gt;E54,$A54&gt;=dev_start),(D54-E54)*dev_share,0)</f>
        <v/>
      </c>
      <c r="J54" s="53">
        <f>IF($A54&gt;=dev_start,MAX(0,S53-F54-reserve_buffer*Economy!O54),0)</f>
        <v/>
      </c>
      <c r="K54" s="53">
        <f>IF(D54&gt;E54,MIN((D54-E54-I54)*repay_share,R53-C54),0)</f>
        <v/>
      </c>
      <c r="L54" s="53">
        <f>IF(D54&gt;E54,D54-E54-I54-K54,0)</f>
        <v/>
      </c>
      <c r="M54" s="53">
        <f>D54+F54+G54-I54-K54-L54</f>
        <v/>
      </c>
      <c r="N54" s="53">
        <f>I54+J54+Q54*dev_bonds+SUMPRODUCT((Events!$B$6:$B$158&lt;=$A54)*(Events!$C$6:$C$158&gt;=$A54)*(Events!$E$6:$E$158="Investment")*Events!$H$6:$H$158)</f>
        <v/>
      </c>
      <c r="O54" s="53">
        <f>O53*(1-dev_dep)+N54</f>
        <v/>
      </c>
      <c r="P54" s="53">
        <f>SUMPRODUCT((Events!$B$6:$B$158&lt;=$A54)*(Events!$C$6:$C$158&gt;=$A54)*(Events!$E$6:$E$158="Debt assumed")*Events!$H$6:$H$158)</f>
        <v/>
      </c>
      <c r="Q54" s="53">
        <f>IF($A54&lt;1887,0,MAX(0,debt_floor*Economy!O54-(R53+P54+H54-C54-K54)))</f>
        <v/>
      </c>
      <c r="R54" s="53">
        <f>R53+P54+H54-C54-K54+Q54</f>
        <v/>
      </c>
      <c r="S54" s="53">
        <f>S53+L54-F54-J54+Q54*(1-dev_bonds)</f>
        <v/>
      </c>
      <c r="T54" s="69">
        <f>Loans!X54</f>
        <v/>
      </c>
      <c r="U54" s="53">
        <f>R54-M54-S54-T54</f>
        <v/>
      </c>
      <c r="V54" s="63">
        <f>R54/Economy!O54</f>
        <v/>
      </c>
      <c r="W54" s="63">
        <f>Budget!X54/Budget!M54</f>
        <v/>
      </c>
      <c r="X54" s="63">
        <f>S54/Economy!O54</f>
        <v/>
      </c>
      <c r="Y54" s="53">
        <f>MAX(0,H54+Q54-'Gold &amp; money'!G54)</f>
        <v/>
      </c>
    </row>
    <row r="55">
      <c r="A55" s="58" t="n">
        <v>1895</v>
      </c>
      <c r="B55" s="53">
        <f>Loans!V55-Loans!W55</f>
        <v/>
      </c>
      <c r="C55" s="53">
        <f>R54*debt_amort</f>
        <v/>
      </c>
      <c r="D55" s="53">
        <f>M54+Budget!Z55-B55-C55</f>
        <v/>
      </c>
      <c r="E55" s="53">
        <f>MAX(0.1,Budget!M55*cash_target)</f>
        <v/>
      </c>
      <c r="F55" s="53">
        <f>IF(D55&lt;E55,MIN(E55-D55,S54),0)</f>
        <v/>
      </c>
      <c r="G55" s="53">
        <f>MAX(0,E55-D55-F55)</f>
        <v/>
      </c>
      <c r="H55" s="53">
        <f>G55/issue_price</f>
        <v/>
      </c>
      <c r="I55" s="53">
        <f>IF(AND(D55&gt;E55,$A55&gt;=dev_start),(D55-E55)*dev_share,0)</f>
        <v/>
      </c>
      <c r="J55" s="53">
        <f>IF($A55&gt;=dev_start,MAX(0,S54-F55-reserve_buffer*Economy!O55),0)</f>
        <v/>
      </c>
      <c r="K55" s="53">
        <f>IF(D55&gt;E55,MIN((D55-E55-I55)*repay_share,R54-C55),0)</f>
        <v/>
      </c>
      <c r="L55" s="53">
        <f>IF(D55&gt;E55,D55-E55-I55-K55,0)</f>
        <v/>
      </c>
      <c r="M55" s="53">
        <f>D55+F55+G55-I55-K55-L55</f>
        <v/>
      </c>
      <c r="N55" s="53">
        <f>I55+J55+Q55*dev_bonds+SUMPRODUCT((Events!$B$6:$B$158&lt;=$A55)*(Events!$C$6:$C$158&gt;=$A55)*(Events!$E$6:$E$158="Investment")*Events!$H$6:$H$158)</f>
        <v/>
      </c>
      <c r="O55" s="53">
        <f>O54*(1-dev_dep)+N55</f>
        <v/>
      </c>
      <c r="P55" s="53">
        <f>SUMPRODUCT((Events!$B$6:$B$158&lt;=$A55)*(Events!$C$6:$C$158&gt;=$A55)*(Events!$E$6:$E$158="Debt assumed")*Events!$H$6:$H$158)</f>
        <v/>
      </c>
      <c r="Q55" s="53">
        <f>IF($A55&lt;1887,0,MAX(0,debt_floor*Economy!O55-(R54+P55+H55-C55-K55)))</f>
        <v/>
      </c>
      <c r="R55" s="53">
        <f>R54+P55+H55-C55-K55+Q55</f>
        <v/>
      </c>
      <c r="S55" s="53">
        <f>S54+L55-F55-J55+Q55*(1-dev_bonds)</f>
        <v/>
      </c>
      <c r="T55" s="69">
        <f>Loans!X55</f>
        <v/>
      </c>
      <c r="U55" s="53">
        <f>R55-M55-S55-T55</f>
        <v/>
      </c>
      <c r="V55" s="63">
        <f>R55/Economy!O55</f>
        <v/>
      </c>
      <c r="W55" s="63">
        <f>Budget!X55/Budget!M55</f>
        <v/>
      </c>
      <c r="X55" s="63">
        <f>S55/Economy!O55</f>
        <v/>
      </c>
      <c r="Y55" s="53">
        <f>MAX(0,H55+Q55-'Gold &amp; money'!G55)</f>
        <v/>
      </c>
    </row>
    <row r="56">
      <c r="A56" s="58" t="n">
        <v>1896</v>
      </c>
      <c r="B56" s="53">
        <f>Loans!V56-Loans!W56</f>
        <v/>
      </c>
      <c r="C56" s="53">
        <f>R55*debt_amort</f>
        <v/>
      </c>
      <c r="D56" s="53">
        <f>M55+Budget!Z56-B56-C56</f>
        <v/>
      </c>
      <c r="E56" s="53">
        <f>MAX(0.1,Budget!M56*cash_target)</f>
        <v/>
      </c>
      <c r="F56" s="53">
        <f>IF(D56&lt;E56,MIN(E56-D56,S55),0)</f>
        <v/>
      </c>
      <c r="G56" s="53">
        <f>MAX(0,E56-D56-F56)</f>
        <v/>
      </c>
      <c r="H56" s="53">
        <f>G56/issue_price</f>
        <v/>
      </c>
      <c r="I56" s="53">
        <f>IF(AND(D56&gt;E56,$A56&gt;=dev_start),(D56-E56)*dev_share,0)</f>
        <v/>
      </c>
      <c r="J56" s="53">
        <f>IF($A56&gt;=dev_start,MAX(0,S55-F56-reserve_buffer*Economy!O56),0)</f>
        <v/>
      </c>
      <c r="K56" s="53">
        <f>IF(D56&gt;E56,MIN((D56-E56-I56)*repay_share,R55-C56),0)</f>
        <v/>
      </c>
      <c r="L56" s="53">
        <f>IF(D56&gt;E56,D56-E56-I56-K56,0)</f>
        <v/>
      </c>
      <c r="M56" s="53">
        <f>D56+F56+G56-I56-K56-L56</f>
        <v/>
      </c>
      <c r="N56" s="53">
        <f>I56+J56+Q56*dev_bonds+SUMPRODUCT((Events!$B$6:$B$158&lt;=$A56)*(Events!$C$6:$C$158&gt;=$A56)*(Events!$E$6:$E$158="Investment")*Events!$H$6:$H$158)</f>
        <v/>
      </c>
      <c r="O56" s="53">
        <f>O55*(1-dev_dep)+N56</f>
        <v/>
      </c>
      <c r="P56" s="53">
        <f>SUMPRODUCT((Events!$B$6:$B$158&lt;=$A56)*(Events!$C$6:$C$158&gt;=$A56)*(Events!$E$6:$E$158="Debt assumed")*Events!$H$6:$H$158)</f>
        <v/>
      </c>
      <c r="Q56" s="53">
        <f>IF($A56&lt;1887,0,MAX(0,debt_floor*Economy!O56-(R55+P56+H56-C56-K56)))</f>
        <v/>
      </c>
      <c r="R56" s="53">
        <f>R55+P56+H56-C56-K56+Q56</f>
        <v/>
      </c>
      <c r="S56" s="53">
        <f>S55+L56-F56-J56+Q56*(1-dev_bonds)</f>
        <v/>
      </c>
      <c r="T56" s="69">
        <f>Loans!X56</f>
        <v/>
      </c>
      <c r="U56" s="53">
        <f>R56-M56-S56-T56</f>
        <v/>
      </c>
      <c r="V56" s="63">
        <f>R56/Economy!O56</f>
        <v/>
      </c>
      <c r="W56" s="63">
        <f>Budget!X56/Budget!M56</f>
        <v/>
      </c>
      <c r="X56" s="63">
        <f>S56/Economy!O56</f>
        <v/>
      </c>
      <c r="Y56" s="53">
        <f>MAX(0,H56+Q56-'Gold &amp; money'!G56)</f>
        <v/>
      </c>
    </row>
    <row r="57">
      <c r="A57" s="58" t="n">
        <v>1897</v>
      </c>
      <c r="B57" s="53">
        <f>Loans!V57-Loans!W57</f>
        <v/>
      </c>
      <c r="C57" s="53">
        <f>R56*debt_amort</f>
        <v/>
      </c>
      <c r="D57" s="53">
        <f>M56+Budget!Z57-B57-C57</f>
        <v/>
      </c>
      <c r="E57" s="53">
        <f>MAX(0.1,Budget!M57*cash_target)</f>
        <v/>
      </c>
      <c r="F57" s="53">
        <f>IF(D57&lt;E57,MIN(E57-D57,S56),0)</f>
        <v/>
      </c>
      <c r="G57" s="53">
        <f>MAX(0,E57-D57-F57)</f>
        <v/>
      </c>
      <c r="H57" s="53">
        <f>G57/issue_price</f>
        <v/>
      </c>
      <c r="I57" s="53">
        <f>IF(AND(D57&gt;E57,$A57&gt;=dev_start),(D57-E57)*dev_share,0)</f>
        <v/>
      </c>
      <c r="J57" s="53">
        <f>IF($A57&gt;=dev_start,MAX(0,S56-F57-reserve_buffer*Economy!O57),0)</f>
        <v/>
      </c>
      <c r="K57" s="53">
        <f>IF(D57&gt;E57,MIN((D57-E57-I57)*repay_share,R56-C57),0)</f>
        <v/>
      </c>
      <c r="L57" s="53">
        <f>IF(D57&gt;E57,D57-E57-I57-K57,0)</f>
        <v/>
      </c>
      <c r="M57" s="53">
        <f>D57+F57+G57-I57-K57-L57</f>
        <v/>
      </c>
      <c r="N57" s="53">
        <f>I57+J57+Q57*dev_bonds+SUMPRODUCT((Events!$B$6:$B$158&lt;=$A57)*(Events!$C$6:$C$158&gt;=$A57)*(Events!$E$6:$E$158="Investment")*Events!$H$6:$H$158)</f>
        <v/>
      </c>
      <c r="O57" s="53">
        <f>O56*(1-dev_dep)+N57</f>
        <v/>
      </c>
      <c r="P57" s="53">
        <f>SUMPRODUCT((Events!$B$6:$B$158&lt;=$A57)*(Events!$C$6:$C$158&gt;=$A57)*(Events!$E$6:$E$158="Debt assumed")*Events!$H$6:$H$158)</f>
        <v/>
      </c>
      <c r="Q57" s="53">
        <f>IF($A57&lt;1887,0,MAX(0,debt_floor*Economy!O57-(R56+P57+H57-C57-K57)))</f>
        <v/>
      </c>
      <c r="R57" s="53">
        <f>R56+P57+H57-C57-K57+Q57</f>
        <v/>
      </c>
      <c r="S57" s="53">
        <f>S56+L57-F57-J57+Q57*(1-dev_bonds)</f>
        <v/>
      </c>
      <c r="T57" s="69">
        <f>Loans!X57</f>
        <v/>
      </c>
      <c r="U57" s="53">
        <f>R57-M57-S57-T57</f>
        <v/>
      </c>
      <c r="V57" s="63">
        <f>R57/Economy!O57</f>
        <v/>
      </c>
      <c r="W57" s="63">
        <f>Budget!X57/Budget!M57</f>
        <v/>
      </c>
      <c r="X57" s="63">
        <f>S57/Economy!O57</f>
        <v/>
      </c>
      <c r="Y57" s="53">
        <f>MAX(0,H57+Q57-'Gold &amp; money'!G57)</f>
        <v/>
      </c>
    </row>
    <row r="58">
      <c r="A58" s="58" t="n">
        <v>1898</v>
      </c>
      <c r="B58" s="53">
        <f>Loans!V58-Loans!W58</f>
        <v/>
      </c>
      <c r="C58" s="53">
        <f>R57*debt_amort</f>
        <v/>
      </c>
      <c r="D58" s="53">
        <f>M57+Budget!Z58-B58-C58</f>
        <v/>
      </c>
      <c r="E58" s="53">
        <f>MAX(0.1,Budget!M58*cash_target)</f>
        <v/>
      </c>
      <c r="F58" s="53">
        <f>IF(D58&lt;E58,MIN(E58-D58,S57),0)</f>
        <v/>
      </c>
      <c r="G58" s="53">
        <f>MAX(0,E58-D58-F58)</f>
        <v/>
      </c>
      <c r="H58" s="53">
        <f>G58/issue_price</f>
        <v/>
      </c>
      <c r="I58" s="53">
        <f>IF(AND(D58&gt;E58,$A58&gt;=dev_start),(D58-E58)*dev_share,0)</f>
        <v/>
      </c>
      <c r="J58" s="53">
        <f>IF($A58&gt;=dev_start,MAX(0,S57-F58-reserve_buffer*Economy!O58),0)</f>
        <v/>
      </c>
      <c r="K58" s="53">
        <f>IF(D58&gt;E58,MIN((D58-E58-I58)*repay_share,R57-C58),0)</f>
        <v/>
      </c>
      <c r="L58" s="53">
        <f>IF(D58&gt;E58,D58-E58-I58-K58,0)</f>
        <v/>
      </c>
      <c r="M58" s="53">
        <f>D58+F58+G58-I58-K58-L58</f>
        <v/>
      </c>
      <c r="N58" s="53">
        <f>I58+J58+Q58*dev_bonds+SUMPRODUCT((Events!$B$6:$B$158&lt;=$A58)*(Events!$C$6:$C$158&gt;=$A58)*(Events!$E$6:$E$158="Investment")*Events!$H$6:$H$158)</f>
        <v/>
      </c>
      <c r="O58" s="53">
        <f>O57*(1-dev_dep)+N58</f>
        <v/>
      </c>
      <c r="P58" s="53">
        <f>SUMPRODUCT((Events!$B$6:$B$158&lt;=$A58)*(Events!$C$6:$C$158&gt;=$A58)*(Events!$E$6:$E$158="Debt assumed")*Events!$H$6:$H$158)</f>
        <v/>
      </c>
      <c r="Q58" s="53">
        <f>IF($A58&lt;1887,0,MAX(0,debt_floor*Economy!O58-(R57+P58+H58-C58-K58)))</f>
        <v/>
      </c>
      <c r="R58" s="53">
        <f>R57+P58+H58-C58-K58+Q58</f>
        <v/>
      </c>
      <c r="S58" s="53">
        <f>S57+L58-F58-J58+Q58*(1-dev_bonds)</f>
        <v/>
      </c>
      <c r="T58" s="69">
        <f>Loans!X58</f>
        <v/>
      </c>
      <c r="U58" s="53">
        <f>R58-M58-S58-T58</f>
        <v/>
      </c>
      <c r="V58" s="63">
        <f>R58/Economy!O58</f>
        <v/>
      </c>
      <c r="W58" s="63">
        <f>Budget!X58/Budget!M58</f>
        <v/>
      </c>
      <c r="X58" s="63">
        <f>S58/Economy!O58</f>
        <v/>
      </c>
      <c r="Y58" s="53">
        <f>MAX(0,H58+Q58-'Gold &amp; money'!G58)</f>
        <v/>
      </c>
    </row>
    <row r="59">
      <c r="A59" s="58" t="n">
        <v>1899</v>
      </c>
      <c r="B59" s="53">
        <f>Loans!V59-Loans!W59</f>
        <v/>
      </c>
      <c r="C59" s="53">
        <f>R58*debt_amort</f>
        <v/>
      </c>
      <c r="D59" s="53">
        <f>M58+Budget!Z59-B59-C59</f>
        <v/>
      </c>
      <c r="E59" s="53">
        <f>MAX(0.1,Budget!M59*cash_target)</f>
        <v/>
      </c>
      <c r="F59" s="53">
        <f>IF(D59&lt;E59,MIN(E59-D59,S58),0)</f>
        <v/>
      </c>
      <c r="G59" s="53">
        <f>MAX(0,E59-D59-F59)</f>
        <v/>
      </c>
      <c r="H59" s="53">
        <f>G59/issue_price</f>
        <v/>
      </c>
      <c r="I59" s="53">
        <f>IF(AND(D59&gt;E59,$A59&gt;=dev_start),(D59-E59)*dev_share,0)</f>
        <v/>
      </c>
      <c r="J59" s="53">
        <f>IF($A59&gt;=dev_start,MAX(0,S58-F59-reserve_buffer*Economy!O59),0)</f>
        <v/>
      </c>
      <c r="K59" s="53">
        <f>IF(D59&gt;E59,MIN((D59-E59-I59)*repay_share,R58-C59),0)</f>
        <v/>
      </c>
      <c r="L59" s="53">
        <f>IF(D59&gt;E59,D59-E59-I59-K59,0)</f>
        <v/>
      </c>
      <c r="M59" s="53">
        <f>D59+F59+G59-I59-K59-L59</f>
        <v/>
      </c>
      <c r="N59" s="53">
        <f>I59+J59+Q59*dev_bonds+SUMPRODUCT((Events!$B$6:$B$158&lt;=$A59)*(Events!$C$6:$C$158&gt;=$A59)*(Events!$E$6:$E$158="Investment")*Events!$H$6:$H$158)</f>
        <v/>
      </c>
      <c r="O59" s="53">
        <f>O58*(1-dev_dep)+N59</f>
        <v/>
      </c>
      <c r="P59" s="53">
        <f>SUMPRODUCT((Events!$B$6:$B$158&lt;=$A59)*(Events!$C$6:$C$158&gt;=$A59)*(Events!$E$6:$E$158="Debt assumed")*Events!$H$6:$H$158)</f>
        <v/>
      </c>
      <c r="Q59" s="53">
        <f>IF($A59&lt;1887,0,MAX(0,debt_floor*Economy!O59-(R58+P59+H59-C59-K59)))</f>
        <v/>
      </c>
      <c r="R59" s="53">
        <f>R58+P59+H59-C59-K59+Q59</f>
        <v/>
      </c>
      <c r="S59" s="53">
        <f>S58+L59-F59-J59+Q59*(1-dev_bonds)</f>
        <v/>
      </c>
      <c r="T59" s="69">
        <f>Loans!X59</f>
        <v/>
      </c>
      <c r="U59" s="53">
        <f>R59-M59-S59-T59</f>
        <v/>
      </c>
      <c r="V59" s="63">
        <f>R59/Economy!O59</f>
        <v/>
      </c>
      <c r="W59" s="63">
        <f>Budget!X59/Budget!M59</f>
        <v/>
      </c>
      <c r="X59" s="63">
        <f>S59/Economy!O59</f>
        <v/>
      </c>
      <c r="Y59" s="53">
        <f>MAX(0,H59+Q59-'Gold &amp; money'!G59)</f>
        <v/>
      </c>
    </row>
    <row r="60">
      <c r="A60" s="58" t="n">
        <v>1900</v>
      </c>
      <c r="B60" s="53">
        <f>Loans!V60-Loans!W60</f>
        <v/>
      </c>
      <c r="C60" s="53">
        <f>R59*debt_amort</f>
        <v/>
      </c>
      <c r="D60" s="53">
        <f>M59+Budget!Z60-B60-C60</f>
        <v/>
      </c>
      <c r="E60" s="53">
        <f>MAX(0.1,Budget!M60*cash_target)</f>
        <v/>
      </c>
      <c r="F60" s="53">
        <f>IF(D60&lt;E60,MIN(E60-D60,S59),0)</f>
        <v/>
      </c>
      <c r="G60" s="53">
        <f>MAX(0,E60-D60-F60)</f>
        <v/>
      </c>
      <c r="H60" s="53">
        <f>G60/issue_price</f>
        <v/>
      </c>
      <c r="I60" s="53">
        <f>IF(AND(D60&gt;E60,$A60&gt;=dev_start),(D60-E60)*dev_share,0)</f>
        <v/>
      </c>
      <c r="J60" s="53">
        <f>IF($A60&gt;=dev_start,MAX(0,S59-F60-reserve_buffer*Economy!O60),0)</f>
        <v/>
      </c>
      <c r="K60" s="53">
        <f>IF(D60&gt;E60,MIN((D60-E60-I60)*repay_share,R59-C60),0)</f>
        <v/>
      </c>
      <c r="L60" s="53">
        <f>IF(D60&gt;E60,D60-E60-I60-K60,0)</f>
        <v/>
      </c>
      <c r="M60" s="53">
        <f>D60+F60+G60-I60-K60-L60</f>
        <v/>
      </c>
      <c r="N60" s="53">
        <f>I60+J60+Q60*dev_bonds+SUMPRODUCT((Events!$B$6:$B$158&lt;=$A60)*(Events!$C$6:$C$158&gt;=$A60)*(Events!$E$6:$E$158="Investment")*Events!$H$6:$H$158)</f>
        <v/>
      </c>
      <c r="O60" s="53">
        <f>O59*(1-dev_dep)+N60</f>
        <v/>
      </c>
      <c r="P60" s="53">
        <f>SUMPRODUCT((Events!$B$6:$B$158&lt;=$A60)*(Events!$C$6:$C$158&gt;=$A60)*(Events!$E$6:$E$158="Debt assumed")*Events!$H$6:$H$158)</f>
        <v/>
      </c>
      <c r="Q60" s="53">
        <f>IF($A60&lt;1887,0,MAX(0,debt_floor*Economy!O60-(R59+P60+H60-C60-K60)))</f>
        <v/>
      </c>
      <c r="R60" s="53">
        <f>R59+P60+H60-C60-K60+Q60</f>
        <v/>
      </c>
      <c r="S60" s="53">
        <f>S59+L60-F60-J60+Q60*(1-dev_bonds)</f>
        <v/>
      </c>
      <c r="T60" s="69">
        <f>Loans!X60</f>
        <v/>
      </c>
      <c r="U60" s="53">
        <f>R60-M60-S60-T60</f>
        <v/>
      </c>
      <c r="V60" s="63">
        <f>R60/Economy!O60</f>
        <v/>
      </c>
      <c r="W60" s="63">
        <f>Budget!X60/Budget!M60</f>
        <v/>
      </c>
      <c r="X60" s="63">
        <f>S60/Economy!O60</f>
        <v/>
      </c>
      <c r="Y60" s="53">
        <f>MAX(0,H60+Q60-'Gold &amp; money'!G60)</f>
        <v/>
      </c>
    </row>
    <row r="61">
      <c r="A61" s="58" t="n">
        <v>1901</v>
      </c>
      <c r="B61" s="53">
        <f>Loans!V61-Loans!W61</f>
        <v/>
      </c>
      <c r="C61" s="53">
        <f>R60*debt_amort</f>
        <v/>
      </c>
      <c r="D61" s="53">
        <f>M60+Budget!Z61-B61-C61</f>
        <v/>
      </c>
      <c r="E61" s="53">
        <f>MAX(0.1,Budget!M61*cash_target)</f>
        <v/>
      </c>
      <c r="F61" s="53">
        <f>IF(D61&lt;E61,MIN(E61-D61,S60),0)</f>
        <v/>
      </c>
      <c r="G61" s="53">
        <f>MAX(0,E61-D61-F61)</f>
        <v/>
      </c>
      <c r="H61" s="53">
        <f>G61/issue_price</f>
        <v/>
      </c>
      <c r="I61" s="53">
        <f>IF(AND(D61&gt;E61,$A61&gt;=dev_start),(D61-E61)*dev_share,0)</f>
        <v/>
      </c>
      <c r="J61" s="53">
        <f>IF($A61&gt;=dev_start,MAX(0,S60-F61-reserve_buffer*Economy!O61),0)</f>
        <v/>
      </c>
      <c r="K61" s="53">
        <f>IF(D61&gt;E61,MIN((D61-E61-I61)*repay_share,R60-C61),0)</f>
        <v/>
      </c>
      <c r="L61" s="53">
        <f>IF(D61&gt;E61,D61-E61-I61-K61,0)</f>
        <v/>
      </c>
      <c r="M61" s="53">
        <f>D61+F61+G61-I61-K61-L61</f>
        <v/>
      </c>
      <c r="N61" s="53">
        <f>I61+J61+Q61*dev_bonds+SUMPRODUCT((Events!$B$6:$B$158&lt;=$A61)*(Events!$C$6:$C$158&gt;=$A61)*(Events!$E$6:$E$158="Investment")*Events!$H$6:$H$158)</f>
        <v/>
      </c>
      <c r="O61" s="53">
        <f>O60*(1-dev_dep)+N61</f>
        <v/>
      </c>
      <c r="P61" s="53">
        <f>SUMPRODUCT((Events!$B$6:$B$158&lt;=$A61)*(Events!$C$6:$C$158&gt;=$A61)*(Events!$E$6:$E$158="Debt assumed")*Events!$H$6:$H$158)</f>
        <v/>
      </c>
      <c r="Q61" s="53">
        <f>IF($A61&lt;1887,0,MAX(0,debt_floor*Economy!O61-(R60+P61+H61-C61-K61)))</f>
        <v/>
      </c>
      <c r="R61" s="53">
        <f>R60+P61+H61-C61-K61+Q61</f>
        <v/>
      </c>
      <c r="S61" s="53">
        <f>S60+L61-F61-J61+Q61*(1-dev_bonds)</f>
        <v/>
      </c>
      <c r="T61" s="69">
        <f>Loans!X61</f>
        <v/>
      </c>
      <c r="U61" s="53">
        <f>R61-M61-S61-T61</f>
        <v/>
      </c>
      <c r="V61" s="63">
        <f>R61/Economy!O61</f>
        <v/>
      </c>
      <c r="W61" s="63">
        <f>Budget!X61/Budget!M61</f>
        <v/>
      </c>
      <c r="X61" s="63">
        <f>S61/Economy!O61</f>
        <v/>
      </c>
      <c r="Y61" s="53">
        <f>MAX(0,H61+Q61-'Gold &amp; money'!G61)</f>
        <v/>
      </c>
    </row>
    <row r="62">
      <c r="A62" s="58" t="n">
        <v>1902</v>
      </c>
      <c r="B62" s="53">
        <f>Loans!V62-Loans!W62</f>
        <v/>
      </c>
      <c r="C62" s="53">
        <f>R61*debt_amort</f>
        <v/>
      </c>
      <c r="D62" s="53">
        <f>M61+Budget!Z62-B62-C62</f>
        <v/>
      </c>
      <c r="E62" s="53">
        <f>MAX(0.1,Budget!M62*cash_target)</f>
        <v/>
      </c>
      <c r="F62" s="53">
        <f>IF(D62&lt;E62,MIN(E62-D62,S61),0)</f>
        <v/>
      </c>
      <c r="G62" s="53">
        <f>MAX(0,E62-D62-F62)</f>
        <v/>
      </c>
      <c r="H62" s="53">
        <f>G62/issue_price</f>
        <v/>
      </c>
      <c r="I62" s="53">
        <f>IF(AND(D62&gt;E62,$A62&gt;=dev_start),(D62-E62)*dev_share,0)</f>
        <v/>
      </c>
      <c r="J62" s="53">
        <f>IF($A62&gt;=dev_start,MAX(0,S61-F62-reserve_buffer*Economy!O62),0)</f>
        <v/>
      </c>
      <c r="K62" s="53">
        <f>IF(D62&gt;E62,MIN((D62-E62-I62)*repay_share,R61-C62),0)</f>
        <v/>
      </c>
      <c r="L62" s="53">
        <f>IF(D62&gt;E62,D62-E62-I62-K62,0)</f>
        <v/>
      </c>
      <c r="M62" s="53">
        <f>D62+F62+G62-I62-K62-L62</f>
        <v/>
      </c>
      <c r="N62" s="53">
        <f>I62+J62+Q62*dev_bonds+SUMPRODUCT((Events!$B$6:$B$158&lt;=$A62)*(Events!$C$6:$C$158&gt;=$A62)*(Events!$E$6:$E$158="Investment")*Events!$H$6:$H$158)</f>
        <v/>
      </c>
      <c r="O62" s="53">
        <f>O61*(1-dev_dep)+N62</f>
        <v/>
      </c>
      <c r="P62" s="53">
        <f>SUMPRODUCT((Events!$B$6:$B$158&lt;=$A62)*(Events!$C$6:$C$158&gt;=$A62)*(Events!$E$6:$E$158="Debt assumed")*Events!$H$6:$H$158)</f>
        <v/>
      </c>
      <c r="Q62" s="53">
        <f>IF($A62&lt;1887,0,MAX(0,debt_floor*Economy!O62-(R61+P62+H62-C62-K62)))</f>
        <v/>
      </c>
      <c r="R62" s="53">
        <f>R61+P62+H62-C62-K62+Q62</f>
        <v/>
      </c>
      <c r="S62" s="53">
        <f>S61+L62-F62-J62+Q62*(1-dev_bonds)</f>
        <v/>
      </c>
      <c r="T62" s="69">
        <f>Loans!X62</f>
        <v/>
      </c>
      <c r="U62" s="53">
        <f>R62-M62-S62-T62</f>
        <v/>
      </c>
      <c r="V62" s="63">
        <f>R62/Economy!O62</f>
        <v/>
      </c>
      <c r="W62" s="63">
        <f>Budget!X62/Budget!M62</f>
        <v/>
      </c>
      <c r="X62" s="63">
        <f>S62/Economy!O62</f>
        <v/>
      </c>
      <c r="Y62" s="53">
        <f>MAX(0,H62+Q62-'Gold &amp; money'!G62)</f>
        <v/>
      </c>
    </row>
    <row r="63">
      <c r="A63" s="58" t="n">
        <v>1903</v>
      </c>
      <c r="B63" s="53">
        <f>Loans!V63-Loans!W63</f>
        <v/>
      </c>
      <c r="C63" s="53">
        <f>R62*debt_amort</f>
        <v/>
      </c>
      <c r="D63" s="53">
        <f>M62+Budget!Z63-B63-C63</f>
        <v/>
      </c>
      <c r="E63" s="53">
        <f>MAX(0.1,Budget!M63*cash_target)</f>
        <v/>
      </c>
      <c r="F63" s="53">
        <f>IF(D63&lt;E63,MIN(E63-D63,S62),0)</f>
        <v/>
      </c>
      <c r="G63" s="53">
        <f>MAX(0,E63-D63-F63)</f>
        <v/>
      </c>
      <c r="H63" s="53">
        <f>G63/issue_price</f>
        <v/>
      </c>
      <c r="I63" s="53">
        <f>IF(AND(D63&gt;E63,$A63&gt;=dev_start),(D63-E63)*dev_share,0)</f>
        <v/>
      </c>
      <c r="J63" s="53">
        <f>IF($A63&gt;=dev_start,MAX(0,S62-F63-reserve_buffer*Economy!O63),0)</f>
        <v/>
      </c>
      <c r="K63" s="53">
        <f>IF(D63&gt;E63,MIN((D63-E63-I63)*repay_share,R62-C63),0)</f>
        <v/>
      </c>
      <c r="L63" s="53">
        <f>IF(D63&gt;E63,D63-E63-I63-K63,0)</f>
        <v/>
      </c>
      <c r="M63" s="53">
        <f>D63+F63+G63-I63-K63-L63</f>
        <v/>
      </c>
      <c r="N63" s="53">
        <f>I63+J63+Q63*dev_bonds+SUMPRODUCT((Events!$B$6:$B$158&lt;=$A63)*(Events!$C$6:$C$158&gt;=$A63)*(Events!$E$6:$E$158="Investment")*Events!$H$6:$H$158)</f>
        <v/>
      </c>
      <c r="O63" s="53">
        <f>O62*(1-dev_dep)+N63</f>
        <v/>
      </c>
      <c r="P63" s="53">
        <f>SUMPRODUCT((Events!$B$6:$B$158&lt;=$A63)*(Events!$C$6:$C$158&gt;=$A63)*(Events!$E$6:$E$158="Debt assumed")*Events!$H$6:$H$158)</f>
        <v/>
      </c>
      <c r="Q63" s="53">
        <f>IF($A63&lt;1887,0,MAX(0,debt_floor*Economy!O63-(R62+P63+H63-C63-K63)))</f>
        <v/>
      </c>
      <c r="R63" s="53">
        <f>R62+P63+H63-C63-K63+Q63</f>
        <v/>
      </c>
      <c r="S63" s="53">
        <f>S62+L63-F63-J63+Q63*(1-dev_bonds)</f>
        <v/>
      </c>
      <c r="T63" s="69">
        <f>Loans!X63</f>
        <v/>
      </c>
      <c r="U63" s="53">
        <f>R63-M63-S63-T63</f>
        <v/>
      </c>
      <c r="V63" s="63">
        <f>R63/Economy!O63</f>
        <v/>
      </c>
      <c r="W63" s="63">
        <f>Budget!X63/Budget!M63</f>
        <v/>
      </c>
      <c r="X63" s="63">
        <f>S63/Economy!O63</f>
        <v/>
      </c>
      <c r="Y63" s="53">
        <f>MAX(0,H63+Q63-'Gold &amp; money'!G63)</f>
        <v/>
      </c>
    </row>
    <row r="64">
      <c r="A64" s="58" t="n">
        <v>1904</v>
      </c>
      <c r="B64" s="53">
        <f>Loans!V64-Loans!W64</f>
        <v/>
      </c>
      <c r="C64" s="53">
        <f>R63*debt_amort</f>
        <v/>
      </c>
      <c r="D64" s="53">
        <f>M63+Budget!Z64-B64-C64</f>
        <v/>
      </c>
      <c r="E64" s="53">
        <f>MAX(0.1,Budget!M64*cash_target)</f>
        <v/>
      </c>
      <c r="F64" s="53">
        <f>IF(D64&lt;E64,MIN(E64-D64,S63),0)</f>
        <v/>
      </c>
      <c r="G64" s="53">
        <f>MAX(0,E64-D64-F64)</f>
        <v/>
      </c>
      <c r="H64" s="53">
        <f>G64/issue_price</f>
        <v/>
      </c>
      <c r="I64" s="53">
        <f>IF(AND(D64&gt;E64,$A64&gt;=dev_start),(D64-E64)*dev_share,0)</f>
        <v/>
      </c>
      <c r="J64" s="53">
        <f>IF($A64&gt;=dev_start,MAX(0,S63-F64-reserve_buffer*Economy!O64),0)</f>
        <v/>
      </c>
      <c r="K64" s="53">
        <f>IF(D64&gt;E64,MIN((D64-E64-I64)*repay_share,R63-C64),0)</f>
        <v/>
      </c>
      <c r="L64" s="53">
        <f>IF(D64&gt;E64,D64-E64-I64-K64,0)</f>
        <v/>
      </c>
      <c r="M64" s="53">
        <f>D64+F64+G64-I64-K64-L64</f>
        <v/>
      </c>
      <c r="N64" s="53">
        <f>I64+J64+Q64*dev_bonds+SUMPRODUCT((Events!$B$6:$B$158&lt;=$A64)*(Events!$C$6:$C$158&gt;=$A64)*(Events!$E$6:$E$158="Investment")*Events!$H$6:$H$158)</f>
        <v/>
      </c>
      <c r="O64" s="53">
        <f>O63*(1-dev_dep)+N64</f>
        <v/>
      </c>
      <c r="P64" s="53">
        <f>SUMPRODUCT((Events!$B$6:$B$158&lt;=$A64)*(Events!$C$6:$C$158&gt;=$A64)*(Events!$E$6:$E$158="Debt assumed")*Events!$H$6:$H$158)</f>
        <v/>
      </c>
      <c r="Q64" s="53">
        <f>IF($A64&lt;1887,0,MAX(0,debt_floor*Economy!O64-(R63+P64+H64-C64-K64)))</f>
        <v/>
      </c>
      <c r="R64" s="53">
        <f>R63+P64+H64-C64-K64+Q64</f>
        <v/>
      </c>
      <c r="S64" s="53">
        <f>S63+L64-F64-J64+Q64*(1-dev_bonds)</f>
        <v/>
      </c>
      <c r="T64" s="69">
        <f>Loans!X64</f>
        <v/>
      </c>
      <c r="U64" s="53">
        <f>R64-M64-S64-T64</f>
        <v/>
      </c>
      <c r="V64" s="63">
        <f>R64/Economy!O64</f>
        <v/>
      </c>
      <c r="W64" s="63">
        <f>Budget!X64/Budget!M64</f>
        <v/>
      </c>
      <c r="X64" s="63">
        <f>S64/Economy!O64</f>
        <v/>
      </c>
      <c r="Y64" s="53">
        <f>MAX(0,H64+Q64-'Gold &amp; money'!G64)</f>
        <v/>
      </c>
    </row>
    <row r="65">
      <c r="A65" s="58" t="n">
        <v>1905</v>
      </c>
      <c r="B65" s="53">
        <f>Loans!V65-Loans!W65</f>
        <v/>
      </c>
      <c r="C65" s="53">
        <f>R64*debt_amort</f>
        <v/>
      </c>
      <c r="D65" s="53">
        <f>M64+Budget!Z65-B65-C65</f>
        <v/>
      </c>
      <c r="E65" s="53">
        <f>MAX(0.1,Budget!M65*cash_target)</f>
        <v/>
      </c>
      <c r="F65" s="53">
        <f>IF(D65&lt;E65,MIN(E65-D65,S64),0)</f>
        <v/>
      </c>
      <c r="G65" s="53">
        <f>MAX(0,E65-D65-F65)</f>
        <v/>
      </c>
      <c r="H65" s="53">
        <f>G65/issue_price</f>
        <v/>
      </c>
      <c r="I65" s="53">
        <f>IF(AND(D65&gt;E65,$A65&gt;=dev_start),(D65-E65)*dev_share,0)</f>
        <v/>
      </c>
      <c r="J65" s="53">
        <f>IF($A65&gt;=dev_start,MAX(0,S64-F65-reserve_buffer*Economy!O65),0)</f>
        <v/>
      </c>
      <c r="K65" s="53">
        <f>IF(D65&gt;E65,MIN((D65-E65-I65)*repay_share,R64-C65),0)</f>
        <v/>
      </c>
      <c r="L65" s="53">
        <f>IF(D65&gt;E65,D65-E65-I65-K65,0)</f>
        <v/>
      </c>
      <c r="M65" s="53">
        <f>D65+F65+G65-I65-K65-L65</f>
        <v/>
      </c>
      <c r="N65" s="53">
        <f>I65+J65+Q65*dev_bonds+SUMPRODUCT((Events!$B$6:$B$158&lt;=$A65)*(Events!$C$6:$C$158&gt;=$A65)*(Events!$E$6:$E$158="Investment")*Events!$H$6:$H$158)</f>
        <v/>
      </c>
      <c r="O65" s="53">
        <f>O64*(1-dev_dep)+N65</f>
        <v/>
      </c>
      <c r="P65" s="53">
        <f>SUMPRODUCT((Events!$B$6:$B$158&lt;=$A65)*(Events!$C$6:$C$158&gt;=$A65)*(Events!$E$6:$E$158="Debt assumed")*Events!$H$6:$H$158)</f>
        <v/>
      </c>
      <c r="Q65" s="53">
        <f>IF($A65&lt;1887,0,MAX(0,debt_floor*Economy!O65-(R64+P65+H65-C65-K65)))</f>
        <v/>
      </c>
      <c r="R65" s="53">
        <f>R64+P65+H65-C65-K65+Q65</f>
        <v/>
      </c>
      <c r="S65" s="53">
        <f>S64+L65-F65-J65+Q65*(1-dev_bonds)</f>
        <v/>
      </c>
      <c r="T65" s="69">
        <f>Loans!X65</f>
        <v/>
      </c>
      <c r="U65" s="53">
        <f>R65-M65-S65-T65</f>
        <v/>
      </c>
      <c r="V65" s="63">
        <f>R65/Economy!O65</f>
        <v/>
      </c>
      <c r="W65" s="63">
        <f>Budget!X65/Budget!M65</f>
        <v/>
      </c>
      <c r="X65" s="63">
        <f>S65/Economy!O65</f>
        <v/>
      </c>
      <c r="Y65" s="53">
        <f>MAX(0,H65+Q65-'Gold &amp; money'!G65)</f>
        <v/>
      </c>
    </row>
    <row r="66">
      <c r="A66" s="58" t="n">
        <v>1906</v>
      </c>
      <c r="B66" s="53">
        <f>Loans!V66-Loans!W66</f>
        <v/>
      </c>
      <c r="C66" s="53">
        <f>R65*debt_amort</f>
        <v/>
      </c>
      <c r="D66" s="53">
        <f>M65+Budget!Z66-B66-C66</f>
        <v/>
      </c>
      <c r="E66" s="53">
        <f>MAX(0.1,Budget!M66*cash_target)</f>
        <v/>
      </c>
      <c r="F66" s="53">
        <f>IF(D66&lt;E66,MIN(E66-D66,S65),0)</f>
        <v/>
      </c>
      <c r="G66" s="53">
        <f>MAX(0,E66-D66-F66)</f>
        <v/>
      </c>
      <c r="H66" s="53">
        <f>G66/issue_price</f>
        <v/>
      </c>
      <c r="I66" s="53">
        <f>IF(AND(D66&gt;E66,$A66&gt;=dev_start),(D66-E66)*dev_share,0)</f>
        <v/>
      </c>
      <c r="J66" s="53">
        <f>IF($A66&gt;=dev_start,MAX(0,S65-F66-reserve_buffer*Economy!O66),0)</f>
        <v/>
      </c>
      <c r="K66" s="53">
        <f>IF(D66&gt;E66,MIN((D66-E66-I66)*repay_share,R65-C66),0)</f>
        <v/>
      </c>
      <c r="L66" s="53">
        <f>IF(D66&gt;E66,D66-E66-I66-K66,0)</f>
        <v/>
      </c>
      <c r="M66" s="53">
        <f>D66+F66+G66-I66-K66-L66</f>
        <v/>
      </c>
      <c r="N66" s="53">
        <f>I66+J66+Q66*dev_bonds+SUMPRODUCT((Events!$B$6:$B$158&lt;=$A66)*(Events!$C$6:$C$158&gt;=$A66)*(Events!$E$6:$E$158="Investment")*Events!$H$6:$H$158)</f>
        <v/>
      </c>
      <c r="O66" s="53">
        <f>O65*(1-dev_dep)+N66</f>
        <v/>
      </c>
      <c r="P66" s="53">
        <f>SUMPRODUCT((Events!$B$6:$B$158&lt;=$A66)*(Events!$C$6:$C$158&gt;=$A66)*(Events!$E$6:$E$158="Debt assumed")*Events!$H$6:$H$158)</f>
        <v/>
      </c>
      <c r="Q66" s="53">
        <f>IF($A66&lt;1887,0,MAX(0,debt_floor*Economy!O66-(R65+P66+H66-C66-K66)))</f>
        <v/>
      </c>
      <c r="R66" s="53">
        <f>R65+P66+H66-C66-K66+Q66</f>
        <v/>
      </c>
      <c r="S66" s="53">
        <f>S65+L66-F66-J66+Q66*(1-dev_bonds)</f>
        <v/>
      </c>
      <c r="T66" s="69">
        <f>Loans!X66</f>
        <v/>
      </c>
      <c r="U66" s="53">
        <f>R66-M66-S66-T66</f>
        <v/>
      </c>
      <c r="V66" s="63">
        <f>R66/Economy!O66</f>
        <v/>
      </c>
      <c r="W66" s="63">
        <f>Budget!X66/Budget!M66</f>
        <v/>
      </c>
      <c r="X66" s="63">
        <f>S66/Economy!O66</f>
        <v/>
      </c>
      <c r="Y66" s="53">
        <f>MAX(0,H66+Q66-'Gold &amp; money'!G66)</f>
        <v/>
      </c>
    </row>
    <row r="67">
      <c r="A67" s="58" t="n">
        <v>1907</v>
      </c>
      <c r="B67" s="53">
        <f>Loans!V67-Loans!W67</f>
        <v/>
      </c>
      <c r="C67" s="53">
        <f>R66*debt_amort</f>
        <v/>
      </c>
      <c r="D67" s="53">
        <f>M66+Budget!Z67-B67-C67</f>
        <v/>
      </c>
      <c r="E67" s="53">
        <f>MAX(0.1,Budget!M67*cash_target)</f>
        <v/>
      </c>
      <c r="F67" s="53">
        <f>IF(D67&lt;E67,MIN(E67-D67,S66),0)</f>
        <v/>
      </c>
      <c r="G67" s="53">
        <f>MAX(0,E67-D67-F67)</f>
        <v/>
      </c>
      <c r="H67" s="53">
        <f>G67/issue_price</f>
        <v/>
      </c>
      <c r="I67" s="53">
        <f>IF(AND(D67&gt;E67,$A67&gt;=dev_start),(D67-E67)*dev_share,0)</f>
        <v/>
      </c>
      <c r="J67" s="53">
        <f>IF($A67&gt;=dev_start,MAX(0,S66-F67-reserve_buffer*Economy!O67),0)</f>
        <v/>
      </c>
      <c r="K67" s="53">
        <f>IF(D67&gt;E67,MIN((D67-E67-I67)*repay_share,R66-C67),0)</f>
        <v/>
      </c>
      <c r="L67" s="53">
        <f>IF(D67&gt;E67,D67-E67-I67-K67,0)</f>
        <v/>
      </c>
      <c r="M67" s="53">
        <f>D67+F67+G67-I67-K67-L67</f>
        <v/>
      </c>
      <c r="N67" s="53">
        <f>I67+J67+Q67*dev_bonds+SUMPRODUCT((Events!$B$6:$B$158&lt;=$A67)*(Events!$C$6:$C$158&gt;=$A67)*(Events!$E$6:$E$158="Investment")*Events!$H$6:$H$158)</f>
        <v/>
      </c>
      <c r="O67" s="53">
        <f>O66*(1-dev_dep)+N67</f>
        <v/>
      </c>
      <c r="P67" s="53">
        <f>SUMPRODUCT((Events!$B$6:$B$158&lt;=$A67)*(Events!$C$6:$C$158&gt;=$A67)*(Events!$E$6:$E$158="Debt assumed")*Events!$H$6:$H$158)</f>
        <v/>
      </c>
      <c r="Q67" s="53">
        <f>IF($A67&lt;1887,0,MAX(0,debt_floor*Economy!O67-(R66+P67+H67-C67-K67)))</f>
        <v/>
      </c>
      <c r="R67" s="53">
        <f>R66+P67+H67-C67-K67+Q67</f>
        <v/>
      </c>
      <c r="S67" s="53">
        <f>S66+L67-F67-J67+Q67*(1-dev_bonds)</f>
        <v/>
      </c>
      <c r="T67" s="69">
        <f>Loans!X67</f>
        <v/>
      </c>
      <c r="U67" s="53">
        <f>R67-M67-S67-T67</f>
        <v/>
      </c>
      <c r="V67" s="63">
        <f>R67/Economy!O67</f>
        <v/>
      </c>
      <c r="W67" s="63">
        <f>Budget!X67/Budget!M67</f>
        <v/>
      </c>
      <c r="X67" s="63">
        <f>S67/Economy!O67</f>
        <v/>
      </c>
      <c r="Y67" s="53">
        <f>MAX(0,H67+Q67-'Gold &amp; money'!G67)</f>
        <v/>
      </c>
    </row>
    <row r="68">
      <c r="A68" s="58" t="n">
        <v>1908</v>
      </c>
      <c r="B68" s="53">
        <f>Loans!V68-Loans!W68</f>
        <v/>
      </c>
      <c r="C68" s="53">
        <f>R67*debt_amort</f>
        <v/>
      </c>
      <c r="D68" s="53">
        <f>M67+Budget!Z68-B68-C68</f>
        <v/>
      </c>
      <c r="E68" s="53">
        <f>MAX(0.1,Budget!M68*cash_target)</f>
        <v/>
      </c>
      <c r="F68" s="53">
        <f>IF(D68&lt;E68,MIN(E68-D68,S67),0)</f>
        <v/>
      </c>
      <c r="G68" s="53">
        <f>MAX(0,E68-D68-F68)</f>
        <v/>
      </c>
      <c r="H68" s="53">
        <f>G68/issue_price</f>
        <v/>
      </c>
      <c r="I68" s="53">
        <f>IF(AND(D68&gt;E68,$A68&gt;=dev_start),(D68-E68)*dev_share,0)</f>
        <v/>
      </c>
      <c r="J68" s="53">
        <f>IF($A68&gt;=dev_start,MAX(0,S67-F68-reserve_buffer*Economy!O68),0)</f>
        <v/>
      </c>
      <c r="K68" s="53">
        <f>IF(D68&gt;E68,MIN((D68-E68-I68)*repay_share,R67-C68),0)</f>
        <v/>
      </c>
      <c r="L68" s="53">
        <f>IF(D68&gt;E68,D68-E68-I68-K68,0)</f>
        <v/>
      </c>
      <c r="M68" s="53">
        <f>D68+F68+G68-I68-K68-L68</f>
        <v/>
      </c>
      <c r="N68" s="53">
        <f>I68+J68+Q68*dev_bonds+SUMPRODUCT((Events!$B$6:$B$158&lt;=$A68)*(Events!$C$6:$C$158&gt;=$A68)*(Events!$E$6:$E$158="Investment")*Events!$H$6:$H$158)</f>
        <v/>
      </c>
      <c r="O68" s="53">
        <f>O67*(1-dev_dep)+N68</f>
        <v/>
      </c>
      <c r="P68" s="53">
        <f>SUMPRODUCT((Events!$B$6:$B$158&lt;=$A68)*(Events!$C$6:$C$158&gt;=$A68)*(Events!$E$6:$E$158="Debt assumed")*Events!$H$6:$H$158)</f>
        <v/>
      </c>
      <c r="Q68" s="53">
        <f>IF($A68&lt;1887,0,MAX(0,debt_floor*Economy!O68-(R67+P68+H68-C68-K68)))</f>
        <v/>
      </c>
      <c r="R68" s="53">
        <f>R67+P68+H68-C68-K68+Q68</f>
        <v/>
      </c>
      <c r="S68" s="53">
        <f>S67+L68-F68-J68+Q68*(1-dev_bonds)</f>
        <v/>
      </c>
      <c r="T68" s="69">
        <f>Loans!X68</f>
        <v/>
      </c>
      <c r="U68" s="53">
        <f>R68-M68-S68-T68</f>
        <v/>
      </c>
      <c r="V68" s="63">
        <f>R68/Economy!O68</f>
        <v/>
      </c>
      <c r="W68" s="63">
        <f>Budget!X68/Budget!M68</f>
        <v/>
      </c>
      <c r="X68" s="63">
        <f>S68/Economy!O68</f>
        <v/>
      </c>
      <c r="Y68" s="53">
        <f>MAX(0,H68+Q68-'Gold &amp; money'!G68)</f>
        <v/>
      </c>
    </row>
    <row r="69">
      <c r="A69" s="58" t="n">
        <v>1909</v>
      </c>
      <c r="B69" s="53">
        <f>Loans!V69-Loans!W69</f>
        <v/>
      </c>
      <c r="C69" s="53">
        <f>R68*debt_amort</f>
        <v/>
      </c>
      <c r="D69" s="53">
        <f>M68+Budget!Z69-B69-C69</f>
        <v/>
      </c>
      <c r="E69" s="53">
        <f>MAX(0.1,Budget!M69*cash_target)</f>
        <v/>
      </c>
      <c r="F69" s="53">
        <f>IF(D69&lt;E69,MIN(E69-D69,S68),0)</f>
        <v/>
      </c>
      <c r="G69" s="53">
        <f>MAX(0,E69-D69-F69)</f>
        <v/>
      </c>
      <c r="H69" s="53">
        <f>G69/issue_price</f>
        <v/>
      </c>
      <c r="I69" s="53">
        <f>IF(AND(D69&gt;E69,$A69&gt;=dev_start),(D69-E69)*dev_share,0)</f>
        <v/>
      </c>
      <c r="J69" s="53">
        <f>IF($A69&gt;=dev_start,MAX(0,S68-F69-reserve_buffer*Economy!O69),0)</f>
        <v/>
      </c>
      <c r="K69" s="53">
        <f>IF(D69&gt;E69,MIN((D69-E69-I69)*repay_share,R68-C69),0)</f>
        <v/>
      </c>
      <c r="L69" s="53">
        <f>IF(D69&gt;E69,D69-E69-I69-K69,0)</f>
        <v/>
      </c>
      <c r="M69" s="53">
        <f>D69+F69+G69-I69-K69-L69</f>
        <v/>
      </c>
      <c r="N69" s="53">
        <f>I69+J69+Q69*dev_bonds+SUMPRODUCT((Events!$B$6:$B$158&lt;=$A69)*(Events!$C$6:$C$158&gt;=$A69)*(Events!$E$6:$E$158="Investment")*Events!$H$6:$H$158)</f>
        <v/>
      </c>
      <c r="O69" s="53">
        <f>O68*(1-dev_dep)+N69</f>
        <v/>
      </c>
      <c r="P69" s="53">
        <f>SUMPRODUCT((Events!$B$6:$B$158&lt;=$A69)*(Events!$C$6:$C$158&gt;=$A69)*(Events!$E$6:$E$158="Debt assumed")*Events!$H$6:$H$158)</f>
        <v/>
      </c>
      <c r="Q69" s="53">
        <f>IF($A69&lt;1887,0,MAX(0,debt_floor*Economy!O69-(R68+P69+H69-C69-K69)))</f>
        <v/>
      </c>
      <c r="R69" s="53">
        <f>R68+P69+H69-C69-K69+Q69</f>
        <v/>
      </c>
      <c r="S69" s="53">
        <f>S68+L69-F69-J69+Q69*(1-dev_bonds)</f>
        <v/>
      </c>
      <c r="T69" s="69">
        <f>Loans!X69</f>
        <v/>
      </c>
      <c r="U69" s="53">
        <f>R69-M69-S69-T69</f>
        <v/>
      </c>
      <c r="V69" s="63">
        <f>R69/Economy!O69</f>
        <v/>
      </c>
      <c r="W69" s="63">
        <f>Budget!X69/Budget!M69</f>
        <v/>
      </c>
      <c r="X69" s="63">
        <f>S69/Economy!O69</f>
        <v/>
      </c>
      <c r="Y69" s="53">
        <f>MAX(0,H69+Q69-'Gold &amp; money'!G69)</f>
        <v/>
      </c>
    </row>
    <row r="70">
      <c r="A70" s="58" t="n">
        <v>1910</v>
      </c>
      <c r="B70" s="53">
        <f>Loans!V70-Loans!W70</f>
        <v/>
      </c>
      <c r="C70" s="53">
        <f>R69*debt_amort</f>
        <v/>
      </c>
      <c r="D70" s="53">
        <f>M69+Budget!Z70-B70-C70</f>
        <v/>
      </c>
      <c r="E70" s="53">
        <f>MAX(0.1,Budget!M70*cash_target)</f>
        <v/>
      </c>
      <c r="F70" s="53">
        <f>IF(D70&lt;E70,MIN(E70-D70,S69),0)</f>
        <v/>
      </c>
      <c r="G70" s="53">
        <f>MAX(0,E70-D70-F70)</f>
        <v/>
      </c>
      <c r="H70" s="53">
        <f>G70/issue_price</f>
        <v/>
      </c>
      <c r="I70" s="53">
        <f>IF(AND(D70&gt;E70,$A70&gt;=dev_start),(D70-E70)*dev_share,0)</f>
        <v/>
      </c>
      <c r="J70" s="53">
        <f>IF($A70&gt;=dev_start,MAX(0,S69-F70-reserve_buffer*Economy!O70),0)</f>
        <v/>
      </c>
      <c r="K70" s="53">
        <f>IF(D70&gt;E70,MIN((D70-E70-I70)*repay_share,R69-C70),0)</f>
        <v/>
      </c>
      <c r="L70" s="53">
        <f>IF(D70&gt;E70,D70-E70-I70-K70,0)</f>
        <v/>
      </c>
      <c r="M70" s="53">
        <f>D70+F70+G70-I70-K70-L70</f>
        <v/>
      </c>
      <c r="N70" s="53">
        <f>I70+J70+Q70*dev_bonds+SUMPRODUCT((Events!$B$6:$B$158&lt;=$A70)*(Events!$C$6:$C$158&gt;=$A70)*(Events!$E$6:$E$158="Investment")*Events!$H$6:$H$158)</f>
        <v/>
      </c>
      <c r="O70" s="53">
        <f>O69*(1-dev_dep)+N70</f>
        <v/>
      </c>
      <c r="P70" s="53">
        <f>SUMPRODUCT((Events!$B$6:$B$158&lt;=$A70)*(Events!$C$6:$C$158&gt;=$A70)*(Events!$E$6:$E$158="Debt assumed")*Events!$H$6:$H$158)</f>
        <v/>
      </c>
      <c r="Q70" s="53">
        <f>IF($A70&lt;1887,0,MAX(0,debt_floor*Economy!O70-(R69+P70+H70-C70-K70)))</f>
        <v/>
      </c>
      <c r="R70" s="53">
        <f>R69+P70+H70-C70-K70+Q70</f>
        <v/>
      </c>
      <c r="S70" s="53">
        <f>S69+L70-F70-J70+Q70*(1-dev_bonds)</f>
        <v/>
      </c>
      <c r="T70" s="69">
        <f>Loans!X70</f>
        <v/>
      </c>
      <c r="U70" s="53">
        <f>R70-M70-S70-T70</f>
        <v/>
      </c>
      <c r="V70" s="63">
        <f>R70/Economy!O70</f>
        <v/>
      </c>
      <c r="W70" s="63">
        <f>Budget!X70/Budget!M70</f>
        <v/>
      </c>
      <c r="X70" s="63">
        <f>S70/Economy!O70</f>
        <v/>
      </c>
      <c r="Y70" s="53">
        <f>MAX(0,H70+Q70-'Gold &amp; money'!G70)</f>
        <v/>
      </c>
    </row>
    <row r="71">
      <c r="A71" s="58" t="n">
        <v>1911</v>
      </c>
      <c r="B71" s="53">
        <f>Loans!V71-Loans!W71</f>
        <v/>
      </c>
      <c r="C71" s="53">
        <f>R70*debt_amort</f>
        <v/>
      </c>
      <c r="D71" s="53">
        <f>M70+Budget!Z71-B71-C71</f>
        <v/>
      </c>
      <c r="E71" s="53">
        <f>MAX(0.1,Budget!M71*cash_target)</f>
        <v/>
      </c>
      <c r="F71" s="53">
        <f>IF(D71&lt;E71,MIN(E71-D71,S70),0)</f>
        <v/>
      </c>
      <c r="G71" s="53">
        <f>MAX(0,E71-D71-F71)</f>
        <v/>
      </c>
      <c r="H71" s="53">
        <f>G71/issue_price</f>
        <v/>
      </c>
      <c r="I71" s="53">
        <f>IF(AND(D71&gt;E71,$A71&gt;=dev_start),(D71-E71)*dev_share,0)</f>
        <v/>
      </c>
      <c r="J71" s="53">
        <f>IF($A71&gt;=dev_start,MAX(0,S70-F71-reserve_buffer*Economy!O71),0)</f>
        <v/>
      </c>
      <c r="K71" s="53">
        <f>IF(D71&gt;E71,MIN((D71-E71-I71)*repay_share,R70-C71),0)</f>
        <v/>
      </c>
      <c r="L71" s="53">
        <f>IF(D71&gt;E71,D71-E71-I71-K71,0)</f>
        <v/>
      </c>
      <c r="M71" s="53">
        <f>D71+F71+G71-I71-K71-L71</f>
        <v/>
      </c>
      <c r="N71" s="53">
        <f>I71+J71+Q71*dev_bonds+SUMPRODUCT((Events!$B$6:$B$158&lt;=$A71)*(Events!$C$6:$C$158&gt;=$A71)*(Events!$E$6:$E$158="Investment")*Events!$H$6:$H$158)</f>
        <v/>
      </c>
      <c r="O71" s="53">
        <f>O70*(1-dev_dep)+N71</f>
        <v/>
      </c>
      <c r="P71" s="53">
        <f>SUMPRODUCT((Events!$B$6:$B$158&lt;=$A71)*(Events!$C$6:$C$158&gt;=$A71)*(Events!$E$6:$E$158="Debt assumed")*Events!$H$6:$H$158)</f>
        <v/>
      </c>
      <c r="Q71" s="53">
        <f>IF($A71&lt;1887,0,MAX(0,debt_floor*Economy!O71-(R70+P71+H71-C71-K71)))</f>
        <v/>
      </c>
      <c r="R71" s="53">
        <f>R70+P71+H71-C71-K71+Q71</f>
        <v/>
      </c>
      <c r="S71" s="53">
        <f>S70+L71-F71-J71+Q71*(1-dev_bonds)</f>
        <v/>
      </c>
      <c r="T71" s="69">
        <f>Loans!X71</f>
        <v/>
      </c>
      <c r="U71" s="53">
        <f>R71-M71-S71-T71</f>
        <v/>
      </c>
      <c r="V71" s="63">
        <f>R71/Economy!O71</f>
        <v/>
      </c>
      <c r="W71" s="63">
        <f>Budget!X71/Budget!M71</f>
        <v/>
      </c>
      <c r="X71" s="63">
        <f>S71/Economy!O71</f>
        <v/>
      </c>
      <c r="Y71" s="53">
        <f>MAX(0,H71+Q71-'Gold &amp; money'!G71)</f>
        <v/>
      </c>
    </row>
    <row r="72">
      <c r="A72" s="58" t="n">
        <v>1912</v>
      </c>
      <c r="B72" s="53">
        <f>Loans!V72-Loans!W72</f>
        <v/>
      </c>
      <c r="C72" s="53">
        <f>R71*debt_amort</f>
        <v/>
      </c>
      <c r="D72" s="53">
        <f>M71+Budget!Z72-B72-C72</f>
        <v/>
      </c>
      <c r="E72" s="53">
        <f>MAX(0.1,Budget!M72*cash_target)</f>
        <v/>
      </c>
      <c r="F72" s="53">
        <f>IF(D72&lt;E72,MIN(E72-D72,S71),0)</f>
        <v/>
      </c>
      <c r="G72" s="53">
        <f>MAX(0,E72-D72-F72)</f>
        <v/>
      </c>
      <c r="H72" s="53">
        <f>G72/issue_price</f>
        <v/>
      </c>
      <c r="I72" s="53">
        <f>IF(AND(D72&gt;E72,$A72&gt;=dev_start),(D72-E72)*dev_share,0)</f>
        <v/>
      </c>
      <c r="J72" s="53">
        <f>IF($A72&gt;=dev_start,MAX(0,S71-F72-reserve_buffer*Economy!O72),0)</f>
        <v/>
      </c>
      <c r="K72" s="53">
        <f>IF(D72&gt;E72,MIN((D72-E72-I72)*repay_share,R71-C72),0)</f>
        <v/>
      </c>
      <c r="L72" s="53">
        <f>IF(D72&gt;E72,D72-E72-I72-K72,0)</f>
        <v/>
      </c>
      <c r="M72" s="53">
        <f>D72+F72+G72-I72-K72-L72</f>
        <v/>
      </c>
      <c r="N72" s="53">
        <f>I72+J72+Q72*dev_bonds+SUMPRODUCT((Events!$B$6:$B$158&lt;=$A72)*(Events!$C$6:$C$158&gt;=$A72)*(Events!$E$6:$E$158="Investment")*Events!$H$6:$H$158)</f>
        <v/>
      </c>
      <c r="O72" s="53">
        <f>O71*(1-dev_dep)+N72</f>
        <v/>
      </c>
      <c r="P72" s="53">
        <f>SUMPRODUCT((Events!$B$6:$B$158&lt;=$A72)*(Events!$C$6:$C$158&gt;=$A72)*(Events!$E$6:$E$158="Debt assumed")*Events!$H$6:$H$158)</f>
        <v/>
      </c>
      <c r="Q72" s="53">
        <f>IF($A72&lt;1887,0,MAX(0,debt_floor*Economy!O72-(R71+P72+H72-C72-K72)))</f>
        <v/>
      </c>
      <c r="R72" s="53">
        <f>R71+P72+H72-C72-K72+Q72</f>
        <v/>
      </c>
      <c r="S72" s="53">
        <f>S71+L72-F72-J72+Q72*(1-dev_bonds)</f>
        <v/>
      </c>
      <c r="T72" s="69">
        <f>Loans!X72</f>
        <v/>
      </c>
      <c r="U72" s="53">
        <f>R72-M72-S72-T72</f>
        <v/>
      </c>
      <c r="V72" s="63">
        <f>R72/Economy!O72</f>
        <v/>
      </c>
      <c r="W72" s="63">
        <f>Budget!X72/Budget!M72</f>
        <v/>
      </c>
      <c r="X72" s="63">
        <f>S72/Economy!O72</f>
        <v/>
      </c>
      <c r="Y72" s="53">
        <f>MAX(0,H72+Q72-'Gold &amp; money'!G72)</f>
        <v/>
      </c>
    </row>
    <row r="73">
      <c r="A73" s="58" t="n">
        <v>1913</v>
      </c>
      <c r="B73" s="53">
        <f>Loans!V73-Loans!W73</f>
        <v/>
      </c>
      <c r="C73" s="53">
        <f>R72*debt_amort</f>
        <v/>
      </c>
      <c r="D73" s="53">
        <f>M72+Budget!Z73-B73-C73</f>
        <v/>
      </c>
      <c r="E73" s="53">
        <f>MAX(0.1,Budget!M73*cash_target)</f>
        <v/>
      </c>
      <c r="F73" s="53">
        <f>IF(D73&lt;E73,MIN(E73-D73,S72),0)</f>
        <v/>
      </c>
      <c r="G73" s="53">
        <f>MAX(0,E73-D73-F73)</f>
        <v/>
      </c>
      <c r="H73" s="53">
        <f>G73/issue_price</f>
        <v/>
      </c>
      <c r="I73" s="53">
        <f>IF(AND(D73&gt;E73,$A73&gt;=dev_start),(D73-E73)*dev_share,0)</f>
        <v/>
      </c>
      <c r="J73" s="53">
        <f>IF($A73&gt;=dev_start,MAX(0,S72-F73-reserve_buffer*Economy!O73),0)</f>
        <v/>
      </c>
      <c r="K73" s="53">
        <f>IF(D73&gt;E73,MIN((D73-E73-I73)*repay_share,R72-C73),0)</f>
        <v/>
      </c>
      <c r="L73" s="53">
        <f>IF(D73&gt;E73,D73-E73-I73-K73,0)</f>
        <v/>
      </c>
      <c r="M73" s="53">
        <f>D73+F73+G73-I73-K73-L73</f>
        <v/>
      </c>
      <c r="N73" s="53">
        <f>I73+J73+Q73*dev_bonds+SUMPRODUCT((Events!$B$6:$B$158&lt;=$A73)*(Events!$C$6:$C$158&gt;=$A73)*(Events!$E$6:$E$158="Investment")*Events!$H$6:$H$158)</f>
        <v/>
      </c>
      <c r="O73" s="53">
        <f>O72*(1-dev_dep)+N73</f>
        <v/>
      </c>
      <c r="P73" s="53">
        <f>SUMPRODUCT((Events!$B$6:$B$158&lt;=$A73)*(Events!$C$6:$C$158&gt;=$A73)*(Events!$E$6:$E$158="Debt assumed")*Events!$H$6:$H$158)</f>
        <v/>
      </c>
      <c r="Q73" s="53">
        <f>IF($A73&lt;1887,0,MAX(0,debt_floor*Economy!O73-(R72+P73+H73-C73-K73)))</f>
        <v/>
      </c>
      <c r="R73" s="53">
        <f>R72+P73+H73-C73-K73+Q73</f>
        <v/>
      </c>
      <c r="S73" s="53">
        <f>S72+L73-F73-J73+Q73*(1-dev_bonds)</f>
        <v/>
      </c>
      <c r="T73" s="69">
        <f>Loans!X73</f>
        <v/>
      </c>
      <c r="U73" s="53">
        <f>R73-M73-S73-T73</f>
        <v/>
      </c>
      <c r="V73" s="63">
        <f>R73/Economy!O73</f>
        <v/>
      </c>
      <c r="W73" s="63">
        <f>Budget!X73/Budget!M73</f>
        <v/>
      </c>
      <c r="X73" s="63">
        <f>S73/Economy!O73</f>
        <v/>
      </c>
      <c r="Y73" s="53">
        <f>MAX(0,H73+Q73-'Gold &amp; money'!G73)</f>
        <v/>
      </c>
    </row>
    <row r="74">
      <c r="A74" s="61" t="n">
        <v>1914</v>
      </c>
      <c r="B74" s="53">
        <f>Loans!V74-Loans!W74</f>
        <v/>
      </c>
      <c r="C74" s="53">
        <f>R73*debt_amort</f>
        <v/>
      </c>
      <c r="D74" s="53">
        <f>M73+Budget!Z74-B74-C74</f>
        <v/>
      </c>
      <c r="E74" s="53">
        <f>MAX(0.1,Budget!M74*cash_target)</f>
        <v/>
      </c>
      <c r="F74" s="53">
        <f>IF(D74&lt;E74,MIN(E74-D74,S73),0)</f>
        <v/>
      </c>
      <c r="G74" s="53">
        <f>MAX(0,E74-D74-F74)</f>
        <v/>
      </c>
      <c r="H74" s="53">
        <f>G74/issue_price</f>
        <v/>
      </c>
      <c r="I74" s="53">
        <f>IF(AND(D74&gt;E74,$A74&gt;=dev_start),(D74-E74)*dev_share,0)</f>
        <v/>
      </c>
      <c r="J74" s="53">
        <f>IF($A74&gt;=dev_start,MAX(0,S73-F74-reserve_buffer*Economy!O74),0)</f>
        <v/>
      </c>
      <c r="K74" s="53">
        <f>IF(D74&gt;E74,MIN((D74-E74-I74)*repay_share,R73-C74),0)</f>
        <v/>
      </c>
      <c r="L74" s="53">
        <f>IF(D74&gt;E74,D74-E74-I74-K74,0)</f>
        <v/>
      </c>
      <c r="M74" s="53">
        <f>D74+F74+G74-I74-K74-L74</f>
        <v/>
      </c>
      <c r="N74" s="53">
        <f>I74+J74+Q74*dev_bonds+SUMPRODUCT((Events!$B$6:$B$158&lt;=$A74)*(Events!$C$6:$C$158&gt;=$A74)*(Events!$E$6:$E$158="Investment")*Events!$H$6:$H$158)</f>
        <v/>
      </c>
      <c r="O74" s="53">
        <f>O73*(1-dev_dep)+N74</f>
        <v/>
      </c>
      <c r="P74" s="53">
        <f>SUMPRODUCT((Events!$B$6:$B$158&lt;=$A74)*(Events!$C$6:$C$158&gt;=$A74)*(Events!$E$6:$E$158="Debt assumed")*Events!$H$6:$H$158)</f>
        <v/>
      </c>
      <c r="Q74" s="53">
        <f>IF($A74&lt;1887,0,MAX(0,debt_floor*Economy!O74-(R73+P74+H74-C74-K74)))</f>
        <v/>
      </c>
      <c r="R74" s="53">
        <f>R73+P74+H74-C74-K74+Q74</f>
        <v/>
      </c>
      <c r="S74" s="53">
        <f>S73+L74-F74-J74+Q74*(1-dev_bonds)</f>
        <v/>
      </c>
      <c r="T74" s="69">
        <f>Loans!X74</f>
        <v/>
      </c>
      <c r="U74" s="53">
        <f>R74-M74-S74-T74</f>
        <v/>
      </c>
      <c r="V74" s="63">
        <f>R74/Economy!O74</f>
        <v/>
      </c>
      <c r="W74" s="63">
        <f>Budget!X74/Budget!M74</f>
        <v/>
      </c>
      <c r="X74" s="63">
        <f>S74/Economy!O74</f>
        <v/>
      </c>
      <c r="Y74" s="53">
        <f>MAX(0,H74+Q74-'Gold &amp; money'!G74)</f>
        <v/>
      </c>
    </row>
    <row r="75">
      <c r="A75" s="61" t="n">
        <v>1915</v>
      </c>
      <c r="B75" s="53">
        <f>Loans!V75-Loans!W75</f>
        <v/>
      </c>
      <c r="C75" s="53">
        <f>R74*debt_amort</f>
        <v/>
      </c>
      <c r="D75" s="53">
        <f>M74+Budget!Z75-B75-C75</f>
        <v/>
      </c>
      <c r="E75" s="53">
        <f>MAX(0.1,Budget!M75*cash_target)</f>
        <v/>
      </c>
      <c r="F75" s="53">
        <f>IF(D75&lt;E75,MIN(E75-D75,S74),0)</f>
        <v/>
      </c>
      <c r="G75" s="53">
        <f>MAX(0,E75-D75-F75)</f>
        <v/>
      </c>
      <c r="H75" s="53">
        <f>G75/issue_price</f>
        <v/>
      </c>
      <c r="I75" s="53">
        <f>IF(AND(D75&gt;E75,$A75&gt;=dev_start),(D75-E75)*dev_share,0)</f>
        <v/>
      </c>
      <c r="J75" s="53">
        <f>IF($A75&gt;=dev_start,MAX(0,S74-F75-reserve_buffer*Economy!O75),0)</f>
        <v/>
      </c>
      <c r="K75" s="53">
        <f>IF(D75&gt;E75,MIN((D75-E75-I75)*repay_share,R74-C75),0)</f>
        <v/>
      </c>
      <c r="L75" s="53">
        <f>IF(D75&gt;E75,D75-E75-I75-K75,0)</f>
        <v/>
      </c>
      <c r="M75" s="53">
        <f>D75+F75+G75-I75-K75-L75</f>
        <v/>
      </c>
      <c r="N75" s="53">
        <f>I75+J75+Q75*dev_bonds+SUMPRODUCT((Events!$B$6:$B$158&lt;=$A75)*(Events!$C$6:$C$158&gt;=$A75)*(Events!$E$6:$E$158="Investment")*Events!$H$6:$H$158)</f>
        <v/>
      </c>
      <c r="O75" s="53">
        <f>O74*(1-dev_dep)+N75</f>
        <v/>
      </c>
      <c r="P75" s="53">
        <f>SUMPRODUCT((Events!$B$6:$B$158&lt;=$A75)*(Events!$C$6:$C$158&gt;=$A75)*(Events!$E$6:$E$158="Debt assumed")*Events!$H$6:$H$158)</f>
        <v/>
      </c>
      <c r="Q75" s="53">
        <f>IF($A75&lt;1887,0,MAX(0,debt_floor*Economy!O75-(R74+P75+H75-C75-K75)))</f>
        <v/>
      </c>
      <c r="R75" s="53">
        <f>R74+P75+H75-C75-K75+Q75</f>
        <v/>
      </c>
      <c r="S75" s="53">
        <f>S74+L75-F75-J75+Q75*(1-dev_bonds)</f>
        <v/>
      </c>
      <c r="T75" s="69">
        <f>Loans!X75</f>
        <v/>
      </c>
      <c r="U75" s="53">
        <f>R75-M75-S75-T75</f>
        <v/>
      </c>
      <c r="V75" s="63">
        <f>R75/Economy!O75</f>
        <v/>
      </c>
      <c r="W75" s="63">
        <f>Budget!X75/Budget!M75</f>
        <v/>
      </c>
      <c r="X75" s="63">
        <f>S75/Economy!O75</f>
        <v/>
      </c>
      <c r="Y75" s="53">
        <f>MAX(0,H75+Q75-'Gold &amp; money'!G75)</f>
        <v/>
      </c>
    </row>
    <row r="76">
      <c r="A76" s="61" t="n">
        <v>1916</v>
      </c>
      <c r="B76" s="53">
        <f>Loans!V76-Loans!W76</f>
        <v/>
      </c>
      <c r="C76" s="53">
        <f>R75*debt_amort</f>
        <v/>
      </c>
      <c r="D76" s="53">
        <f>M75+Budget!Z76-B76-C76</f>
        <v/>
      </c>
      <c r="E76" s="53">
        <f>MAX(0.1,Budget!M76*cash_target)</f>
        <v/>
      </c>
      <c r="F76" s="53">
        <f>IF(D76&lt;E76,MIN(E76-D76,S75),0)</f>
        <v/>
      </c>
      <c r="G76" s="53">
        <f>MAX(0,E76-D76-F76)</f>
        <v/>
      </c>
      <c r="H76" s="53">
        <f>G76/issue_price</f>
        <v/>
      </c>
      <c r="I76" s="53">
        <f>IF(AND(D76&gt;E76,$A76&gt;=dev_start),(D76-E76)*dev_share,0)</f>
        <v/>
      </c>
      <c r="J76" s="53">
        <f>IF($A76&gt;=dev_start,MAX(0,S75-F76-reserve_buffer*Economy!O76),0)</f>
        <v/>
      </c>
      <c r="K76" s="53">
        <f>IF(D76&gt;E76,MIN((D76-E76-I76)*repay_share,R75-C76),0)</f>
        <v/>
      </c>
      <c r="L76" s="53">
        <f>IF(D76&gt;E76,D76-E76-I76-K76,0)</f>
        <v/>
      </c>
      <c r="M76" s="53">
        <f>D76+F76+G76-I76-K76-L76</f>
        <v/>
      </c>
      <c r="N76" s="53">
        <f>I76+J76+Q76*dev_bonds+SUMPRODUCT((Events!$B$6:$B$158&lt;=$A76)*(Events!$C$6:$C$158&gt;=$A76)*(Events!$E$6:$E$158="Investment")*Events!$H$6:$H$158)</f>
        <v/>
      </c>
      <c r="O76" s="53">
        <f>O75*(1-dev_dep)+N76</f>
        <v/>
      </c>
      <c r="P76" s="53">
        <f>SUMPRODUCT((Events!$B$6:$B$158&lt;=$A76)*(Events!$C$6:$C$158&gt;=$A76)*(Events!$E$6:$E$158="Debt assumed")*Events!$H$6:$H$158)</f>
        <v/>
      </c>
      <c r="Q76" s="53">
        <f>IF($A76&lt;1887,0,MAX(0,debt_floor*Economy!O76-(R75+P76+H76-C76-K76)))</f>
        <v/>
      </c>
      <c r="R76" s="53">
        <f>R75+P76+H76-C76-K76+Q76</f>
        <v/>
      </c>
      <c r="S76" s="53">
        <f>S75+L76-F76-J76+Q76*(1-dev_bonds)</f>
        <v/>
      </c>
      <c r="T76" s="69">
        <f>Loans!X76</f>
        <v/>
      </c>
      <c r="U76" s="53">
        <f>R76-M76-S76-T76</f>
        <v/>
      </c>
      <c r="V76" s="63">
        <f>R76/Economy!O76</f>
        <v/>
      </c>
      <c r="W76" s="63">
        <f>Budget!X76/Budget!M76</f>
        <v/>
      </c>
      <c r="X76" s="63">
        <f>S76/Economy!O76</f>
        <v/>
      </c>
      <c r="Y76" s="53">
        <f>MAX(0,H76+Q76-'Gold &amp; money'!G76)</f>
        <v/>
      </c>
    </row>
    <row r="77">
      <c r="A77" s="61" t="n">
        <v>1917</v>
      </c>
      <c r="B77" s="53">
        <f>Loans!V77-Loans!W77</f>
        <v/>
      </c>
      <c r="C77" s="53">
        <f>R76*debt_amort</f>
        <v/>
      </c>
      <c r="D77" s="53">
        <f>M76+Budget!Z77-B77-C77</f>
        <v/>
      </c>
      <c r="E77" s="53">
        <f>MAX(0.1,Budget!M77*cash_target)</f>
        <v/>
      </c>
      <c r="F77" s="53">
        <f>IF(D77&lt;E77,MIN(E77-D77,S76),0)</f>
        <v/>
      </c>
      <c r="G77" s="53">
        <f>MAX(0,E77-D77-F77)</f>
        <v/>
      </c>
      <c r="H77" s="53">
        <f>G77/issue_price</f>
        <v/>
      </c>
      <c r="I77" s="53">
        <f>IF(AND(D77&gt;E77,$A77&gt;=dev_start),(D77-E77)*dev_share,0)</f>
        <v/>
      </c>
      <c r="J77" s="53">
        <f>IF($A77&gt;=dev_start,MAX(0,S76-F77-reserve_buffer*Economy!O77),0)</f>
        <v/>
      </c>
      <c r="K77" s="53">
        <f>IF(D77&gt;E77,MIN((D77-E77-I77)*repay_share,R76-C77),0)</f>
        <v/>
      </c>
      <c r="L77" s="53">
        <f>IF(D77&gt;E77,D77-E77-I77-K77,0)</f>
        <v/>
      </c>
      <c r="M77" s="53">
        <f>D77+F77+G77-I77-K77-L77</f>
        <v/>
      </c>
      <c r="N77" s="53">
        <f>I77+J77+Q77*dev_bonds+SUMPRODUCT((Events!$B$6:$B$158&lt;=$A77)*(Events!$C$6:$C$158&gt;=$A77)*(Events!$E$6:$E$158="Investment")*Events!$H$6:$H$158)</f>
        <v/>
      </c>
      <c r="O77" s="53">
        <f>O76*(1-dev_dep)+N77</f>
        <v/>
      </c>
      <c r="P77" s="53">
        <f>SUMPRODUCT((Events!$B$6:$B$158&lt;=$A77)*(Events!$C$6:$C$158&gt;=$A77)*(Events!$E$6:$E$158="Debt assumed")*Events!$H$6:$H$158)</f>
        <v/>
      </c>
      <c r="Q77" s="53">
        <f>IF($A77&lt;1887,0,MAX(0,debt_floor*Economy!O77-(R76+P77+H77-C77-K77)))</f>
        <v/>
      </c>
      <c r="R77" s="53">
        <f>R76+P77+H77-C77-K77+Q77</f>
        <v/>
      </c>
      <c r="S77" s="53">
        <f>S76+L77-F77-J77+Q77*(1-dev_bonds)</f>
        <v/>
      </c>
      <c r="T77" s="69">
        <f>Loans!X77</f>
        <v/>
      </c>
      <c r="U77" s="53">
        <f>R77-M77-S77-T77</f>
        <v/>
      </c>
      <c r="V77" s="63">
        <f>R77/Economy!O77</f>
        <v/>
      </c>
      <c r="W77" s="63">
        <f>Budget!X77/Budget!M77</f>
        <v/>
      </c>
      <c r="X77" s="63">
        <f>S77/Economy!O77</f>
        <v/>
      </c>
      <c r="Y77" s="53">
        <f>MAX(0,H77+Q77-'Gold &amp; money'!G77)</f>
        <v/>
      </c>
    </row>
    <row r="78">
      <c r="A78" s="61" t="n">
        <v>1918</v>
      </c>
      <c r="B78" s="53">
        <f>Loans!V78-Loans!W78</f>
        <v/>
      </c>
      <c r="C78" s="53">
        <f>R77*debt_amort</f>
        <v/>
      </c>
      <c r="D78" s="53">
        <f>M77+Budget!Z78-B78-C78</f>
        <v/>
      </c>
      <c r="E78" s="53">
        <f>MAX(0.1,Budget!M78*cash_target)</f>
        <v/>
      </c>
      <c r="F78" s="53">
        <f>IF(D78&lt;E78,MIN(E78-D78,S77),0)</f>
        <v/>
      </c>
      <c r="G78" s="53">
        <f>MAX(0,E78-D78-F78)</f>
        <v/>
      </c>
      <c r="H78" s="53">
        <f>G78/issue_price</f>
        <v/>
      </c>
      <c r="I78" s="53">
        <f>IF(AND(D78&gt;E78,$A78&gt;=dev_start),(D78-E78)*dev_share,0)</f>
        <v/>
      </c>
      <c r="J78" s="53">
        <f>IF($A78&gt;=dev_start,MAX(0,S77-F78-reserve_buffer*Economy!O78),0)</f>
        <v/>
      </c>
      <c r="K78" s="53">
        <f>IF(D78&gt;E78,MIN((D78-E78-I78)*repay_share,R77-C78),0)</f>
        <v/>
      </c>
      <c r="L78" s="53">
        <f>IF(D78&gt;E78,D78-E78-I78-K78,0)</f>
        <v/>
      </c>
      <c r="M78" s="53">
        <f>D78+F78+G78-I78-K78-L78</f>
        <v/>
      </c>
      <c r="N78" s="53">
        <f>I78+J78+Q78*dev_bonds+SUMPRODUCT((Events!$B$6:$B$158&lt;=$A78)*(Events!$C$6:$C$158&gt;=$A78)*(Events!$E$6:$E$158="Investment")*Events!$H$6:$H$158)</f>
        <v/>
      </c>
      <c r="O78" s="53">
        <f>O77*(1-dev_dep)+N78</f>
        <v/>
      </c>
      <c r="P78" s="53">
        <f>SUMPRODUCT((Events!$B$6:$B$158&lt;=$A78)*(Events!$C$6:$C$158&gt;=$A78)*(Events!$E$6:$E$158="Debt assumed")*Events!$H$6:$H$158)</f>
        <v/>
      </c>
      <c r="Q78" s="53">
        <f>IF($A78&lt;1887,0,MAX(0,debt_floor*Economy!O78-(R77+P78+H78-C78-K78)))</f>
        <v/>
      </c>
      <c r="R78" s="53">
        <f>R77+P78+H78-C78-K78+Q78</f>
        <v/>
      </c>
      <c r="S78" s="53">
        <f>S77+L78-F78-J78+Q78*(1-dev_bonds)</f>
        <v/>
      </c>
      <c r="T78" s="69">
        <f>Loans!X78</f>
        <v/>
      </c>
      <c r="U78" s="53">
        <f>R78-M78-S78-T78</f>
        <v/>
      </c>
      <c r="V78" s="63">
        <f>R78/Economy!O78</f>
        <v/>
      </c>
      <c r="W78" s="63">
        <f>Budget!X78/Budget!M78</f>
        <v/>
      </c>
      <c r="X78" s="63">
        <f>S78/Economy!O78</f>
        <v/>
      </c>
      <c r="Y78" s="53">
        <f>MAX(0,H78+Q78-'Gold &amp; money'!G78)</f>
        <v/>
      </c>
    </row>
    <row r="79">
      <c r="A79" s="61" t="n">
        <v>1919</v>
      </c>
      <c r="B79" s="53">
        <f>Loans!V79-Loans!W79</f>
        <v/>
      </c>
      <c r="C79" s="53">
        <f>R78*debt_amort</f>
        <v/>
      </c>
      <c r="D79" s="53">
        <f>M78+Budget!Z79-B79-C79</f>
        <v/>
      </c>
      <c r="E79" s="53">
        <f>MAX(0.1,Budget!M79*cash_target)</f>
        <v/>
      </c>
      <c r="F79" s="53">
        <f>IF(D79&lt;E79,MIN(E79-D79,S78),0)</f>
        <v/>
      </c>
      <c r="G79" s="53">
        <f>MAX(0,E79-D79-F79)</f>
        <v/>
      </c>
      <c r="H79" s="53">
        <f>G79/issue_price</f>
        <v/>
      </c>
      <c r="I79" s="53">
        <f>IF(AND(D79&gt;E79,$A79&gt;=dev_start),(D79-E79)*dev_share,0)</f>
        <v/>
      </c>
      <c r="J79" s="53">
        <f>IF($A79&gt;=dev_start,MAX(0,S78-F79-reserve_buffer*Economy!O79),0)</f>
        <v/>
      </c>
      <c r="K79" s="53">
        <f>IF(D79&gt;E79,MIN((D79-E79-I79)*repay_share,R78-C79),0)</f>
        <v/>
      </c>
      <c r="L79" s="53">
        <f>IF(D79&gt;E79,D79-E79-I79-K79,0)</f>
        <v/>
      </c>
      <c r="M79" s="53">
        <f>D79+F79+G79-I79-K79-L79</f>
        <v/>
      </c>
      <c r="N79" s="53">
        <f>I79+J79+Q79*dev_bonds+SUMPRODUCT((Events!$B$6:$B$158&lt;=$A79)*(Events!$C$6:$C$158&gt;=$A79)*(Events!$E$6:$E$158="Investment")*Events!$H$6:$H$158)</f>
        <v/>
      </c>
      <c r="O79" s="53">
        <f>O78*(1-dev_dep)+N79</f>
        <v/>
      </c>
      <c r="P79" s="53">
        <f>SUMPRODUCT((Events!$B$6:$B$158&lt;=$A79)*(Events!$C$6:$C$158&gt;=$A79)*(Events!$E$6:$E$158="Debt assumed")*Events!$H$6:$H$158)</f>
        <v/>
      </c>
      <c r="Q79" s="53">
        <f>IF($A79&lt;1887,0,MAX(0,debt_floor*Economy!O79-(R78+P79+H79-C79-K79)))</f>
        <v/>
      </c>
      <c r="R79" s="53">
        <f>R78+P79+H79-C79-K79+Q79</f>
        <v/>
      </c>
      <c r="S79" s="53">
        <f>S78+L79-F79-J79+Q79*(1-dev_bonds)</f>
        <v/>
      </c>
      <c r="T79" s="69">
        <f>Loans!X79</f>
        <v/>
      </c>
      <c r="U79" s="53">
        <f>R79-M79-S79-T79</f>
        <v/>
      </c>
      <c r="V79" s="63">
        <f>R79/Economy!O79</f>
        <v/>
      </c>
      <c r="W79" s="63">
        <f>Budget!X79/Budget!M79</f>
        <v/>
      </c>
      <c r="X79" s="63">
        <f>S79/Economy!O79</f>
        <v/>
      </c>
      <c r="Y79" s="53">
        <f>MAX(0,H79+Q79-'Gold &amp; money'!G79)</f>
        <v/>
      </c>
    </row>
    <row r="80">
      <c r="A80" s="61" t="n">
        <v>1920</v>
      </c>
      <c r="B80" s="53">
        <f>Loans!V80-Loans!W80</f>
        <v/>
      </c>
      <c r="C80" s="53">
        <f>R79*debt_amort</f>
        <v/>
      </c>
      <c r="D80" s="53">
        <f>M79+Budget!Z80-B80-C80</f>
        <v/>
      </c>
      <c r="E80" s="53">
        <f>MAX(0.1,Budget!M80*cash_target)</f>
        <v/>
      </c>
      <c r="F80" s="53">
        <f>IF(D80&lt;E80,MIN(E80-D80,S79),0)</f>
        <v/>
      </c>
      <c r="G80" s="53">
        <f>MAX(0,E80-D80-F80)</f>
        <v/>
      </c>
      <c r="H80" s="53">
        <f>G80/issue_price</f>
        <v/>
      </c>
      <c r="I80" s="53">
        <f>IF(AND(D80&gt;E80,$A80&gt;=dev_start),(D80-E80)*dev_share,0)</f>
        <v/>
      </c>
      <c r="J80" s="53">
        <f>IF($A80&gt;=dev_start,MAX(0,S79-F80-reserve_buffer*Economy!O80),0)</f>
        <v/>
      </c>
      <c r="K80" s="53">
        <f>IF(D80&gt;E80,MIN((D80-E80-I80)*repay_share,R79-C80),0)</f>
        <v/>
      </c>
      <c r="L80" s="53">
        <f>IF(D80&gt;E80,D80-E80-I80-K80,0)</f>
        <v/>
      </c>
      <c r="M80" s="53">
        <f>D80+F80+G80-I80-K80-L80</f>
        <v/>
      </c>
      <c r="N80" s="53">
        <f>I80+J80+Q80*dev_bonds+SUMPRODUCT((Events!$B$6:$B$158&lt;=$A80)*(Events!$C$6:$C$158&gt;=$A80)*(Events!$E$6:$E$158="Investment")*Events!$H$6:$H$158)</f>
        <v/>
      </c>
      <c r="O80" s="53">
        <f>O79*(1-dev_dep)+N80</f>
        <v/>
      </c>
      <c r="P80" s="53">
        <f>SUMPRODUCT((Events!$B$6:$B$158&lt;=$A80)*(Events!$C$6:$C$158&gt;=$A80)*(Events!$E$6:$E$158="Debt assumed")*Events!$H$6:$H$158)</f>
        <v/>
      </c>
      <c r="Q80" s="53">
        <f>IF($A80&lt;1887,0,MAX(0,debt_floor*Economy!O80-(R79+P80+H80-C80-K80)))</f>
        <v/>
      </c>
      <c r="R80" s="53">
        <f>R79+P80+H80-C80-K80+Q80</f>
        <v/>
      </c>
      <c r="S80" s="53">
        <f>S79+L80-F80-J80+Q80*(1-dev_bonds)</f>
        <v/>
      </c>
      <c r="T80" s="69">
        <f>Loans!X80</f>
        <v/>
      </c>
      <c r="U80" s="53">
        <f>R80-M80-S80-T80</f>
        <v/>
      </c>
      <c r="V80" s="63">
        <f>R80/Economy!O80</f>
        <v/>
      </c>
      <c r="W80" s="63">
        <f>Budget!X80/Budget!M80</f>
        <v/>
      </c>
      <c r="X80" s="63">
        <f>S80/Economy!O80</f>
        <v/>
      </c>
      <c r="Y80" s="53">
        <f>MAX(0,H80+Q80-'Gold &amp; money'!G80)</f>
        <v/>
      </c>
    </row>
    <row r="81">
      <c r="A81" s="61" t="n">
        <v>1921</v>
      </c>
      <c r="B81" s="53">
        <f>Loans!V81-Loans!W81</f>
        <v/>
      </c>
      <c r="C81" s="53">
        <f>R80*debt_amort</f>
        <v/>
      </c>
      <c r="D81" s="53">
        <f>M80+Budget!Z81-B81-C81</f>
        <v/>
      </c>
      <c r="E81" s="53">
        <f>MAX(0.1,Budget!M81*cash_target)</f>
        <v/>
      </c>
      <c r="F81" s="53">
        <f>IF(D81&lt;E81,MIN(E81-D81,S80),0)</f>
        <v/>
      </c>
      <c r="G81" s="53">
        <f>MAX(0,E81-D81-F81)</f>
        <v/>
      </c>
      <c r="H81" s="53">
        <f>G81/issue_price</f>
        <v/>
      </c>
      <c r="I81" s="53">
        <f>IF(AND(D81&gt;E81,$A81&gt;=dev_start),(D81-E81)*dev_share,0)</f>
        <v/>
      </c>
      <c r="J81" s="53">
        <f>IF($A81&gt;=dev_start,MAX(0,S80-F81-reserve_buffer*Economy!O81),0)</f>
        <v/>
      </c>
      <c r="K81" s="53">
        <f>IF(D81&gt;E81,MIN((D81-E81-I81)*repay_share,R80-C81),0)</f>
        <v/>
      </c>
      <c r="L81" s="53">
        <f>IF(D81&gt;E81,D81-E81-I81-K81,0)</f>
        <v/>
      </c>
      <c r="M81" s="53">
        <f>D81+F81+G81-I81-K81-L81</f>
        <v/>
      </c>
      <c r="N81" s="53">
        <f>I81+J81+Q81*dev_bonds+SUMPRODUCT((Events!$B$6:$B$158&lt;=$A81)*(Events!$C$6:$C$158&gt;=$A81)*(Events!$E$6:$E$158="Investment")*Events!$H$6:$H$158)</f>
        <v/>
      </c>
      <c r="O81" s="53">
        <f>O80*(1-dev_dep)+N81</f>
        <v/>
      </c>
      <c r="P81" s="53">
        <f>SUMPRODUCT((Events!$B$6:$B$158&lt;=$A81)*(Events!$C$6:$C$158&gt;=$A81)*(Events!$E$6:$E$158="Debt assumed")*Events!$H$6:$H$158)</f>
        <v/>
      </c>
      <c r="Q81" s="53">
        <f>IF($A81&lt;1887,0,MAX(0,debt_floor*Economy!O81-(R80+P81+H81-C81-K81)))</f>
        <v/>
      </c>
      <c r="R81" s="53">
        <f>R80+P81+H81-C81-K81+Q81</f>
        <v/>
      </c>
      <c r="S81" s="53">
        <f>S80+L81-F81-J81+Q81*(1-dev_bonds)</f>
        <v/>
      </c>
      <c r="T81" s="69">
        <f>Loans!X81</f>
        <v/>
      </c>
      <c r="U81" s="53">
        <f>R81-M81-S81-T81</f>
        <v/>
      </c>
      <c r="V81" s="63">
        <f>R81/Economy!O81</f>
        <v/>
      </c>
      <c r="W81" s="63">
        <f>Budget!X81/Budget!M81</f>
        <v/>
      </c>
      <c r="X81" s="63">
        <f>S81/Economy!O81</f>
        <v/>
      </c>
      <c r="Y81" s="53">
        <f>MAX(0,H81+Q81-'Gold &amp; money'!G81)</f>
        <v/>
      </c>
    </row>
    <row r="82">
      <c r="A82" s="61" t="n">
        <v>1922</v>
      </c>
      <c r="B82" s="53">
        <f>Loans!V82-Loans!W82</f>
        <v/>
      </c>
      <c r="C82" s="53">
        <f>R81*debt_amort</f>
        <v/>
      </c>
      <c r="D82" s="53">
        <f>M81+Budget!Z82-B82-C82</f>
        <v/>
      </c>
      <c r="E82" s="53">
        <f>MAX(0.1,Budget!M82*cash_target)</f>
        <v/>
      </c>
      <c r="F82" s="53">
        <f>IF(D82&lt;E82,MIN(E82-D82,S81),0)</f>
        <v/>
      </c>
      <c r="G82" s="53">
        <f>MAX(0,E82-D82-F82)</f>
        <v/>
      </c>
      <c r="H82" s="53">
        <f>G82/issue_price</f>
        <v/>
      </c>
      <c r="I82" s="53">
        <f>IF(AND(D82&gt;E82,$A82&gt;=dev_start),(D82-E82)*dev_share,0)</f>
        <v/>
      </c>
      <c r="J82" s="53">
        <f>IF($A82&gt;=dev_start,MAX(0,S81-F82-reserve_buffer*Economy!O82),0)</f>
        <v/>
      </c>
      <c r="K82" s="53">
        <f>IF(D82&gt;E82,MIN((D82-E82-I82)*repay_share,R81-C82),0)</f>
        <v/>
      </c>
      <c r="L82" s="53">
        <f>IF(D82&gt;E82,D82-E82-I82-K82,0)</f>
        <v/>
      </c>
      <c r="M82" s="53">
        <f>D82+F82+G82-I82-K82-L82</f>
        <v/>
      </c>
      <c r="N82" s="53">
        <f>I82+J82+Q82*dev_bonds+SUMPRODUCT((Events!$B$6:$B$158&lt;=$A82)*(Events!$C$6:$C$158&gt;=$A82)*(Events!$E$6:$E$158="Investment")*Events!$H$6:$H$158)</f>
        <v/>
      </c>
      <c r="O82" s="53">
        <f>O81*(1-dev_dep)+N82</f>
        <v/>
      </c>
      <c r="P82" s="53">
        <f>SUMPRODUCT((Events!$B$6:$B$158&lt;=$A82)*(Events!$C$6:$C$158&gt;=$A82)*(Events!$E$6:$E$158="Debt assumed")*Events!$H$6:$H$158)</f>
        <v/>
      </c>
      <c r="Q82" s="53">
        <f>IF($A82&lt;1887,0,MAX(0,debt_floor*Economy!O82-(R81+P82+H82-C82-K82)))</f>
        <v/>
      </c>
      <c r="R82" s="53">
        <f>R81+P82+H82-C82-K82+Q82</f>
        <v/>
      </c>
      <c r="S82" s="53">
        <f>S81+L82-F82-J82+Q82*(1-dev_bonds)</f>
        <v/>
      </c>
      <c r="T82" s="69">
        <f>Loans!X82</f>
        <v/>
      </c>
      <c r="U82" s="53">
        <f>R82-M82-S82-T82</f>
        <v/>
      </c>
      <c r="V82" s="63">
        <f>R82/Economy!O82</f>
        <v/>
      </c>
      <c r="W82" s="63">
        <f>Budget!X82/Budget!M82</f>
        <v/>
      </c>
      <c r="X82" s="63">
        <f>S82/Economy!O82</f>
        <v/>
      </c>
      <c r="Y82" s="53">
        <f>MAX(0,H82+Q82-'Gold &amp; money'!G82)</f>
        <v/>
      </c>
    </row>
    <row r="83">
      <c r="A83" s="58" t="n">
        <v>1923</v>
      </c>
      <c r="B83" s="53">
        <f>Loans!V83-Loans!W83</f>
        <v/>
      </c>
      <c r="C83" s="53">
        <f>R82*debt_amort</f>
        <v/>
      </c>
      <c r="D83" s="53">
        <f>M82+Budget!Z83-B83-C83</f>
        <v/>
      </c>
      <c r="E83" s="53">
        <f>MAX(0.1,Budget!M83*cash_target)</f>
        <v/>
      </c>
      <c r="F83" s="53">
        <f>IF(D83&lt;E83,MIN(E83-D83,S82),0)</f>
        <v/>
      </c>
      <c r="G83" s="53">
        <f>MAX(0,E83-D83-F83)</f>
        <v/>
      </c>
      <c r="H83" s="53">
        <f>G83/issue_price</f>
        <v/>
      </c>
      <c r="I83" s="53">
        <f>IF(AND(D83&gt;E83,$A83&gt;=dev_start),(D83-E83)*dev_share,0)</f>
        <v/>
      </c>
      <c r="J83" s="53">
        <f>IF($A83&gt;=dev_start,MAX(0,S82-F83-reserve_buffer*Economy!O83),0)</f>
        <v/>
      </c>
      <c r="K83" s="53">
        <f>IF(D83&gt;E83,MIN((D83-E83-I83)*repay_share,R82-C83),0)</f>
        <v/>
      </c>
      <c r="L83" s="53">
        <f>IF(D83&gt;E83,D83-E83-I83-K83,0)</f>
        <v/>
      </c>
      <c r="M83" s="53">
        <f>D83+F83+G83-I83-K83-L83</f>
        <v/>
      </c>
      <c r="N83" s="53">
        <f>I83+J83+Q83*dev_bonds+SUMPRODUCT((Events!$B$6:$B$158&lt;=$A83)*(Events!$C$6:$C$158&gt;=$A83)*(Events!$E$6:$E$158="Investment")*Events!$H$6:$H$158)</f>
        <v/>
      </c>
      <c r="O83" s="53">
        <f>O82*(1-dev_dep)+N83</f>
        <v/>
      </c>
      <c r="P83" s="53">
        <f>SUMPRODUCT((Events!$B$6:$B$158&lt;=$A83)*(Events!$C$6:$C$158&gt;=$A83)*(Events!$E$6:$E$158="Debt assumed")*Events!$H$6:$H$158)</f>
        <v/>
      </c>
      <c r="Q83" s="53">
        <f>IF($A83&lt;1887,0,MAX(0,debt_floor*Economy!O83-(R82+P83+H83-C83-K83)))</f>
        <v/>
      </c>
      <c r="R83" s="53">
        <f>R82+P83+H83-C83-K83+Q83</f>
        <v/>
      </c>
      <c r="S83" s="53">
        <f>S82+L83-F83-J83+Q83*(1-dev_bonds)</f>
        <v/>
      </c>
      <c r="T83" s="69">
        <f>Loans!X83</f>
        <v/>
      </c>
      <c r="U83" s="53">
        <f>R83-M83-S83-T83</f>
        <v/>
      </c>
      <c r="V83" s="63">
        <f>R83/Economy!O83</f>
        <v/>
      </c>
      <c r="W83" s="63">
        <f>Budget!X83/Budget!M83</f>
        <v/>
      </c>
      <c r="X83" s="63">
        <f>S83/Economy!O83</f>
        <v/>
      </c>
      <c r="Y83" s="53">
        <f>MAX(0,H83+Q83-'Gold &amp; money'!G83)</f>
        <v/>
      </c>
    </row>
    <row r="84">
      <c r="A84" s="58" t="n">
        <v>1924</v>
      </c>
      <c r="B84" s="53">
        <f>Loans!V84-Loans!W84</f>
        <v/>
      </c>
      <c r="C84" s="53">
        <f>R83*debt_amort</f>
        <v/>
      </c>
      <c r="D84" s="53">
        <f>M83+Budget!Z84-B84-C84</f>
        <v/>
      </c>
      <c r="E84" s="53">
        <f>MAX(0.1,Budget!M84*cash_target)</f>
        <v/>
      </c>
      <c r="F84" s="53">
        <f>IF(D84&lt;E84,MIN(E84-D84,S83),0)</f>
        <v/>
      </c>
      <c r="G84" s="53">
        <f>MAX(0,E84-D84-F84)</f>
        <v/>
      </c>
      <c r="H84" s="53">
        <f>G84/issue_price</f>
        <v/>
      </c>
      <c r="I84" s="53">
        <f>IF(AND(D84&gt;E84,$A84&gt;=dev_start),(D84-E84)*dev_share,0)</f>
        <v/>
      </c>
      <c r="J84" s="53">
        <f>IF($A84&gt;=dev_start,MAX(0,S83-F84-reserve_buffer*Economy!O84),0)</f>
        <v/>
      </c>
      <c r="K84" s="53">
        <f>IF(D84&gt;E84,MIN((D84-E84-I84)*repay_share,R83-C84),0)</f>
        <v/>
      </c>
      <c r="L84" s="53">
        <f>IF(D84&gt;E84,D84-E84-I84-K84,0)</f>
        <v/>
      </c>
      <c r="M84" s="53">
        <f>D84+F84+G84-I84-K84-L84</f>
        <v/>
      </c>
      <c r="N84" s="53">
        <f>I84+J84+Q84*dev_bonds+SUMPRODUCT((Events!$B$6:$B$158&lt;=$A84)*(Events!$C$6:$C$158&gt;=$A84)*(Events!$E$6:$E$158="Investment")*Events!$H$6:$H$158)</f>
        <v/>
      </c>
      <c r="O84" s="53">
        <f>O83*(1-dev_dep)+N84</f>
        <v/>
      </c>
      <c r="P84" s="53">
        <f>SUMPRODUCT((Events!$B$6:$B$158&lt;=$A84)*(Events!$C$6:$C$158&gt;=$A84)*(Events!$E$6:$E$158="Debt assumed")*Events!$H$6:$H$158)</f>
        <v/>
      </c>
      <c r="Q84" s="53">
        <f>IF($A84&lt;1887,0,MAX(0,debt_floor*Economy!O84-(R83+P84+H84-C84-K84)))</f>
        <v/>
      </c>
      <c r="R84" s="53">
        <f>R83+P84+H84-C84-K84+Q84</f>
        <v/>
      </c>
      <c r="S84" s="53">
        <f>S83+L84-F84-J84+Q84*(1-dev_bonds)</f>
        <v/>
      </c>
      <c r="T84" s="69">
        <f>Loans!X84</f>
        <v/>
      </c>
      <c r="U84" s="53">
        <f>R84-M84-S84-T84</f>
        <v/>
      </c>
      <c r="V84" s="63">
        <f>R84/Economy!O84</f>
        <v/>
      </c>
      <c r="W84" s="63">
        <f>Budget!X84/Budget!M84</f>
        <v/>
      </c>
      <c r="X84" s="63">
        <f>S84/Economy!O84</f>
        <v/>
      </c>
      <c r="Y84" s="53">
        <f>MAX(0,H84+Q84-'Gold &amp; money'!G84)</f>
        <v/>
      </c>
    </row>
    <row r="85">
      <c r="A85" s="58" t="n">
        <v>1925</v>
      </c>
      <c r="B85" s="53">
        <f>Loans!V85-Loans!W85</f>
        <v/>
      </c>
      <c r="C85" s="53">
        <f>R84*debt_amort</f>
        <v/>
      </c>
      <c r="D85" s="53">
        <f>M84+Budget!Z85-B85-C85</f>
        <v/>
      </c>
      <c r="E85" s="53">
        <f>MAX(0.1,Budget!M85*cash_target)</f>
        <v/>
      </c>
      <c r="F85" s="53">
        <f>IF(D85&lt;E85,MIN(E85-D85,S84),0)</f>
        <v/>
      </c>
      <c r="G85" s="53">
        <f>MAX(0,E85-D85-F85)</f>
        <v/>
      </c>
      <c r="H85" s="53">
        <f>G85/issue_price</f>
        <v/>
      </c>
      <c r="I85" s="53">
        <f>IF(AND(D85&gt;E85,$A85&gt;=dev_start),(D85-E85)*dev_share,0)</f>
        <v/>
      </c>
      <c r="J85" s="53">
        <f>IF($A85&gt;=dev_start,MAX(0,S84-F85-reserve_buffer*Economy!O85),0)</f>
        <v/>
      </c>
      <c r="K85" s="53">
        <f>IF(D85&gt;E85,MIN((D85-E85-I85)*repay_share,R84-C85),0)</f>
        <v/>
      </c>
      <c r="L85" s="53">
        <f>IF(D85&gt;E85,D85-E85-I85-K85,0)</f>
        <v/>
      </c>
      <c r="M85" s="53">
        <f>D85+F85+G85-I85-K85-L85</f>
        <v/>
      </c>
      <c r="N85" s="53">
        <f>I85+J85+Q85*dev_bonds+SUMPRODUCT((Events!$B$6:$B$158&lt;=$A85)*(Events!$C$6:$C$158&gt;=$A85)*(Events!$E$6:$E$158="Investment")*Events!$H$6:$H$158)</f>
        <v/>
      </c>
      <c r="O85" s="53">
        <f>O84*(1-dev_dep)+N85</f>
        <v/>
      </c>
      <c r="P85" s="53">
        <f>SUMPRODUCT((Events!$B$6:$B$158&lt;=$A85)*(Events!$C$6:$C$158&gt;=$A85)*(Events!$E$6:$E$158="Debt assumed")*Events!$H$6:$H$158)</f>
        <v/>
      </c>
      <c r="Q85" s="53">
        <f>IF($A85&lt;1887,0,MAX(0,debt_floor*Economy!O85-(R84+P85+H85-C85-K85)))</f>
        <v/>
      </c>
      <c r="R85" s="53">
        <f>R84+P85+H85-C85-K85+Q85</f>
        <v/>
      </c>
      <c r="S85" s="53">
        <f>S84+L85-F85-J85+Q85*(1-dev_bonds)</f>
        <v/>
      </c>
      <c r="T85" s="69">
        <f>Loans!X85</f>
        <v/>
      </c>
      <c r="U85" s="53">
        <f>R85-M85-S85-T85</f>
        <v/>
      </c>
      <c r="V85" s="63">
        <f>R85/Economy!O85</f>
        <v/>
      </c>
      <c r="W85" s="63">
        <f>Budget!X85/Budget!M85</f>
        <v/>
      </c>
      <c r="X85" s="63">
        <f>S85/Economy!O85</f>
        <v/>
      </c>
      <c r="Y85" s="53">
        <f>MAX(0,H85+Q85-'Gold &amp; money'!G85)</f>
        <v/>
      </c>
    </row>
    <row r="86">
      <c r="A86" s="58" t="n">
        <v>1926</v>
      </c>
      <c r="B86" s="53">
        <f>Loans!V86-Loans!W86</f>
        <v/>
      </c>
      <c r="C86" s="53">
        <f>R85*debt_amort</f>
        <v/>
      </c>
      <c r="D86" s="53">
        <f>M85+Budget!Z86-B86-C86</f>
        <v/>
      </c>
      <c r="E86" s="53">
        <f>MAX(0.1,Budget!M86*cash_target)</f>
        <v/>
      </c>
      <c r="F86" s="53">
        <f>IF(D86&lt;E86,MIN(E86-D86,S85),0)</f>
        <v/>
      </c>
      <c r="G86" s="53">
        <f>MAX(0,E86-D86-F86)</f>
        <v/>
      </c>
      <c r="H86" s="53">
        <f>G86/issue_price</f>
        <v/>
      </c>
      <c r="I86" s="53">
        <f>IF(AND(D86&gt;E86,$A86&gt;=dev_start),(D86-E86)*dev_share,0)</f>
        <v/>
      </c>
      <c r="J86" s="53">
        <f>IF($A86&gt;=dev_start,MAX(0,S85-F86-reserve_buffer*Economy!O86),0)</f>
        <v/>
      </c>
      <c r="K86" s="53">
        <f>IF(D86&gt;E86,MIN((D86-E86-I86)*repay_share,R85-C86),0)</f>
        <v/>
      </c>
      <c r="L86" s="53">
        <f>IF(D86&gt;E86,D86-E86-I86-K86,0)</f>
        <v/>
      </c>
      <c r="M86" s="53">
        <f>D86+F86+G86-I86-K86-L86</f>
        <v/>
      </c>
      <c r="N86" s="53">
        <f>I86+J86+Q86*dev_bonds+SUMPRODUCT((Events!$B$6:$B$158&lt;=$A86)*(Events!$C$6:$C$158&gt;=$A86)*(Events!$E$6:$E$158="Investment")*Events!$H$6:$H$158)</f>
        <v/>
      </c>
      <c r="O86" s="53">
        <f>O85*(1-dev_dep)+N86</f>
        <v/>
      </c>
      <c r="P86" s="53">
        <f>SUMPRODUCT((Events!$B$6:$B$158&lt;=$A86)*(Events!$C$6:$C$158&gt;=$A86)*(Events!$E$6:$E$158="Debt assumed")*Events!$H$6:$H$158)</f>
        <v/>
      </c>
      <c r="Q86" s="53">
        <f>IF($A86&lt;1887,0,MAX(0,debt_floor*Economy!O86-(R85+P86+H86-C86-K86)))</f>
        <v/>
      </c>
      <c r="R86" s="53">
        <f>R85+P86+H86-C86-K86+Q86</f>
        <v/>
      </c>
      <c r="S86" s="53">
        <f>S85+L86-F86-J86+Q86*(1-dev_bonds)</f>
        <v/>
      </c>
      <c r="T86" s="69">
        <f>Loans!X86</f>
        <v/>
      </c>
      <c r="U86" s="53">
        <f>R86-M86-S86-T86</f>
        <v/>
      </c>
      <c r="V86" s="63">
        <f>R86/Economy!O86</f>
        <v/>
      </c>
      <c r="W86" s="63">
        <f>Budget!X86/Budget!M86</f>
        <v/>
      </c>
      <c r="X86" s="63">
        <f>S86/Economy!O86</f>
        <v/>
      </c>
      <c r="Y86" s="53">
        <f>MAX(0,H86+Q86-'Gold &amp; money'!G86)</f>
        <v/>
      </c>
    </row>
    <row r="87">
      <c r="A87" s="58" t="n">
        <v>1927</v>
      </c>
      <c r="B87" s="53">
        <f>Loans!V87-Loans!W87</f>
        <v/>
      </c>
      <c r="C87" s="53">
        <f>R86*debt_amort</f>
        <v/>
      </c>
      <c r="D87" s="53">
        <f>M86+Budget!Z87-B87-C87</f>
        <v/>
      </c>
      <c r="E87" s="53">
        <f>MAX(0.1,Budget!M87*cash_target)</f>
        <v/>
      </c>
      <c r="F87" s="53">
        <f>IF(D87&lt;E87,MIN(E87-D87,S86),0)</f>
        <v/>
      </c>
      <c r="G87" s="53">
        <f>MAX(0,E87-D87-F87)</f>
        <v/>
      </c>
      <c r="H87" s="53">
        <f>G87/issue_price</f>
        <v/>
      </c>
      <c r="I87" s="53">
        <f>IF(AND(D87&gt;E87,$A87&gt;=dev_start),(D87-E87)*dev_share,0)</f>
        <v/>
      </c>
      <c r="J87" s="53">
        <f>IF($A87&gt;=dev_start,MAX(0,S86-F87-reserve_buffer*Economy!O87),0)</f>
        <v/>
      </c>
      <c r="K87" s="53">
        <f>IF(D87&gt;E87,MIN((D87-E87-I87)*repay_share,R86-C87),0)</f>
        <v/>
      </c>
      <c r="L87" s="53">
        <f>IF(D87&gt;E87,D87-E87-I87-K87,0)</f>
        <v/>
      </c>
      <c r="M87" s="53">
        <f>D87+F87+G87-I87-K87-L87</f>
        <v/>
      </c>
      <c r="N87" s="53">
        <f>I87+J87+Q87*dev_bonds+SUMPRODUCT((Events!$B$6:$B$158&lt;=$A87)*(Events!$C$6:$C$158&gt;=$A87)*(Events!$E$6:$E$158="Investment")*Events!$H$6:$H$158)</f>
        <v/>
      </c>
      <c r="O87" s="53">
        <f>O86*(1-dev_dep)+N87</f>
        <v/>
      </c>
      <c r="P87" s="53">
        <f>SUMPRODUCT((Events!$B$6:$B$158&lt;=$A87)*(Events!$C$6:$C$158&gt;=$A87)*(Events!$E$6:$E$158="Debt assumed")*Events!$H$6:$H$158)</f>
        <v/>
      </c>
      <c r="Q87" s="53">
        <f>IF($A87&lt;1887,0,MAX(0,debt_floor*Economy!O87-(R86+P87+H87-C87-K87)))</f>
        <v/>
      </c>
      <c r="R87" s="53">
        <f>R86+P87+H87-C87-K87+Q87</f>
        <v/>
      </c>
      <c r="S87" s="53">
        <f>S86+L87-F87-J87+Q87*(1-dev_bonds)</f>
        <v/>
      </c>
      <c r="T87" s="69">
        <f>Loans!X87</f>
        <v/>
      </c>
      <c r="U87" s="53">
        <f>R87-M87-S87-T87</f>
        <v/>
      </c>
      <c r="V87" s="63">
        <f>R87/Economy!O87</f>
        <v/>
      </c>
      <c r="W87" s="63">
        <f>Budget!X87/Budget!M87</f>
        <v/>
      </c>
      <c r="X87" s="63">
        <f>S87/Economy!O87</f>
        <v/>
      </c>
      <c r="Y87" s="53">
        <f>MAX(0,H87+Q87-'Gold &amp; money'!G87)</f>
        <v/>
      </c>
    </row>
    <row r="88">
      <c r="A88" s="58" t="n">
        <v>1928</v>
      </c>
      <c r="B88" s="53">
        <f>Loans!V88-Loans!W88</f>
        <v/>
      </c>
      <c r="C88" s="53">
        <f>R87*debt_amort</f>
        <v/>
      </c>
      <c r="D88" s="53">
        <f>M87+Budget!Z88-B88-C88</f>
        <v/>
      </c>
      <c r="E88" s="53">
        <f>MAX(0.1,Budget!M88*cash_target)</f>
        <v/>
      </c>
      <c r="F88" s="53">
        <f>IF(D88&lt;E88,MIN(E88-D88,S87),0)</f>
        <v/>
      </c>
      <c r="G88" s="53">
        <f>MAX(0,E88-D88-F88)</f>
        <v/>
      </c>
      <c r="H88" s="53">
        <f>G88/issue_price</f>
        <v/>
      </c>
      <c r="I88" s="53">
        <f>IF(AND(D88&gt;E88,$A88&gt;=dev_start),(D88-E88)*dev_share,0)</f>
        <v/>
      </c>
      <c r="J88" s="53">
        <f>IF($A88&gt;=dev_start,MAX(0,S87-F88-reserve_buffer*Economy!O88),0)</f>
        <v/>
      </c>
      <c r="K88" s="53">
        <f>IF(D88&gt;E88,MIN((D88-E88-I88)*repay_share,R87-C88),0)</f>
        <v/>
      </c>
      <c r="L88" s="53">
        <f>IF(D88&gt;E88,D88-E88-I88-K88,0)</f>
        <v/>
      </c>
      <c r="M88" s="53">
        <f>D88+F88+G88-I88-K88-L88</f>
        <v/>
      </c>
      <c r="N88" s="53">
        <f>I88+J88+Q88*dev_bonds+SUMPRODUCT((Events!$B$6:$B$158&lt;=$A88)*(Events!$C$6:$C$158&gt;=$A88)*(Events!$E$6:$E$158="Investment")*Events!$H$6:$H$158)</f>
        <v/>
      </c>
      <c r="O88" s="53">
        <f>O87*(1-dev_dep)+N88</f>
        <v/>
      </c>
      <c r="P88" s="53">
        <f>SUMPRODUCT((Events!$B$6:$B$158&lt;=$A88)*(Events!$C$6:$C$158&gt;=$A88)*(Events!$E$6:$E$158="Debt assumed")*Events!$H$6:$H$158)</f>
        <v/>
      </c>
      <c r="Q88" s="53">
        <f>IF($A88&lt;1887,0,MAX(0,debt_floor*Economy!O88-(R87+P88+H88-C88-K88)))</f>
        <v/>
      </c>
      <c r="R88" s="53">
        <f>R87+P88+H88-C88-K88+Q88</f>
        <v/>
      </c>
      <c r="S88" s="53">
        <f>S87+L88-F88-J88+Q88*(1-dev_bonds)</f>
        <v/>
      </c>
      <c r="T88" s="69">
        <f>Loans!X88</f>
        <v/>
      </c>
      <c r="U88" s="53">
        <f>R88-M88-S88-T88</f>
        <v/>
      </c>
      <c r="V88" s="63">
        <f>R88/Economy!O88</f>
        <v/>
      </c>
      <c r="W88" s="63">
        <f>Budget!X88/Budget!M88</f>
        <v/>
      </c>
      <c r="X88" s="63">
        <f>S88/Economy!O88</f>
        <v/>
      </c>
      <c r="Y88" s="53">
        <f>MAX(0,H88+Q88-'Gold &amp; money'!G88)</f>
        <v/>
      </c>
    </row>
    <row r="89">
      <c r="A89" s="58" t="n">
        <v>1929</v>
      </c>
      <c r="B89" s="53">
        <f>Loans!V89-Loans!W89</f>
        <v/>
      </c>
      <c r="C89" s="53">
        <f>R88*debt_amort</f>
        <v/>
      </c>
      <c r="D89" s="53">
        <f>M88+Budget!Z89-B89-C89</f>
        <v/>
      </c>
      <c r="E89" s="53">
        <f>MAX(0.1,Budget!M89*cash_target)</f>
        <v/>
      </c>
      <c r="F89" s="53">
        <f>IF(D89&lt;E89,MIN(E89-D89,S88),0)</f>
        <v/>
      </c>
      <c r="G89" s="53">
        <f>MAX(0,E89-D89-F89)</f>
        <v/>
      </c>
      <c r="H89" s="53">
        <f>G89/issue_price</f>
        <v/>
      </c>
      <c r="I89" s="53">
        <f>IF(AND(D89&gt;E89,$A89&gt;=dev_start),(D89-E89)*dev_share,0)</f>
        <v/>
      </c>
      <c r="J89" s="53">
        <f>IF($A89&gt;=dev_start,MAX(0,S88-F89-reserve_buffer*Economy!O89),0)</f>
        <v/>
      </c>
      <c r="K89" s="53">
        <f>IF(D89&gt;E89,MIN((D89-E89-I89)*repay_share,R88-C89),0)</f>
        <v/>
      </c>
      <c r="L89" s="53">
        <f>IF(D89&gt;E89,D89-E89-I89-K89,0)</f>
        <v/>
      </c>
      <c r="M89" s="53">
        <f>D89+F89+G89-I89-K89-L89</f>
        <v/>
      </c>
      <c r="N89" s="53">
        <f>I89+J89+Q89*dev_bonds+SUMPRODUCT((Events!$B$6:$B$158&lt;=$A89)*(Events!$C$6:$C$158&gt;=$A89)*(Events!$E$6:$E$158="Investment")*Events!$H$6:$H$158)</f>
        <v/>
      </c>
      <c r="O89" s="53">
        <f>O88*(1-dev_dep)+N89</f>
        <v/>
      </c>
      <c r="P89" s="53">
        <f>SUMPRODUCT((Events!$B$6:$B$158&lt;=$A89)*(Events!$C$6:$C$158&gt;=$A89)*(Events!$E$6:$E$158="Debt assumed")*Events!$H$6:$H$158)</f>
        <v/>
      </c>
      <c r="Q89" s="53">
        <f>IF($A89&lt;1887,0,MAX(0,debt_floor*Economy!O89-(R88+P89+H89-C89-K89)))</f>
        <v/>
      </c>
      <c r="R89" s="53">
        <f>R88+P89+H89-C89-K89+Q89</f>
        <v/>
      </c>
      <c r="S89" s="53">
        <f>S88+L89-F89-J89+Q89*(1-dev_bonds)</f>
        <v/>
      </c>
      <c r="T89" s="69">
        <f>Loans!X89</f>
        <v/>
      </c>
      <c r="U89" s="53">
        <f>R89-M89-S89-T89</f>
        <v/>
      </c>
      <c r="V89" s="63">
        <f>R89/Economy!O89</f>
        <v/>
      </c>
      <c r="W89" s="63">
        <f>Budget!X89/Budget!M89</f>
        <v/>
      </c>
      <c r="X89" s="63">
        <f>S89/Economy!O89</f>
        <v/>
      </c>
      <c r="Y89" s="53">
        <f>MAX(0,H89+Q89-'Gold &amp; money'!G89)</f>
        <v/>
      </c>
    </row>
    <row r="90">
      <c r="A90" s="58" t="n">
        <v>1930</v>
      </c>
      <c r="B90" s="53">
        <f>Loans!V90-Loans!W90</f>
        <v/>
      </c>
      <c r="C90" s="53">
        <f>R89*debt_amort</f>
        <v/>
      </c>
      <c r="D90" s="53">
        <f>M89+Budget!Z90-B90-C90</f>
        <v/>
      </c>
      <c r="E90" s="53">
        <f>MAX(0.1,Budget!M90*cash_target)</f>
        <v/>
      </c>
      <c r="F90" s="53">
        <f>IF(D90&lt;E90,MIN(E90-D90,S89),0)</f>
        <v/>
      </c>
      <c r="G90" s="53">
        <f>MAX(0,E90-D90-F90)</f>
        <v/>
      </c>
      <c r="H90" s="53">
        <f>G90/issue_price</f>
        <v/>
      </c>
      <c r="I90" s="53">
        <f>IF(AND(D90&gt;E90,$A90&gt;=dev_start),(D90-E90)*dev_share,0)</f>
        <v/>
      </c>
      <c r="J90" s="53">
        <f>IF($A90&gt;=dev_start,MAX(0,S89-F90-reserve_buffer*Economy!O90),0)</f>
        <v/>
      </c>
      <c r="K90" s="53">
        <f>IF(D90&gt;E90,MIN((D90-E90-I90)*repay_share,R89-C90),0)</f>
        <v/>
      </c>
      <c r="L90" s="53">
        <f>IF(D90&gt;E90,D90-E90-I90-K90,0)</f>
        <v/>
      </c>
      <c r="M90" s="53">
        <f>D90+F90+G90-I90-K90-L90</f>
        <v/>
      </c>
      <c r="N90" s="53">
        <f>I90+J90+Q90*dev_bonds+SUMPRODUCT((Events!$B$6:$B$158&lt;=$A90)*(Events!$C$6:$C$158&gt;=$A90)*(Events!$E$6:$E$158="Investment")*Events!$H$6:$H$158)</f>
        <v/>
      </c>
      <c r="O90" s="53">
        <f>O89*(1-dev_dep)+N90</f>
        <v/>
      </c>
      <c r="P90" s="53">
        <f>SUMPRODUCT((Events!$B$6:$B$158&lt;=$A90)*(Events!$C$6:$C$158&gt;=$A90)*(Events!$E$6:$E$158="Debt assumed")*Events!$H$6:$H$158)</f>
        <v/>
      </c>
      <c r="Q90" s="53">
        <f>IF($A90&lt;1887,0,MAX(0,debt_floor*Economy!O90-(R89+P90+H90-C90-K90)))</f>
        <v/>
      </c>
      <c r="R90" s="53">
        <f>R89+P90+H90-C90-K90+Q90</f>
        <v/>
      </c>
      <c r="S90" s="53">
        <f>S89+L90-F90-J90+Q90*(1-dev_bonds)</f>
        <v/>
      </c>
      <c r="T90" s="69">
        <f>Loans!X90</f>
        <v/>
      </c>
      <c r="U90" s="53">
        <f>R90-M90-S90-T90</f>
        <v/>
      </c>
      <c r="V90" s="63">
        <f>R90/Economy!O90</f>
        <v/>
      </c>
      <c r="W90" s="63">
        <f>Budget!X90/Budget!M90</f>
        <v/>
      </c>
      <c r="X90" s="63">
        <f>S90/Economy!O90</f>
        <v/>
      </c>
      <c r="Y90" s="53">
        <f>MAX(0,H90+Q90-'Gold &amp; money'!G90)</f>
        <v/>
      </c>
    </row>
    <row r="91">
      <c r="A91" s="58" t="n">
        <v>1931</v>
      </c>
      <c r="B91" s="53">
        <f>Loans!V91-Loans!W91</f>
        <v/>
      </c>
      <c r="C91" s="53">
        <f>R90*debt_amort</f>
        <v/>
      </c>
      <c r="D91" s="53">
        <f>M90+Budget!Z91-B91-C91</f>
        <v/>
      </c>
      <c r="E91" s="53">
        <f>MAX(0.1,Budget!M91*cash_target)</f>
        <v/>
      </c>
      <c r="F91" s="53">
        <f>IF(D91&lt;E91,MIN(E91-D91,S90),0)</f>
        <v/>
      </c>
      <c r="G91" s="53">
        <f>MAX(0,E91-D91-F91)</f>
        <v/>
      </c>
      <c r="H91" s="53">
        <f>G91/issue_price</f>
        <v/>
      </c>
      <c r="I91" s="53">
        <f>IF(AND(D91&gt;E91,$A91&gt;=dev_start),(D91-E91)*dev_share,0)</f>
        <v/>
      </c>
      <c r="J91" s="53">
        <f>IF($A91&gt;=dev_start,MAX(0,S90-F91-reserve_buffer*Economy!O91),0)</f>
        <v/>
      </c>
      <c r="K91" s="53">
        <f>IF(D91&gt;E91,MIN((D91-E91-I91)*repay_share,R90-C91),0)</f>
        <v/>
      </c>
      <c r="L91" s="53">
        <f>IF(D91&gt;E91,D91-E91-I91-K91,0)</f>
        <v/>
      </c>
      <c r="M91" s="53">
        <f>D91+F91+G91-I91-K91-L91</f>
        <v/>
      </c>
      <c r="N91" s="53">
        <f>I91+J91+Q91*dev_bonds+SUMPRODUCT((Events!$B$6:$B$158&lt;=$A91)*(Events!$C$6:$C$158&gt;=$A91)*(Events!$E$6:$E$158="Investment")*Events!$H$6:$H$158)</f>
        <v/>
      </c>
      <c r="O91" s="53">
        <f>O90*(1-dev_dep)+N91</f>
        <v/>
      </c>
      <c r="P91" s="53">
        <f>SUMPRODUCT((Events!$B$6:$B$158&lt;=$A91)*(Events!$C$6:$C$158&gt;=$A91)*(Events!$E$6:$E$158="Debt assumed")*Events!$H$6:$H$158)</f>
        <v/>
      </c>
      <c r="Q91" s="53">
        <f>IF($A91&lt;1887,0,MAX(0,debt_floor*Economy!O91-(R90+P91+H91-C91-K91)))</f>
        <v/>
      </c>
      <c r="R91" s="53">
        <f>R90+P91+H91-C91-K91+Q91</f>
        <v/>
      </c>
      <c r="S91" s="53">
        <f>S90+L91-F91-J91+Q91*(1-dev_bonds)</f>
        <v/>
      </c>
      <c r="T91" s="69">
        <f>Loans!X91</f>
        <v/>
      </c>
      <c r="U91" s="53">
        <f>R91-M91-S91-T91</f>
        <v/>
      </c>
      <c r="V91" s="63">
        <f>R91/Economy!O91</f>
        <v/>
      </c>
      <c r="W91" s="63">
        <f>Budget!X91/Budget!M91</f>
        <v/>
      </c>
      <c r="X91" s="63">
        <f>S91/Economy!O91</f>
        <v/>
      </c>
      <c r="Y91" s="53">
        <f>MAX(0,H91+Q91-'Gold &amp; money'!G91)</f>
        <v/>
      </c>
    </row>
    <row r="92">
      <c r="A92" s="58" t="n">
        <v>1932</v>
      </c>
      <c r="B92" s="53">
        <f>Loans!V92-Loans!W92</f>
        <v/>
      </c>
      <c r="C92" s="53">
        <f>R91*debt_amort</f>
        <v/>
      </c>
      <c r="D92" s="53">
        <f>M91+Budget!Z92-B92-C92</f>
        <v/>
      </c>
      <c r="E92" s="53">
        <f>MAX(0.1,Budget!M92*cash_target)</f>
        <v/>
      </c>
      <c r="F92" s="53">
        <f>IF(D92&lt;E92,MIN(E92-D92,S91),0)</f>
        <v/>
      </c>
      <c r="G92" s="53">
        <f>MAX(0,E92-D92-F92)</f>
        <v/>
      </c>
      <c r="H92" s="53">
        <f>G92/issue_price</f>
        <v/>
      </c>
      <c r="I92" s="53">
        <f>IF(AND(D92&gt;E92,$A92&gt;=dev_start),(D92-E92)*dev_share,0)</f>
        <v/>
      </c>
      <c r="J92" s="53">
        <f>IF($A92&gt;=dev_start,MAX(0,S91-F92-reserve_buffer*Economy!O92),0)</f>
        <v/>
      </c>
      <c r="K92" s="53">
        <f>IF(D92&gt;E92,MIN((D92-E92-I92)*repay_share,R91-C92),0)</f>
        <v/>
      </c>
      <c r="L92" s="53">
        <f>IF(D92&gt;E92,D92-E92-I92-K92,0)</f>
        <v/>
      </c>
      <c r="M92" s="53">
        <f>D92+F92+G92-I92-K92-L92</f>
        <v/>
      </c>
      <c r="N92" s="53">
        <f>I92+J92+Q92*dev_bonds+SUMPRODUCT((Events!$B$6:$B$158&lt;=$A92)*(Events!$C$6:$C$158&gt;=$A92)*(Events!$E$6:$E$158="Investment")*Events!$H$6:$H$158)</f>
        <v/>
      </c>
      <c r="O92" s="53">
        <f>O91*(1-dev_dep)+N92</f>
        <v/>
      </c>
      <c r="P92" s="53">
        <f>SUMPRODUCT((Events!$B$6:$B$158&lt;=$A92)*(Events!$C$6:$C$158&gt;=$A92)*(Events!$E$6:$E$158="Debt assumed")*Events!$H$6:$H$158)</f>
        <v/>
      </c>
      <c r="Q92" s="53">
        <f>IF($A92&lt;1887,0,MAX(0,debt_floor*Economy!O92-(R91+P92+H92-C92-K92)))</f>
        <v/>
      </c>
      <c r="R92" s="53">
        <f>R91+P92+H92-C92-K92+Q92</f>
        <v/>
      </c>
      <c r="S92" s="53">
        <f>S91+L92-F92-J92+Q92*(1-dev_bonds)</f>
        <v/>
      </c>
      <c r="T92" s="69">
        <f>Loans!X92</f>
        <v/>
      </c>
      <c r="U92" s="53">
        <f>R92-M92-S92-T92</f>
        <v/>
      </c>
      <c r="V92" s="63">
        <f>R92/Economy!O92</f>
        <v/>
      </c>
      <c r="W92" s="63">
        <f>Budget!X92/Budget!M92</f>
        <v/>
      </c>
      <c r="X92" s="63">
        <f>S92/Economy!O92</f>
        <v/>
      </c>
      <c r="Y92" s="53">
        <f>MAX(0,H92+Q92-'Gold &amp; money'!G92)</f>
        <v/>
      </c>
    </row>
  </sheetData>
  <mergeCells count="4">
    <mergeCell ref="V4:Y4"/>
    <mergeCell ref="F4:O4"/>
    <mergeCell ref="P4:U4"/>
    <mergeCell ref="B4:E4"/>
  </mergeCell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tabColor rgb="00BF8F00"/>
    <outlinePr summaryBelow="1" summaryRight="1"/>
    <pageSetUpPr fitToPage="1"/>
  </sheetPr>
  <dimension ref="A1:Y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s>
  <sheetData>
    <row r="1">
      <c r="A1" s="18" t="inlineStr">
        <is>
          <t>Public lending abroad</t>
        </is>
      </c>
    </row>
    <row r="2">
      <c r="A2" s="2" t="inlineStr">
        <is>
          <t>Treasury loans to partners, grouped by borrower. Amounts come from the Events ledger (Category = Loan).</t>
        </is>
      </c>
    </row>
    <row r="3">
      <c r="A3" s="19" t="inlineStr">
        <is>
          <t>Years run down the page. Blue = input you can change · black = formula · green = link to another sheet. Hover a column heading for its definition.</t>
        </is>
      </c>
    </row>
    <row r="4">
      <c r="B4" s="56" t="inlineStr">
        <is>
          <t>Continental</t>
        </is>
      </c>
      <c r="G4" s="56" t="inlineStr">
        <is>
          <t>Asia</t>
        </is>
      </c>
      <c r="L4" s="56" t="inlineStr">
        <is>
          <t>Europe</t>
        </is>
      </c>
      <c r="Q4" s="56" t="inlineStr">
        <is>
          <t>Rescue</t>
        </is>
      </c>
      <c r="V4" s="56" t="inlineStr">
        <is>
          <t>All policy loans</t>
        </is>
      </c>
    </row>
    <row r="5" ht="54" customHeight="1">
      <c r="A5" s="57" t="inlineStr">
        <is>
          <t>Year</t>
        </is>
      </c>
      <c r="B5" s="6" t="inlineStr">
        <is>
          <t>Continental: lent</t>
        </is>
      </c>
      <c r="C5" s="6" t="inlineStr">
        <is>
          <t>Continental: repaid</t>
        </is>
      </c>
      <c r="D5" s="6" t="inlineStr">
        <is>
          <t>Continental: written off</t>
        </is>
      </c>
      <c r="E5" s="6" t="inlineStr">
        <is>
          <t>Continental: outstanding</t>
        </is>
      </c>
      <c r="F5" s="6" t="inlineStr">
        <is>
          <t>Continental: interest received</t>
        </is>
      </c>
      <c r="G5" s="6" t="inlineStr">
        <is>
          <t>Asia: lent</t>
        </is>
      </c>
      <c r="H5" s="6" t="inlineStr">
        <is>
          <t>Asia: repaid</t>
        </is>
      </c>
      <c r="I5" s="6" t="inlineStr">
        <is>
          <t>Asia: written off</t>
        </is>
      </c>
      <c r="J5" s="6" t="inlineStr">
        <is>
          <t>Asia: outstanding</t>
        </is>
      </c>
      <c r="K5" s="6" t="inlineStr">
        <is>
          <t>Asia: interest received</t>
        </is>
      </c>
      <c r="L5" s="6" t="inlineStr">
        <is>
          <t>Europe: lent</t>
        </is>
      </c>
      <c r="M5" s="6" t="inlineStr">
        <is>
          <t>Europe: repaid</t>
        </is>
      </c>
      <c r="N5" s="6" t="inlineStr">
        <is>
          <t>Europe: written off</t>
        </is>
      </c>
      <c r="O5" s="6" t="inlineStr">
        <is>
          <t>Europe: outstanding</t>
        </is>
      </c>
      <c r="P5" s="6" t="inlineStr">
        <is>
          <t>Europe: interest received</t>
        </is>
      </c>
      <c r="Q5" s="6" t="inlineStr">
        <is>
          <t>Rescue: lent</t>
        </is>
      </c>
      <c r="R5" s="6" t="inlineStr">
        <is>
          <t>Rescue: repaid</t>
        </is>
      </c>
      <c r="S5" s="6" t="inlineStr">
        <is>
          <t>Rescue: written off</t>
        </is>
      </c>
      <c r="T5" s="6" t="inlineStr">
        <is>
          <t>Rescue: outstanding</t>
        </is>
      </c>
      <c r="U5" s="6" t="inlineStr">
        <is>
          <t>Rescue: interest received</t>
        </is>
      </c>
      <c r="V5" s="6" t="inlineStr">
        <is>
          <t>Total lent</t>
        </is>
      </c>
      <c r="W5" s="6" t="inlineStr">
        <is>
          <t>Total repaid</t>
        </is>
      </c>
      <c r="X5" s="6" t="inlineStr">
        <is>
          <t>Total outstanding</t>
        </is>
      </c>
      <c r="Y5" s="6" t="inlineStr">
        <is>
          <t>Total interest received</t>
        </is>
      </c>
    </row>
    <row r="6">
      <c r="A6" s="58" t="n">
        <v>1846</v>
      </c>
      <c r="B6" s="53">
        <f>SUMPRODUCT((Events!$B$6:$B$158&lt;=$A6)*(Events!$C$6:$C$158&gt;=$A6)*(Events!$E$6:$E$158="Loan")*(Events!$F$6:$F$158="Continental")*Events!$H$6:$H$158)</f>
        <v/>
      </c>
      <c r="C6" s="53">
        <f>0</f>
        <v/>
      </c>
      <c r="D6" s="53">
        <f>0</f>
        <v/>
      </c>
      <c r="E6" s="53">
        <f>B6</f>
        <v/>
      </c>
      <c r="F6" s="53">
        <f>0</f>
        <v/>
      </c>
      <c r="G6" s="53">
        <f>SUMPRODUCT((Events!$B$6:$B$158&lt;=$A6)*(Events!$C$6:$C$158&gt;=$A6)*(Events!$E$6:$E$158="Loan")*(Events!$F$6:$F$158="Asia")*Events!$H$6:$H$158)</f>
        <v/>
      </c>
      <c r="H6" s="53">
        <f>0</f>
        <v/>
      </c>
      <c r="I6" s="53">
        <f>0</f>
        <v/>
      </c>
      <c r="J6" s="53">
        <f>G6</f>
        <v/>
      </c>
      <c r="K6" s="53">
        <f>0</f>
        <v/>
      </c>
      <c r="L6" s="53">
        <f>SUMPRODUCT((Events!$B$6:$B$158&lt;=$A6)*(Events!$C$6:$C$158&gt;=$A6)*(Events!$E$6:$E$158="Loan")*(Events!$F$6:$F$158="Europe")*Events!$H$6:$H$158)</f>
        <v/>
      </c>
      <c r="M6" s="53">
        <f>0</f>
        <v/>
      </c>
      <c r="N6" s="53">
        <f>0</f>
        <v/>
      </c>
      <c r="O6" s="53">
        <f>L6</f>
        <v/>
      </c>
      <c r="P6" s="53">
        <f>0</f>
        <v/>
      </c>
      <c r="Q6" s="53">
        <f>SUMPRODUCT((Events!$B$6:$B$158&lt;=$A6)*(Events!$C$6:$C$158&gt;=$A6)*(Events!$E$6:$E$158="Loan")*(Events!$F$6:$F$158="Rescue")*Events!$H$6:$H$158)</f>
        <v/>
      </c>
      <c r="R6" s="53">
        <f>0</f>
        <v/>
      </c>
      <c r="S6" s="53">
        <f>0</f>
        <v/>
      </c>
      <c r="T6" s="53">
        <f>Q6</f>
        <v/>
      </c>
      <c r="U6" s="53">
        <f>0</f>
        <v/>
      </c>
      <c r="V6" s="53">
        <f>B6+G6+L6+Q6</f>
        <v/>
      </c>
      <c r="W6" s="53">
        <f>C6+H6+M6+R6</f>
        <v/>
      </c>
      <c r="X6" s="53">
        <f>E6+J6+O6+T6</f>
        <v/>
      </c>
      <c r="Y6" s="53">
        <f>F6+K6+P6+U6</f>
        <v/>
      </c>
    </row>
    <row r="7">
      <c r="A7" s="58" t="n">
        <v>1847</v>
      </c>
      <c r="B7" s="53">
        <f>SUMPRODUCT((Events!$B$6:$B$158&lt;=$A7)*(Events!$C$6:$C$158&gt;=$A7)*(Events!$E$6:$E$158="Loan")*(Events!$F$6:$F$158="Continental")*Events!$H$6:$H$158)</f>
        <v/>
      </c>
      <c r="C7" s="53">
        <f>E6*cont_repay</f>
        <v/>
      </c>
      <c r="D7" s="53">
        <f>0</f>
        <v/>
      </c>
      <c r="E7" s="53">
        <f>E6+B7-C7-D7</f>
        <v/>
      </c>
      <c r="F7" s="53">
        <f>E6*cont_coupon</f>
        <v/>
      </c>
      <c r="G7" s="53">
        <f>SUMPRODUCT((Events!$B$6:$B$158&lt;=$A7)*(Events!$C$6:$C$158&gt;=$A7)*(Events!$E$6:$E$158="Loan")*(Events!$F$6:$F$158="Asia")*Events!$H$6:$H$158)</f>
        <v/>
      </c>
      <c r="H7" s="53">
        <f>J6*asia_repay</f>
        <v/>
      </c>
      <c r="I7" s="53">
        <f>0</f>
        <v/>
      </c>
      <c r="J7" s="53">
        <f>J6+G7-H7-I7</f>
        <v/>
      </c>
      <c r="K7" s="53">
        <f>J6*asia_coupon</f>
        <v/>
      </c>
      <c r="L7" s="53">
        <f>SUMPRODUCT((Events!$B$6:$B$158&lt;=$A7)*(Events!$C$6:$C$158&gt;=$A7)*(Events!$E$6:$E$158="Loan")*(Events!$F$6:$F$158="Europe")*Events!$H$6:$H$158)</f>
        <v/>
      </c>
      <c r="M7" s="53">
        <f>O6*Paths!AA7</f>
        <v/>
      </c>
      <c r="N7" s="53">
        <f>IF($A7=1918,russia_writeoff*(O6+L7),0)</f>
        <v/>
      </c>
      <c r="O7" s="53">
        <f>O6+L7-M7-N7</f>
        <v/>
      </c>
      <c r="P7" s="53">
        <f>O6*Paths!Z7*Paths!AB7</f>
        <v/>
      </c>
      <c r="Q7" s="53">
        <f>SUMPRODUCT((Events!$B$6:$B$158&lt;=$A7)*(Events!$C$6:$C$158&gt;=$A7)*(Events!$E$6:$E$158="Loan")*(Events!$F$6:$F$158="Rescue")*Events!$H$6:$H$158)</f>
        <v/>
      </c>
      <c r="R7" s="53">
        <f>0</f>
        <v/>
      </c>
      <c r="S7" s="53">
        <f>0</f>
        <v/>
      </c>
      <c r="T7" s="53">
        <f>T6+Q7-R7-S7</f>
        <v/>
      </c>
      <c r="U7" s="53">
        <f>T6*rescue_coupon</f>
        <v/>
      </c>
      <c r="V7" s="53">
        <f>B7+G7+L7+Q7</f>
        <v/>
      </c>
      <c r="W7" s="53">
        <f>C7+H7+M7+R7</f>
        <v/>
      </c>
      <c r="X7" s="53">
        <f>E7+J7+O7+T7</f>
        <v/>
      </c>
      <c r="Y7" s="53">
        <f>F7+K7+P7+U7</f>
        <v/>
      </c>
    </row>
    <row r="8">
      <c r="A8" s="58" t="n">
        <v>1848</v>
      </c>
      <c r="B8" s="53">
        <f>SUMPRODUCT((Events!$B$6:$B$158&lt;=$A8)*(Events!$C$6:$C$158&gt;=$A8)*(Events!$E$6:$E$158="Loan")*(Events!$F$6:$F$158="Continental")*Events!$H$6:$H$158)</f>
        <v/>
      </c>
      <c r="C8" s="53">
        <f>E7*cont_repay</f>
        <v/>
      </c>
      <c r="D8" s="53">
        <f>0</f>
        <v/>
      </c>
      <c r="E8" s="53">
        <f>E7+B8-C8-D8</f>
        <v/>
      </c>
      <c r="F8" s="53">
        <f>E7*cont_coupon</f>
        <v/>
      </c>
      <c r="G8" s="53">
        <f>SUMPRODUCT((Events!$B$6:$B$158&lt;=$A8)*(Events!$C$6:$C$158&gt;=$A8)*(Events!$E$6:$E$158="Loan")*(Events!$F$6:$F$158="Asia")*Events!$H$6:$H$158)</f>
        <v/>
      </c>
      <c r="H8" s="53">
        <f>J7*asia_repay</f>
        <v/>
      </c>
      <c r="I8" s="53">
        <f>0</f>
        <v/>
      </c>
      <c r="J8" s="53">
        <f>J7+G8-H8-I8</f>
        <v/>
      </c>
      <c r="K8" s="53">
        <f>J7*asia_coupon</f>
        <v/>
      </c>
      <c r="L8" s="53">
        <f>SUMPRODUCT((Events!$B$6:$B$158&lt;=$A8)*(Events!$C$6:$C$158&gt;=$A8)*(Events!$E$6:$E$158="Loan")*(Events!$F$6:$F$158="Europe")*Events!$H$6:$H$158)</f>
        <v/>
      </c>
      <c r="M8" s="53">
        <f>O7*Paths!AA8</f>
        <v/>
      </c>
      <c r="N8" s="53">
        <f>IF($A8=1918,russia_writeoff*(O7+L8),0)</f>
        <v/>
      </c>
      <c r="O8" s="53">
        <f>O7+L8-M8-N8</f>
        <v/>
      </c>
      <c r="P8" s="53">
        <f>O7*Paths!Z8*Paths!AB8</f>
        <v/>
      </c>
      <c r="Q8" s="53">
        <f>SUMPRODUCT((Events!$B$6:$B$158&lt;=$A8)*(Events!$C$6:$C$158&gt;=$A8)*(Events!$E$6:$E$158="Loan")*(Events!$F$6:$F$158="Rescue")*Events!$H$6:$H$158)</f>
        <v/>
      </c>
      <c r="R8" s="53">
        <f>0</f>
        <v/>
      </c>
      <c r="S8" s="53">
        <f>0</f>
        <v/>
      </c>
      <c r="T8" s="53">
        <f>T7+Q8-R8-S8</f>
        <v/>
      </c>
      <c r="U8" s="53">
        <f>T7*rescue_coupon</f>
        <v/>
      </c>
      <c r="V8" s="53">
        <f>B8+G8+L8+Q8</f>
        <v/>
      </c>
      <c r="W8" s="53">
        <f>C8+H8+M8+R8</f>
        <v/>
      </c>
      <c r="X8" s="53">
        <f>E8+J8+O8+T8</f>
        <v/>
      </c>
      <c r="Y8" s="53">
        <f>F8+K8+P8+U8</f>
        <v/>
      </c>
    </row>
    <row r="9">
      <c r="A9" s="58" t="n">
        <v>1849</v>
      </c>
      <c r="B9" s="53">
        <f>SUMPRODUCT((Events!$B$6:$B$158&lt;=$A9)*(Events!$C$6:$C$158&gt;=$A9)*(Events!$E$6:$E$158="Loan")*(Events!$F$6:$F$158="Continental")*Events!$H$6:$H$158)</f>
        <v/>
      </c>
      <c r="C9" s="53">
        <f>E8*cont_repay</f>
        <v/>
      </c>
      <c r="D9" s="53">
        <f>0</f>
        <v/>
      </c>
      <c r="E9" s="53">
        <f>E8+B9-C9-D9</f>
        <v/>
      </c>
      <c r="F9" s="53">
        <f>E8*cont_coupon</f>
        <v/>
      </c>
      <c r="G9" s="53">
        <f>SUMPRODUCT((Events!$B$6:$B$158&lt;=$A9)*(Events!$C$6:$C$158&gt;=$A9)*(Events!$E$6:$E$158="Loan")*(Events!$F$6:$F$158="Asia")*Events!$H$6:$H$158)</f>
        <v/>
      </c>
      <c r="H9" s="53">
        <f>J8*asia_repay</f>
        <v/>
      </c>
      <c r="I9" s="53">
        <f>0</f>
        <v/>
      </c>
      <c r="J9" s="53">
        <f>J8+G9-H9-I9</f>
        <v/>
      </c>
      <c r="K9" s="53">
        <f>J8*asia_coupon</f>
        <v/>
      </c>
      <c r="L9" s="53">
        <f>SUMPRODUCT((Events!$B$6:$B$158&lt;=$A9)*(Events!$C$6:$C$158&gt;=$A9)*(Events!$E$6:$E$158="Loan")*(Events!$F$6:$F$158="Europe")*Events!$H$6:$H$158)</f>
        <v/>
      </c>
      <c r="M9" s="53">
        <f>O8*Paths!AA9</f>
        <v/>
      </c>
      <c r="N9" s="53">
        <f>IF($A9=1918,russia_writeoff*(O8+L9),0)</f>
        <v/>
      </c>
      <c r="O9" s="53">
        <f>O8+L9-M9-N9</f>
        <v/>
      </c>
      <c r="P9" s="53">
        <f>O8*Paths!Z9*Paths!AB9</f>
        <v/>
      </c>
      <c r="Q9" s="53">
        <f>SUMPRODUCT((Events!$B$6:$B$158&lt;=$A9)*(Events!$C$6:$C$158&gt;=$A9)*(Events!$E$6:$E$158="Loan")*(Events!$F$6:$F$158="Rescue")*Events!$H$6:$H$158)</f>
        <v/>
      </c>
      <c r="R9" s="53">
        <f>0</f>
        <v/>
      </c>
      <c r="S9" s="53">
        <f>0</f>
        <v/>
      </c>
      <c r="T9" s="53">
        <f>T8+Q9-R9-S9</f>
        <v/>
      </c>
      <c r="U9" s="53">
        <f>T8*rescue_coupon</f>
        <v/>
      </c>
      <c r="V9" s="53">
        <f>B9+G9+L9+Q9</f>
        <v/>
      </c>
      <c r="W9" s="53">
        <f>C9+H9+M9+R9</f>
        <v/>
      </c>
      <c r="X9" s="53">
        <f>E9+J9+O9+T9</f>
        <v/>
      </c>
      <c r="Y9" s="53">
        <f>F9+K9+P9+U9</f>
        <v/>
      </c>
    </row>
    <row r="10">
      <c r="A10" s="58" t="n">
        <v>1850</v>
      </c>
      <c r="B10" s="53">
        <f>SUMPRODUCT((Events!$B$6:$B$158&lt;=$A10)*(Events!$C$6:$C$158&gt;=$A10)*(Events!$E$6:$E$158="Loan")*(Events!$F$6:$F$158="Continental")*Events!$H$6:$H$158)</f>
        <v/>
      </c>
      <c r="C10" s="53">
        <f>E9*cont_repay</f>
        <v/>
      </c>
      <c r="D10" s="53">
        <f>0</f>
        <v/>
      </c>
      <c r="E10" s="53">
        <f>E9+B10-C10-D10</f>
        <v/>
      </c>
      <c r="F10" s="53">
        <f>E9*cont_coupon</f>
        <v/>
      </c>
      <c r="G10" s="53">
        <f>SUMPRODUCT((Events!$B$6:$B$158&lt;=$A10)*(Events!$C$6:$C$158&gt;=$A10)*(Events!$E$6:$E$158="Loan")*(Events!$F$6:$F$158="Asia")*Events!$H$6:$H$158)</f>
        <v/>
      </c>
      <c r="H10" s="53">
        <f>J9*asia_repay</f>
        <v/>
      </c>
      <c r="I10" s="53">
        <f>0</f>
        <v/>
      </c>
      <c r="J10" s="53">
        <f>J9+G10-H10-I10</f>
        <v/>
      </c>
      <c r="K10" s="53">
        <f>J9*asia_coupon</f>
        <v/>
      </c>
      <c r="L10" s="53">
        <f>SUMPRODUCT((Events!$B$6:$B$158&lt;=$A10)*(Events!$C$6:$C$158&gt;=$A10)*(Events!$E$6:$E$158="Loan")*(Events!$F$6:$F$158="Europe")*Events!$H$6:$H$158)</f>
        <v/>
      </c>
      <c r="M10" s="53">
        <f>O9*Paths!AA10</f>
        <v/>
      </c>
      <c r="N10" s="53">
        <f>IF($A10=1918,russia_writeoff*(O9+L10),0)</f>
        <v/>
      </c>
      <c r="O10" s="53">
        <f>O9+L10-M10-N10</f>
        <v/>
      </c>
      <c r="P10" s="53">
        <f>O9*Paths!Z10*Paths!AB10</f>
        <v/>
      </c>
      <c r="Q10" s="53">
        <f>SUMPRODUCT((Events!$B$6:$B$158&lt;=$A10)*(Events!$C$6:$C$158&gt;=$A10)*(Events!$E$6:$E$158="Loan")*(Events!$F$6:$F$158="Rescue")*Events!$H$6:$H$158)</f>
        <v/>
      </c>
      <c r="R10" s="53">
        <f>0</f>
        <v/>
      </c>
      <c r="S10" s="53">
        <f>0</f>
        <v/>
      </c>
      <c r="T10" s="53">
        <f>T9+Q10-R10-S10</f>
        <v/>
      </c>
      <c r="U10" s="53">
        <f>T9*rescue_coupon</f>
        <v/>
      </c>
      <c r="V10" s="53">
        <f>B10+G10+L10+Q10</f>
        <v/>
      </c>
      <c r="W10" s="53">
        <f>C10+H10+M10+R10</f>
        <v/>
      </c>
      <c r="X10" s="53">
        <f>E10+J10+O10+T10</f>
        <v/>
      </c>
      <c r="Y10" s="53">
        <f>F10+K10+P10+U10</f>
        <v/>
      </c>
    </row>
    <row r="11">
      <c r="A11" s="58" t="n">
        <v>1851</v>
      </c>
      <c r="B11" s="53">
        <f>SUMPRODUCT((Events!$B$6:$B$158&lt;=$A11)*(Events!$C$6:$C$158&gt;=$A11)*(Events!$E$6:$E$158="Loan")*(Events!$F$6:$F$158="Continental")*Events!$H$6:$H$158)</f>
        <v/>
      </c>
      <c r="C11" s="53">
        <f>E10*cont_repay</f>
        <v/>
      </c>
      <c r="D11" s="53">
        <f>0</f>
        <v/>
      </c>
      <c r="E11" s="53">
        <f>E10+B11-C11-D11</f>
        <v/>
      </c>
      <c r="F11" s="53">
        <f>E10*cont_coupon</f>
        <v/>
      </c>
      <c r="G11" s="53">
        <f>SUMPRODUCT((Events!$B$6:$B$158&lt;=$A11)*(Events!$C$6:$C$158&gt;=$A11)*(Events!$E$6:$E$158="Loan")*(Events!$F$6:$F$158="Asia")*Events!$H$6:$H$158)</f>
        <v/>
      </c>
      <c r="H11" s="53">
        <f>J10*asia_repay</f>
        <v/>
      </c>
      <c r="I11" s="53">
        <f>0</f>
        <v/>
      </c>
      <c r="J11" s="53">
        <f>J10+G11-H11-I11</f>
        <v/>
      </c>
      <c r="K11" s="53">
        <f>J10*asia_coupon</f>
        <v/>
      </c>
      <c r="L11" s="53">
        <f>SUMPRODUCT((Events!$B$6:$B$158&lt;=$A11)*(Events!$C$6:$C$158&gt;=$A11)*(Events!$E$6:$E$158="Loan")*(Events!$F$6:$F$158="Europe")*Events!$H$6:$H$158)</f>
        <v/>
      </c>
      <c r="M11" s="53">
        <f>O10*Paths!AA11</f>
        <v/>
      </c>
      <c r="N11" s="53">
        <f>IF($A11=1918,russia_writeoff*(O10+L11),0)</f>
        <v/>
      </c>
      <c r="O11" s="53">
        <f>O10+L11-M11-N11</f>
        <v/>
      </c>
      <c r="P11" s="53">
        <f>O10*Paths!Z11*Paths!AB11</f>
        <v/>
      </c>
      <c r="Q11" s="53">
        <f>SUMPRODUCT((Events!$B$6:$B$158&lt;=$A11)*(Events!$C$6:$C$158&gt;=$A11)*(Events!$E$6:$E$158="Loan")*(Events!$F$6:$F$158="Rescue")*Events!$H$6:$H$158)</f>
        <v/>
      </c>
      <c r="R11" s="53">
        <f>0</f>
        <v/>
      </c>
      <c r="S11" s="53">
        <f>0</f>
        <v/>
      </c>
      <c r="T11" s="53">
        <f>T10+Q11-R11-S11</f>
        <v/>
      </c>
      <c r="U11" s="53">
        <f>T10*rescue_coupon</f>
        <v/>
      </c>
      <c r="V11" s="53">
        <f>B11+G11+L11+Q11</f>
        <v/>
      </c>
      <c r="W11" s="53">
        <f>C11+H11+M11+R11</f>
        <v/>
      </c>
      <c r="X11" s="53">
        <f>E11+J11+O11+T11</f>
        <v/>
      </c>
      <c r="Y11" s="53">
        <f>F11+K11+P11+U11</f>
        <v/>
      </c>
    </row>
    <row r="12">
      <c r="A12" s="58" t="n">
        <v>1852</v>
      </c>
      <c r="B12" s="53">
        <f>SUMPRODUCT((Events!$B$6:$B$158&lt;=$A12)*(Events!$C$6:$C$158&gt;=$A12)*(Events!$E$6:$E$158="Loan")*(Events!$F$6:$F$158="Continental")*Events!$H$6:$H$158)</f>
        <v/>
      </c>
      <c r="C12" s="53">
        <f>E11*cont_repay</f>
        <v/>
      </c>
      <c r="D12" s="53">
        <f>0</f>
        <v/>
      </c>
      <c r="E12" s="53">
        <f>E11+B12-C12-D12</f>
        <v/>
      </c>
      <c r="F12" s="53">
        <f>E11*cont_coupon</f>
        <v/>
      </c>
      <c r="G12" s="53">
        <f>SUMPRODUCT((Events!$B$6:$B$158&lt;=$A12)*(Events!$C$6:$C$158&gt;=$A12)*(Events!$E$6:$E$158="Loan")*(Events!$F$6:$F$158="Asia")*Events!$H$6:$H$158)</f>
        <v/>
      </c>
      <c r="H12" s="53">
        <f>J11*asia_repay</f>
        <v/>
      </c>
      <c r="I12" s="53">
        <f>0</f>
        <v/>
      </c>
      <c r="J12" s="53">
        <f>J11+G12-H12-I12</f>
        <v/>
      </c>
      <c r="K12" s="53">
        <f>J11*asia_coupon</f>
        <v/>
      </c>
      <c r="L12" s="53">
        <f>SUMPRODUCT((Events!$B$6:$B$158&lt;=$A12)*(Events!$C$6:$C$158&gt;=$A12)*(Events!$E$6:$E$158="Loan")*(Events!$F$6:$F$158="Europe")*Events!$H$6:$H$158)</f>
        <v/>
      </c>
      <c r="M12" s="53">
        <f>O11*Paths!AA12</f>
        <v/>
      </c>
      <c r="N12" s="53">
        <f>IF($A12=1918,russia_writeoff*(O11+L12),0)</f>
        <v/>
      </c>
      <c r="O12" s="53">
        <f>O11+L12-M12-N12</f>
        <v/>
      </c>
      <c r="P12" s="53">
        <f>O11*Paths!Z12*Paths!AB12</f>
        <v/>
      </c>
      <c r="Q12" s="53">
        <f>SUMPRODUCT((Events!$B$6:$B$158&lt;=$A12)*(Events!$C$6:$C$158&gt;=$A12)*(Events!$E$6:$E$158="Loan")*(Events!$F$6:$F$158="Rescue")*Events!$H$6:$H$158)</f>
        <v/>
      </c>
      <c r="R12" s="53">
        <f>0</f>
        <v/>
      </c>
      <c r="S12" s="53">
        <f>0</f>
        <v/>
      </c>
      <c r="T12" s="53">
        <f>T11+Q12-R12-S12</f>
        <v/>
      </c>
      <c r="U12" s="53">
        <f>T11*rescue_coupon</f>
        <v/>
      </c>
      <c r="V12" s="53">
        <f>B12+G12+L12+Q12</f>
        <v/>
      </c>
      <c r="W12" s="53">
        <f>C12+H12+M12+R12</f>
        <v/>
      </c>
      <c r="X12" s="53">
        <f>E12+J12+O12+T12</f>
        <v/>
      </c>
      <c r="Y12" s="53">
        <f>F12+K12+P12+U12</f>
        <v/>
      </c>
    </row>
    <row r="13">
      <c r="A13" s="58" t="n">
        <v>1853</v>
      </c>
      <c r="B13" s="53">
        <f>SUMPRODUCT((Events!$B$6:$B$158&lt;=$A13)*(Events!$C$6:$C$158&gt;=$A13)*(Events!$E$6:$E$158="Loan")*(Events!$F$6:$F$158="Continental")*Events!$H$6:$H$158)</f>
        <v/>
      </c>
      <c r="C13" s="53">
        <f>E12*cont_repay</f>
        <v/>
      </c>
      <c r="D13" s="53">
        <f>0</f>
        <v/>
      </c>
      <c r="E13" s="53">
        <f>E12+B13-C13-D13</f>
        <v/>
      </c>
      <c r="F13" s="53">
        <f>E12*cont_coupon</f>
        <v/>
      </c>
      <c r="G13" s="53">
        <f>SUMPRODUCT((Events!$B$6:$B$158&lt;=$A13)*(Events!$C$6:$C$158&gt;=$A13)*(Events!$E$6:$E$158="Loan")*(Events!$F$6:$F$158="Asia")*Events!$H$6:$H$158)</f>
        <v/>
      </c>
      <c r="H13" s="53">
        <f>J12*asia_repay</f>
        <v/>
      </c>
      <c r="I13" s="53">
        <f>0</f>
        <v/>
      </c>
      <c r="J13" s="53">
        <f>J12+G13-H13-I13</f>
        <v/>
      </c>
      <c r="K13" s="53">
        <f>J12*asia_coupon</f>
        <v/>
      </c>
      <c r="L13" s="53">
        <f>SUMPRODUCT((Events!$B$6:$B$158&lt;=$A13)*(Events!$C$6:$C$158&gt;=$A13)*(Events!$E$6:$E$158="Loan")*(Events!$F$6:$F$158="Europe")*Events!$H$6:$H$158)</f>
        <v/>
      </c>
      <c r="M13" s="53">
        <f>O12*Paths!AA13</f>
        <v/>
      </c>
      <c r="N13" s="53">
        <f>IF($A13=1918,russia_writeoff*(O12+L13),0)</f>
        <v/>
      </c>
      <c r="O13" s="53">
        <f>O12+L13-M13-N13</f>
        <v/>
      </c>
      <c r="P13" s="53">
        <f>O12*Paths!Z13*Paths!AB13</f>
        <v/>
      </c>
      <c r="Q13" s="53">
        <f>SUMPRODUCT((Events!$B$6:$B$158&lt;=$A13)*(Events!$C$6:$C$158&gt;=$A13)*(Events!$E$6:$E$158="Loan")*(Events!$F$6:$F$158="Rescue")*Events!$H$6:$H$158)</f>
        <v/>
      </c>
      <c r="R13" s="53">
        <f>0</f>
        <v/>
      </c>
      <c r="S13" s="53">
        <f>0</f>
        <v/>
      </c>
      <c r="T13" s="53">
        <f>T12+Q13-R13-S13</f>
        <v/>
      </c>
      <c r="U13" s="53">
        <f>T12*rescue_coupon</f>
        <v/>
      </c>
      <c r="V13" s="53">
        <f>B13+G13+L13+Q13</f>
        <v/>
      </c>
      <c r="W13" s="53">
        <f>C13+H13+M13+R13</f>
        <v/>
      </c>
      <c r="X13" s="53">
        <f>E13+J13+O13+T13</f>
        <v/>
      </c>
      <c r="Y13" s="53">
        <f>F13+K13+P13+U13</f>
        <v/>
      </c>
    </row>
    <row r="14">
      <c r="A14" s="58" t="n">
        <v>1854</v>
      </c>
      <c r="B14" s="53">
        <f>SUMPRODUCT((Events!$B$6:$B$158&lt;=$A14)*(Events!$C$6:$C$158&gt;=$A14)*(Events!$E$6:$E$158="Loan")*(Events!$F$6:$F$158="Continental")*Events!$H$6:$H$158)</f>
        <v/>
      </c>
      <c r="C14" s="53">
        <f>E13*cont_repay</f>
        <v/>
      </c>
      <c r="D14" s="53">
        <f>0</f>
        <v/>
      </c>
      <c r="E14" s="53">
        <f>E13+B14-C14-D14</f>
        <v/>
      </c>
      <c r="F14" s="53">
        <f>E13*cont_coupon</f>
        <v/>
      </c>
      <c r="G14" s="53">
        <f>SUMPRODUCT((Events!$B$6:$B$158&lt;=$A14)*(Events!$C$6:$C$158&gt;=$A14)*(Events!$E$6:$E$158="Loan")*(Events!$F$6:$F$158="Asia")*Events!$H$6:$H$158)</f>
        <v/>
      </c>
      <c r="H14" s="53">
        <f>J13*asia_repay</f>
        <v/>
      </c>
      <c r="I14" s="53">
        <f>0</f>
        <v/>
      </c>
      <c r="J14" s="53">
        <f>J13+G14-H14-I14</f>
        <v/>
      </c>
      <c r="K14" s="53">
        <f>J13*asia_coupon</f>
        <v/>
      </c>
      <c r="L14" s="53">
        <f>SUMPRODUCT((Events!$B$6:$B$158&lt;=$A14)*(Events!$C$6:$C$158&gt;=$A14)*(Events!$E$6:$E$158="Loan")*(Events!$F$6:$F$158="Europe")*Events!$H$6:$H$158)</f>
        <v/>
      </c>
      <c r="M14" s="53">
        <f>O13*Paths!AA14</f>
        <v/>
      </c>
      <c r="N14" s="53">
        <f>IF($A14=1918,russia_writeoff*(O13+L14),0)</f>
        <v/>
      </c>
      <c r="O14" s="53">
        <f>O13+L14-M14-N14</f>
        <v/>
      </c>
      <c r="P14" s="53">
        <f>O13*Paths!Z14*Paths!AB14</f>
        <v/>
      </c>
      <c r="Q14" s="53">
        <f>SUMPRODUCT((Events!$B$6:$B$158&lt;=$A14)*(Events!$C$6:$C$158&gt;=$A14)*(Events!$E$6:$E$158="Loan")*(Events!$F$6:$F$158="Rescue")*Events!$H$6:$H$158)</f>
        <v/>
      </c>
      <c r="R14" s="53">
        <f>0</f>
        <v/>
      </c>
      <c r="S14" s="53">
        <f>0</f>
        <v/>
      </c>
      <c r="T14" s="53">
        <f>T13+Q14-R14-S14</f>
        <v/>
      </c>
      <c r="U14" s="53">
        <f>T13*rescue_coupon</f>
        <v/>
      </c>
      <c r="V14" s="53">
        <f>B14+G14+L14+Q14</f>
        <v/>
      </c>
      <c r="W14" s="53">
        <f>C14+H14+M14+R14</f>
        <v/>
      </c>
      <c r="X14" s="53">
        <f>E14+J14+O14+T14</f>
        <v/>
      </c>
      <c r="Y14" s="53">
        <f>F14+K14+P14+U14</f>
        <v/>
      </c>
    </row>
    <row r="15">
      <c r="A15" s="58" t="n">
        <v>1855</v>
      </c>
      <c r="B15" s="53">
        <f>SUMPRODUCT((Events!$B$6:$B$158&lt;=$A15)*(Events!$C$6:$C$158&gt;=$A15)*(Events!$E$6:$E$158="Loan")*(Events!$F$6:$F$158="Continental")*Events!$H$6:$H$158)</f>
        <v/>
      </c>
      <c r="C15" s="53">
        <f>E14*cont_repay</f>
        <v/>
      </c>
      <c r="D15" s="53">
        <f>0</f>
        <v/>
      </c>
      <c r="E15" s="53">
        <f>E14+B15-C15-D15</f>
        <v/>
      </c>
      <c r="F15" s="53">
        <f>E14*cont_coupon</f>
        <v/>
      </c>
      <c r="G15" s="53">
        <f>SUMPRODUCT((Events!$B$6:$B$158&lt;=$A15)*(Events!$C$6:$C$158&gt;=$A15)*(Events!$E$6:$E$158="Loan")*(Events!$F$6:$F$158="Asia")*Events!$H$6:$H$158)</f>
        <v/>
      </c>
      <c r="H15" s="53">
        <f>J14*asia_repay</f>
        <v/>
      </c>
      <c r="I15" s="53">
        <f>0</f>
        <v/>
      </c>
      <c r="J15" s="53">
        <f>J14+G15-H15-I15</f>
        <v/>
      </c>
      <c r="K15" s="53">
        <f>J14*asia_coupon</f>
        <v/>
      </c>
      <c r="L15" s="53">
        <f>SUMPRODUCT((Events!$B$6:$B$158&lt;=$A15)*(Events!$C$6:$C$158&gt;=$A15)*(Events!$E$6:$E$158="Loan")*(Events!$F$6:$F$158="Europe")*Events!$H$6:$H$158)</f>
        <v/>
      </c>
      <c r="M15" s="53">
        <f>O14*Paths!AA15</f>
        <v/>
      </c>
      <c r="N15" s="53">
        <f>IF($A15=1918,russia_writeoff*(O14+L15),0)</f>
        <v/>
      </c>
      <c r="O15" s="53">
        <f>O14+L15-M15-N15</f>
        <v/>
      </c>
      <c r="P15" s="53">
        <f>O14*Paths!Z15*Paths!AB15</f>
        <v/>
      </c>
      <c r="Q15" s="53">
        <f>SUMPRODUCT((Events!$B$6:$B$158&lt;=$A15)*(Events!$C$6:$C$158&gt;=$A15)*(Events!$E$6:$E$158="Loan")*(Events!$F$6:$F$158="Rescue")*Events!$H$6:$H$158)</f>
        <v/>
      </c>
      <c r="R15" s="53">
        <f>0</f>
        <v/>
      </c>
      <c r="S15" s="53">
        <f>0</f>
        <v/>
      </c>
      <c r="T15" s="53">
        <f>T14+Q15-R15-S15</f>
        <v/>
      </c>
      <c r="U15" s="53">
        <f>T14*rescue_coupon</f>
        <v/>
      </c>
      <c r="V15" s="53">
        <f>B15+G15+L15+Q15</f>
        <v/>
      </c>
      <c r="W15" s="53">
        <f>C15+H15+M15+R15</f>
        <v/>
      </c>
      <c r="X15" s="53">
        <f>E15+J15+O15+T15</f>
        <v/>
      </c>
      <c r="Y15" s="53">
        <f>F15+K15+P15+U15</f>
        <v/>
      </c>
    </row>
    <row r="16">
      <c r="A16" s="58" t="n">
        <v>1856</v>
      </c>
      <c r="B16" s="53">
        <f>SUMPRODUCT((Events!$B$6:$B$158&lt;=$A16)*(Events!$C$6:$C$158&gt;=$A16)*(Events!$E$6:$E$158="Loan")*(Events!$F$6:$F$158="Continental")*Events!$H$6:$H$158)</f>
        <v/>
      </c>
      <c r="C16" s="53">
        <f>E15*cont_repay</f>
        <v/>
      </c>
      <c r="D16" s="53">
        <f>0</f>
        <v/>
      </c>
      <c r="E16" s="53">
        <f>E15+B16-C16-D16</f>
        <v/>
      </c>
      <c r="F16" s="53">
        <f>E15*cont_coupon</f>
        <v/>
      </c>
      <c r="G16" s="53">
        <f>SUMPRODUCT((Events!$B$6:$B$158&lt;=$A16)*(Events!$C$6:$C$158&gt;=$A16)*(Events!$E$6:$E$158="Loan")*(Events!$F$6:$F$158="Asia")*Events!$H$6:$H$158)</f>
        <v/>
      </c>
      <c r="H16" s="53">
        <f>J15*asia_repay</f>
        <v/>
      </c>
      <c r="I16" s="53">
        <f>0</f>
        <v/>
      </c>
      <c r="J16" s="53">
        <f>J15+G16-H16-I16</f>
        <v/>
      </c>
      <c r="K16" s="53">
        <f>J15*asia_coupon</f>
        <v/>
      </c>
      <c r="L16" s="53">
        <f>SUMPRODUCT((Events!$B$6:$B$158&lt;=$A16)*(Events!$C$6:$C$158&gt;=$A16)*(Events!$E$6:$E$158="Loan")*(Events!$F$6:$F$158="Europe")*Events!$H$6:$H$158)</f>
        <v/>
      </c>
      <c r="M16" s="53">
        <f>O15*Paths!AA16</f>
        <v/>
      </c>
      <c r="N16" s="53">
        <f>IF($A16=1918,russia_writeoff*(O15+L16),0)</f>
        <v/>
      </c>
      <c r="O16" s="53">
        <f>O15+L16-M16-N16</f>
        <v/>
      </c>
      <c r="P16" s="53">
        <f>O15*Paths!Z16*Paths!AB16</f>
        <v/>
      </c>
      <c r="Q16" s="53">
        <f>SUMPRODUCT((Events!$B$6:$B$158&lt;=$A16)*(Events!$C$6:$C$158&gt;=$A16)*(Events!$E$6:$E$158="Loan")*(Events!$F$6:$F$158="Rescue")*Events!$H$6:$H$158)</f>
        <v/>
      </c>
      <c r="R16" s="53">
        <f>0</f>
        <v/>
      </c>
      <c r="S16" s="53">
        <f>0</f>
        <v/>
      </c>
      <c r="T16" s="53">
        <f>T15+Q16-R16-S16</f>
        <v/>
      </c>
      <c r="U16" s="53">
        <f>T15*rescue_coupon</f>
        <v/>
      </c>
      <c r="V16" s="53">
        <f>B16+G16+L16+Q16</f>
        <v/>
      </c>
      <c r="W16" s="53">
        <f>C16+H16+M16+R16</f>
        <v/>
      </c>
      <c r="X16" s="53">
        <f>E16+J16+O16+T16</f>
        <v/>
      </c>
      <c r="Y16" s="53">
        <f>F16+K16+P16+U16</f>
        <v/>
      </c>
    </row>
    <row r="17">
      <c r="A17" s="58" t="n">
        <v>1857</v>
      </c>
      <c r="B17" s="53">
        <f>SUMPRODUCT((Events!$B$6:$B$158&lt;=$A17)*(Events!$C$6:$C$158&gt;=$A17)*(Events!$E$6:$E$158="Loan")*(Events!$F$6:$F$158="Continental")*Events!$H$6:$H$158)</f>
        <v/>
      </c>
      <c r="C17" s="53">
        <f>E16*cont_repay</f>
        <v/>
      </c>
      <c r="D17" s="53">
        <f>0</f>
        <v/>
      </c>
      <c r="E17" s="53">
        <f>E16+B17-C17-D17</f>
        <v/>
      </c>
      <c r="F17" s="53">
        <f>E16*cont_coupon</f>
        <v/>
      </c>
      <c r="G17" s="53">
        <f>SUMPRODUCT((Events!$B$6:$B$158&lt;=$A17)*(Events!$C$6:$C$158&gt;=$A17)*(Events!$E$6:$E$158="Loan")*(Events!$F$6:$F$158="Asia")*Events!$H$6:$H$158)</f>
        <v/>
      </c>
      <c r="H17" s="53">
        <f>J16*asia_repay</f>
        <v/>
      </c>
      <c r="I17" s="53">
        <f>0</f>
        <v/>
      </c>
      <c r="J17" s="53">
        <f>J16+G17-H17-I17</f>
        <v/>
      </c>
      <c r="K17" s="53">
        <f>J16*asia_coupon</f>
        <v/>
      </c>
      <c r="L17" s="53">
        <f>SUMPRODUCT((Events!$B$6:$B$158&lt;=$A17)*(Events!$C$6:$C$158&gt;=$A17)*(Events!$E$6:$E$158="Loan")*(Events!$F$6:$F$158="Europe")*Events!$H$6:$H$158)</f>
        <v/>
      </c>
      <c r="M17" s="53">
        <f>O16*Paths!AA17</f>
        <v/>
      </c>
      <c r="N17" s="53">
        <f>IF($A17=1918,russia_writeoff*(O16+L17),0)</f>
        <v/>
      </c>
      <c r="O17" s="53">
        <f>O16+L17-M17-N17</f>
        <v/>
      </c>
      <c r="P17" s="53">
        <f>O16*Paths!Z17*Paths!AB17</f>
        <v/>
      </c>
      <c r="Q17" s="53">
        <f>SUMPRODUCT((Events!$B$6:$B$158&lt;=$A17)*(Events!$C$6:$C$158&gt;=$A17)*(Events!$E$6:$E$158="Loan")*(Events!$F$6:$F$158="Rescue")*Events!$H$6:$H$158)</f>
        <v/>
      </c>
      <c r="R17" s="53">
        <f>0</f>
        <v/>
      </c>
      <c r="S17" s="53">
        <f>0</f>
        <v/>
      </c>
      <c r="T17" s="53">
        <f>T16+Q17-R17-S17</f>
        <v/>
      </c>
      <c r="U17" s="53">
        <f>T16*rescue_coupon</f>
        <v/>
      </c>
      <c r="V17" s="53">
        <f>B17+G17+L17+Q17</f>
        <v/>
      </c>
      <c r="W17" s="53">
        <f>C17+H17+M17+R17</f>
        <v/>
      </c>
      <c r="X17" s="53">
        <f>E17+J17+O17+T17</f>
        <v/>
      </c>
      <c r="Y17" s="53">
        <f>F17+K17+P17+U17</f>
        <v/>
      </c>
    </row>
    <row r="18">
      <c r="A18" s="58" t="n">
        <v>1858</v>
      </c>
      <c r="B18" s="53">
        <f>SUMPRODUCT((Events!$B$6:$B$158&lt;=$A18)*(Events!$C$6:$C$158&gt;=$A18)*(Events!$E$6:$E$158="Loan")*(Events!$F$6:$F$158="Continental")*Events!$H$6:$H$158)</f>
        <v/>
      </c>
      <c r="C18" s="53">
        <f>E17*cont_repay</f>
        <v/>
      </c>
      <c r="D18" s="53">
        <f>0</f>
        <v/>
      </c>
      <c r="E18" s="53">
        <f>E17+B18-C18-D18</f>
        <v/>
      </c>
      <c r="F18" s="53">
        <f>E17*cont_coupon</f>
        <v/>
      </c>
      <c r="G18" s="53">
        <f>SUMPRODUCT((Events!$B$6:$B$158&lt;=$A18)*(Events!$C$6:$C$158&gt;=$A18)*(Events!$E$6:$E$158="Loan")*(Events!$F$6:$F$158="Asia")*Events!$H$6:$H$158)</f>
        <v/>
      </c>
      <c r="H18" s="53">
        <f>J17*asia_repay</f>
        <v/>
      </c>
      <c r="I18" s="53">
        <f>0</f>
        <v/>
      </c>
      <c r="J18" s="53">
        <f>J17+G18-H18-I18</f>
        <v/>
      </c>
      <c r="K18" s="53">
        <f>J17*asia_coupon</f>
        <v/>
      </c>
      <c r="L18" s="53">
        <f>SUMPRODUCT((Events!$B$6:$B$158&lt;=$A18)*(Events!$C$6:$C$158&gt;=$A18)*(Events!$E$6:$E$158="Loan")*(Events!$F$6:$F$158="Europe")*Events!$H$6:$H$158)</f>
        <v/>
      </c>
      <c r="M18" s="53">
        <f>O17*Paths!AA18</f>
        <v/>
      </c>
      <c r="N18" s="53">
        <f>IF($A18=1918,russia_writeoff*(O17+L18),0)</f>
        <v/>
      </c>
      <c r="O18" s="53">
        <f>O17+L18-M18-N18</f>
        <v/>
      </c>
      <c r="P18" s="53">
        <f>O17*Paths!Z18*Paths!AB18</f>
        <v/>
      </c>
      <c r="Q18" s="53">
        <f>SUMPRODUCT((Events!$B$6:$B$158&lt;=$A18)*(Events!$C$6:$C$158&gt;=$A18)*(Events!$E$6:$E$158="Loan")*(Events!$F$6:$F$158="Rescue")*Events!$H$6:$H$158)</f>
        <v/>
      </c>
      <c r="R18" s="53">
        <f>0</f>
        <v/>
      </c>
      <c r="S18" s="53">
        <f>0</f>
        <v/>
      </c>
      <c r="T18" s="53">
        <f>T17+Q18-R18-S18</f>
        <v/>
      </c>
      <c r="U18" s="53">
        <f>T17*rescue_coupon</f>
        <v/>
      </c>
      <c r="V18" s="53">
        <f>B18+G18+L18+Q18</f>
        <v/>
      </c>
      <c r="W18" s="53">
        <f>C18+H18+M18+R18</f>
        <v/>
      </c>
      <c r="X18" s="53">
        <f>E18+J18+O18+T18</f>
        <v/>
      </c>
      <c r="Y18" s="53">
        <f>F18+K18+P18+U18</f>
        <v/>
      </c>
    </row>
    <row r="19">
      <c r="A19" s="58" t="n">
        <v>1859</v>
      </c>
      <c r="B19" s="53">
        <f>SUMPRODUCT((Events!$B$6:$B$158&lt;=$A19)*(Events!$C$6:$C$158&gt;=$A19)*(Events!$E$6:$E$158="Loan")*(Events!$F$6:$F$158="Continental")*Events!$H$6:$H$158)</f>
        <v/>
      </c>
      <c r="C19" s="53">
        <f>E18*cont_repay</f>
        <v/>
      </c>
      <c r="D19" s="53">
        <f>0</f>
        <v/>
      </c>
      <c r="E19" s="53">
        <f>E18+B19-C19-D19</f>
        <v/>
      </c>
      <c r="F19" s="53">
        <f>E18*cont_coupon</f>
        <v/>
      </c>
      <c r="G19" s="53">
        <f>SUMPRODUCT((Events!$B$6:$B$158&lt;=$A19)*(Events!$C$6:$C$158&gt;=$A19)*(Events!$E$6:$E$158="Loan")*(Events!$F$6:$F$158="Asia")*Events!$H$6:$H$158)</f>
        <v/>
      </c>
      <c r="H19" s="53">
        <f>J18*asia_repay</f>
        <v/>
      </c>
      <c r="I19" s="53">
        <f>0</f>
        <v/>
      </c>
      <c r="J19" s="53">
        <f>J18+G19-H19-I19</f>
        <v/>
      </c>
      <c r="K19" s="53">
        <f>J18*asia_coupon</f>
        <v/>
      </c>
      <c r="L19" s="53">
        <f>SUMPRODUCT((Events!$B$6:$B$158&lt;=$A19)*(Events!$C$6:$C$158&gt;=$A19)*(Events!$E$6:$E$158="Loan")*(Events!$F$6:$F$158="Europe")*Events!$H$6:$H$158)</f>
        <v/>
      </c>
      <c r="M19" s="53">
        <f>O18*Paths!AA19</f>
        <v/>
      </c>
      <c r="N19" s="53">
        <f>IF($A19=1918,russia_writeoff*(O18+L19),0)</f>
        <v/>
      </c>
      <c r="O19" s="53">
        <f>O18+L19-M19-N19</f>
        <v/>
      </c>
      <c r="P19" s="53">
        <f>O18*Paths!Z19*Paths!AB19</f>
        <v/>
      </c>
      <c r="Q19" s="53">
        <f>SUMPRODUCT((Events!$B$6:$B$158&lt;=$A19)*(Events!$C$6:$C$158&gt;=$A19)*(Events!$E$6:$E$158="Loan")*(Events!$F$6:$F$158="Rescue")*Events!$H$6:$H$158)</f>
        <v/>
      </c>
      <c r="R19" s="53">
        <f>0</f>
        <v/>
      </c>
      <c r="S19" s="53">
        <f>0</f>
        <v/>
      </c>
      <c r="T19" s="53">
        <f>T18+Q19-R19-S19</f>
        <v/>
      </c>
      <c r="U19" s="53">
        <f>T18*rescue_coupon</f>
        <v/>
      </c>
      <c r="V19" s="53">
        <f>B19+G19+L19+Q19</f>
        <v/>
      </c>
      <c r="W19" s="53">
        <f>C19+H19+M19+R19</f>
        <v/>
      </c>
      <c r="X19" s="53">
        <f>E19+J19+O19+T19</f>
        <v/>
      </c>
      <c r="Y19" s="53">
        <f>F19+K19+P19+U19</f>
        <v/>
      </c>
    </row>
    <row r="20">
      <c r="A20" s="58" t="n">
        <v>1860</v>
      </c>
      <c r="B20" s="53">
        <f>SUMPRODUCT((Events!$B$6:$B$158&lt;=$A20)*(Events!$C$6:$C$158&gt;=$A20)*(Events!$E$6:$E$158="Loan")*(Events!$F$6:$F$158="Continental")*Events!$H$6:$H$158)</f>
        <v/>
      </c>
      <c r="C20" s="53">
        <f>E19*cont_repay</f>
        <v/>
      </c>
      <c r="D20" s="53">
        <f>0</f>
        <v/>
      </c>
      <c r="E20" s="53">
        <f>E19+B20-C20-D20</f>
        <v/>
      </c>
      <c r="F20" s="53">
        <f>E19*cont_coupon</f>
        <v/>
      </c>
      <c r="G20" s="53">
        <f>SUMPRODUCT((Events!$B$6:$B$158&lt;=$A20)*(Events!$C$6:$C$158&gt;=$A20)*(Events!$E$6:$E$158="Loan")*(Events!$F$6:$F$158="Asia")*Events!$H$6:$H$158)</f>
        <v/>
      </c>
      <c r="H20" s="53">
        <f>J19*asia_repay</f>
        <v/>
      </c>
      <c r="I20" s="53">
        <f>0</f>
        <v/>
      </c>
      <c r="J20" s="53">
        <f>J19+G20-H20-I20</f>
        <v/>
      </c>
      <c r="K20" s="53">
        <f>J19*asia_coupon</f>
        <v/>
      </c>
      <c r="L20" s="53">
        <f>SUMPRODUCT((Events!$B$6:$B$158&lt;=$A20)*(Events!$C$6:$C$158&gt;=$A20)*(Events!$E$6:$E$158="Loan")*(Events!$F$6:$F$158="Europe")*Events!$H$6:$H$158)</f>
        <v/>
      </c>
      <c r="M20" s="53">
        <f>O19*Paths!AA20</f>
        <v/>
      </c>
      <c r="N20" s="53">
        <f>IF($A20=1918,russia_writeoff*(O19+L20),0)</f>
        <v/>
      </c>
      <c r="O20" s="53">
        <f>O19+L20-M20-N20</f>
        <v/>
      </c>
      <c r="P20" s="53">
        <f>O19*Paths!Z20*Paths!AB20</f>
        <v/>
      </c>
      <c r="Q20" s="53">
        <f>SUMPRODUCT((Events!$B$6:$B$158&lt;=$A20)*(Events!$C$6:$C$158&gt;=$A20)*(Events!$E$6:$E$158="Loan")*(Events!$F$6:$F$158="Rescue")*Events!$H$6:$H$158)</f>
        <v/>
      </c>
      <c r="R20" s="53">
        <f>0</f>
        <v/>
      </c>
      <c r="S20" s="53">
        <f>0</f>
        <v/>
      </c>
      <c r="T20" s="53">
        <f>T19+Q20-R20-S20</f>
        <v/>
      </c>
      <c r="U20" s="53">
        <f>T19*rescue_coupon</f>
        <v/>
      </c>
      <c r="V20" s="53">
        <f>B20+G20+L20+Q20</f>
        <v/>
      </c>
      <c r="W20" s="53">
        <f>C20+H20+M20+R20</f>
        <v/>
      </c>
      <c r="X20" s="53">
        <f>E20+J20+O20+T20</f>
        <v/>
      </c>
      <c r="Y20" s="53">
        <f>F20+K20+P20+U20</f>
        <v/>
      </c>
    </row>
    <row r="21">
      <c r="A21" s="61" t="n">
        <v>1861</v>
      </c>
      <c r="B21" s="53">
        <f>SUMPRODUCT((Events!$B$6:$B$158&lt;=$A21)*(Events!$C$6:$C$158&gt;=$A21)*(Events!$E$6:$E$158="Loan")*(Events!$F$6:$F$158="Continental")*Events!$H$6:$H$158)</f>
        <v/>
      </c>
      <c r="C21" s="53">
        <f>E20*cont_repay</f>
        <v/>
      </c>
      <c r="D21" s="53">
        <f>0</f>
        <v/>
      </c>
      <c r="E21" s="53">
        <f>E20+B21-C21-D21</f>
        <v/>
      </c>
      <c r="F21" s="53">
        <f>E20*cont_coupon</f>
        <v/>
      </c>
      <c r="G21" s="53">
        <f>SUMPRODUCT((Events!$B$6:$B$158&lt;=$A21)*(Events!$C$6:$C$158&gt;=$A21)*(Events!$E$6:$E$158="Loan")*(Events!$F$6:$F$158="Asia")*Events!$H$6:$H$158)</f>
        <v/>
      </c>
      <c r="H21" s="53">
        <f>J20*asia_repay</f>
        <v/>
      </c>
      <c r="I21" s="53">
        <f>0</f>
        <v/>
      </c>
      <c r="J21" s="53">
        <f>J20+G21-H21-I21</f>
        <v/>
      </c>
      <c r="K21" s="53">
        <f>J20*asia_coupon</f>
        <v/>
      </c>
      <c r="L21" s="53">
        <f>SUMPRODUCT((Events!$B$6:$B$158&lt;=$A21)*(Events!$C$6:$C$158&gt;=$A21)*(Events!$E$6:$E$158="Loan")*(Events!$F$6:$F$158="Europe")*Events!$H$6:$H$158)</f>
        <v/>
      </c>
      <c r="M21" s="53">
        <f>O20*Paths!AA21</f>
        <v/>
      </c>
      <c r="N21" s="53">
        <f>IF($A21=1918,russia_writeoff*(O20+L21),0)</f>
        <v/>
      </c>
      <c r="O21" s="53">
        <f>O20+L21-M21-N21</f>
        <v/>
      </c>
      <c r="P21" s="53">
        <f>O20*Paths!Z21*Paths!AB21</f>
        <v/>
      </c>
      <c r="Q21" s="53">
        <f>SUMPRODUCT((Events!$B$6:$B$158&lt;=$A21)*(Events!$C$6:$C$158&gt;=$A21)*(Events!$E$6:$E$158="Loan")*(Events!$F$6:$F$158="Rescue")*Events!$H$6:$H$158)</f>
        <v/>
      </c>
      <c r="R21" s="53">
        <f>0</f>
        <v/>
      </c>
      <c r="S21" s="53">
        <f>0</f>
        <v/>
      </c>
      <c r="T21" s="53">
        <f>T20+Q21-R21-S21</f>
        <v/>
      </c>
      <c r="U21" s="53">
        <f>T20*rescue_coupon</f>
        <v/>
      </c>
      <c r="V21" s="53">
        <f>B21+G21+L21+Q21</f>
        <v/>
      </c>
      <c r="W21" s="53">
        <f>C21+H21+M21+R21</f>
        <v/>
      </c>
      <c r="X21" s="53">
        <f>E21+J21+O21+T21</f>
        <v/>
      </c>
      <c r="Y21" s="53">
        <f>F21+K21+P21+U21</f>
        <v/>
      </c>
    </row>
    <row r="22">
      <c r="A22" s="61" t="n">
        <v>1862</v>
      </c>
      <c r="B22" s="53">
        <f>SUMPRODUCT((Events!$B$6:$B$158&lt;=$A22)*(Events!$C$6:$C$158&gt;=$A22)*(Events!$E$6:$E$158="Loan")*(Events!$F$6:$F$158="Continental")*Events!$H$6:$H$158)</f>
        <v/>
      </c>
      <c r="C22" s="53">
        <f>E21*cont_repay</f>
        <v/>
      </c>
      <c r="D22" s="53">
        <f>0</f>
        <v/>
      </c>
      <c r="E22" s="53">
        <f>E21+B22-C22-D22</f>
        <v/>
      </c>
      <c r="F22" s="53">
        <f>E21*cont_coupon</f>
        <v/>
      </c>
      <c r="G22" s="53">
        <f>SUMPRODUCT((Events!$B$6:$B$158&lt;=$A22)*(Events!$C$6:$C$158&gt;=$A22)*(Events!$E$6:$E$158="Loan")*(Events!$F$6:$F$158="Asia")*Events!$H$6:$H$158)</f>
        <v/>
      </c>
      <c r="H22" s="53">
        <f>J21*asia_repay</f>
        <v/>
      </c>
      <c r="I22" s="53">
        <f>0</f>
        <v/>
      </c>
      <c r="J22" s="53">
        <f>J21+G22-H22-I22</f>
        <v/>
      </c>
      <c r="K22" s="53">
        <f>J21*asia_coupon</f>
        <v/>
      </c>
      <c r="L22" s="53">
        <f>SUMPRODUCT((Events!$B$6:$B$158&lt;=$A22)*(Events!$C$6:$C$158&gt;=$A22)*(Events!$E$6:$E$158="Loan")*(Events!$F$6:$F$158="Europe")*Events!$H$6:$H$158)</f>
        <v/>
      </c>
      <c r="M22" s="53">
        <f>O21*Paths!AA22</f>
        <v/>
      </c>
      <c r="N22" s="53">
        <f>IF($A22=1918,russia_writeoff*(O21+L22),0)</f>
        <v/>
      </c>
      <c r="O22" s="53">
        <f>O21+L22-M22-N22</f>
        <v/>
      </c>
      <c r="P22" s="53">
        <f>O21*Paths!Z22*Paths!AB22</f>
        <v/>
      </c>
      <c r="Q22" s="53">
        <f>SUMPRODUCT((Events!$B$6:$B$158&lt;=$A22)*(Events!$C$6:$C$158&gt;=$A22)*(Events!$E$6:$E$158="Loan")*(Events!$F$6:$F$158="Rescue")*Events!$H$6:$H$158)</f>
        <v/>
      </c>
      <c r="R22" s="53">
        <f>0</f>
        <v/>
      </c>
      <c r="S22" s="53">
        <f>0</f>
        <v/>
      </c>
      <c r="T22" s="53">
        <f>T21+Q22-R22-S22</f>
        <v/>
      </c>
      <c r="U22" s="53">
        <f>T21*rescue_coupon</f>
        <v/>
      </c>
      <c r="V22" s="53">
        <f>B22+G22+L22+Q22</f>
        <v/>
      </c>
      <c r="W22" s="53">
        <f>C22+H22+M22+R22</f>
        <v/>
      </c>
      <c r="X22" s="53">
        <f>E22+J22+O22+T22</f>
        <v/>
      </c>
      <c r="Y22" s="53">
        <f>F22+K22+P22+U22</f>
        <v/>
      </c>
    </row>
    <row r="23">
      <c r="A23" s="61" t="n">
        <v>1863</v>
      </c>
      <c r="B23" s="53">
        <f>SUMPRODUCT((Events!$B$6:$B$158&lt;=$A23)*(Events!$C$6:$C$158&gt;=$A23)*(Events!$E$6:$E$158="Loan")*(Events!$F$6:$F$158="Continental")*Events!$H$6:$H$158)</f>
        <v/>
      </c>
      <c r="C23" s="53">
        <f>E22*cont_repay</f>
        <v/>
      </c>
      <c r="D23" s="53">
        <f>0</f>
        <v/>
      </c>
      <c r="E23" s="53">
        <f>E22+B23-C23-D23</f>
        <v/>
      </c>
      <c r="F23" s="53">
        <f>E22*cont_coupon</f>
        <v/>
      </c>
      <c r="G23" s="53">
        <f>SUMPRODUCT((Events!$B$6:$B$158&lt;=$A23)*(Events!$C$6:$C$158&gt;=$A23)*(Events!$E$6:$E$158="Loan")*(Events!$F$6:$F$158="Asia")*Events!$H$6:$H$158)</f>
        <v/>
      </c>
      <c r="H23" s="53">
        <f>J22*asia_repay</f>
        <v/>
      </c>
      <c r="I23" s="53">
        <f>0</f>
        <v/>
      </c>
      <c r="J23" s="53">
        <f>J22+G23-H23-I23</f>
        <v/>
      </c>
      <c r="K23" s="53">
        <f>J22*asia_coupon</f>
        <v/>
      </c>
      <c r="L23" s="53">
        <f>SUMPRODUCT((Events!$B$6:$B$158&lt;=$A23)*(Events!$C$6:$C$158&gt;=$A23)*(Events!$E$6:$E$158="Loan")*(Events!$F$6:$F$158="Europe")*Events!$H$6:$H$158)</f>
        <v/>
      </c>
      <c r="M23" s="53">
        <f>O22*Paths!AA23</f>
        <v/>
      </c>
      <c r="N23" s="53">
        <f>IF($A23=1918,russia_writeoff*(O22+L23),0)</f>
        <v/>
      </c>
      <c r="O23" s="53">
        <f>O22+L23-M23-N23</f>
        <v/>
      </c>
      <c r="P23" s="53">
        <f>O22*Paths!Z23*Paths!AB23</f>
        <v/>
      </c>
      <c r="Q23" s="53">
        <f>SUMPRODUCT((Events!$B$6:$B$158&lt;=$A23)*(Events!$C$6:$C$158&gt;=$A23)*(Events!$E$6:$E$158="Loan")*(Events!$F$6:$F$158="Rescue")*Events!$H$6:$H$158)</f>
        <v/>
      </c>
      <c r="R23" s="53">
        <f>0</f>
        <v/>
      </c>
      <c r="S23" s="53">
        <f>0</f>
        <v/>
      </c>
      <c r="T23" s="53">
        <f>T22+Q23-R23-S23</f>
        <v/>
      </c>
      <c r="U23" s="53">
        <f>T22*rescue_coupon</f>
        <v/>
      </c>
      <c r="V23" s="53">
        <f>B23+G23+L23+Q23</f>
        <v/>
      </c>
      <c r="W23" s="53">
        <f>C23+H23+M23+R23</f>
        <v/>
      </c>
      <c r="X23" s="53">
        <f>E23+J23+O23+T23</f>
        <v/>
      </c>
      <c r="Y23" s="53">
        <f>F23+K23+P23+U23</f>
        <v/>
      </c>
    </row>
    <row r="24">
      <c r="A24" s="61" t="n">
        <v>1864</v>
      </c>
      <c r="B24" s="53">
        <f>SUMPRODUCT((Events!$B$6:$B$158&lt;=$A24)*(Events!$C$6:$C$158&gt;=$A24)*(Events!$E$6:$E$158="Loan")*(Events!$F$6:$F$158="Continental")*Events!$H$6:$H$158)</f>
        <v/>
      </c>
      <c r="C24" s="53">
        <f>E23*cont_repay</f>
        <v/>
      </c>
      <c r="D24" s="53">
        <f>0</f>
        <v/>
      </c>
      <c r="E24" s="53">
        <f>E23+B24-C24-D24</f>
        <v/>
      </c>
      <c r="F24" s="53">
        <f>E23*cont_coupon</f>
        <v/>
      </c>
      <c r="G24" s="53">
        <f>SUMPRODUCT((Events!$B$6:$B$158&lt;=$A24)*(Events!$C$6:$C$158&gt;=$A24)*(Events!$E$6:$E$158="Loan")*(Events!$F$6:$F$158="Asia")*Events!$H$6:$H$158)</f>
        <v/>
      </c>
      <c r="H24" s="53">
        <f>J23*asia_repay</f>
        <v/>
      </c>
      <c r="I24" s="53">
        <f>0</f>
        <v/>
      </c>
      <c r="J24" s="53">
        <f>J23+G24-H24-I24</f>
        <v/>
      </c>
      <c r="K24" s="53">
        <f>J23*asia_coupon</f>
        <v/>
      </c>
      <c r="L24" s="53">
        <f>SUMPRODUCT((Events!$B$6:$B$158&lt;=$A24)*(Events!$C$6:$C$158&gt;=$A24)*(Events!$E$6:$E$158="Loan")*(Events!$F$6:$F$158="Europe")*Events!$H$6:$H$158)</f>
        <v/>
      </c>
      <c r="M24" s="53">
        <f>O23*Paths!AA24</f>
        <v/>
      </c>
      <c r="N24" s="53">
        <f>IF($A24=1918,russia_writeoff*(O23+L24),0)</f>
        <v/>
      </c>
      <c r="O24" s="53">
        <f>O23+L24-M24-N24</f>
        <v/>
      </c>
      <c r="P24" s="53">
        <f>O23*Paths!Z24*Paths!AB24</f>
        <v/>
      </c>
      <c r="Q24" s="53">
        <f>SUMPRODUCT((Events!$B$6:$B$158&lt;=$A24)*(Events!$C$6:$C$158&gt;=$A24)*(Events!$E$6:$E$158="Loan")*(Events!$F$6:$F$158="Rescue")*Events!$H$6:$H$158)</f>
        <v/>
      </c>
      <c r="R24" s="53">
        <f>0</f>
        <v/>
      </c>
      <c r="S24" s="53">
        <f>0</f>
        <v/>
      </c>
      <c r="T24" s="53">
        <f>T23+Q24-R24-S24</f>
        <v/>
      </c>
      <c r="U24" s="53">
        <f>T23*rescue_coupon</f>
        <v/>
      </c>
      <c r="V24" s="53">
        <f>B24+G24+L24+Q24</f>
        <v/>
      </c>
      <c r="W24" s="53">
        <f>C24+H24+M24+R24</f>
        <v/>
      </c>
      <c r="X24" s="53">
        <f>E24+J24+O24+T24</f>
        <v/>
      </c>
      <c r="Y24" s="53">
        <f>F24+K24+P24+U24</f>
        <v/>
      </c>
    </row>
    <row r="25">
      <c r="A25" s="61" t="n">
        <v>1865</v>
      </c>
      <c r="B25" s="53">
        <f>SUMPRODUCT((Events!$B$6:$B$158&lt;=$A25)*(Events!$C$6:$C$158&gt;=$A25)*(Events!$E$6:$E$158="Loan")*(Events!$F$6:$F$158="Continental")*Events!$H$6:$H$158)</f>
        <v/>
      </c>
      <c r="C25" s="53">
        <f>E24*cont_repay</f>
        <v/>
      </c>
      <c r="D25" s="53">
        <f>0</f>
        <v/>
      </c>
      <c r="E25" s="53">
        <f>E24+B25-C25-D25</f>
        <v/>
      </c>
      <c r="F25" s="53">
        <f>E24*cont_coupon</f>
        <v/>
      </c>
      <c r="G25" s="53">
        <f>SUMPRODUCT((Events!$B$6:$B$158&lt;=$A25)*(Events!$C$6:$C$158&gt;=$A25)*(Events!$E$6:$E$158="Loan")*(Events!$F$6:$F$158="Asia")*Events!$H$6:$H$158)</f>
        <v/>
      </c>
      <c r="H25" s="53">
        <f>J24*asia_repay</f>
        <v/>
      </c>
      <c r="I25" s="53">
        <f>0</f>
        <v/>
      </c>
      <c r="J25" s="53">
        <f>J24+G25-H25-I25</f>
        <v/>
      </c>
      <c r="K25" s="53">
        <f>J24*asia_coupon</f>
        <v/>
      </c>
      <c r="L25" s="53">
        <f>SUMPRODUCT((Events!$B$6:$B$158&lt;=$A25)*(Events!$C$6:$C$158&gt;=$A25)*(Events!$E$6:$E$158="Loan")*(Events!$F$6:$F$158="Europe")*Events!$H$6:$H$158)</f>
        <v/>
      </c>
      <c r="M25" s="53">
        <f>O24*Paths!AA25</f>
        <v/>
      </c>
      <c r="N25" s="53">
        <f>IF($A25=1918,russia_writeoff*(O24+L25),0)</f>
        <v/>
      </c>
      <c r="O25" s="53">
        <f>O24+L25-M25-N25</f>
        <v/>
      </c>
      <c r="P25" s="53">
        <f>O24*Paths!Z25*Paths!AB25</f>
        <v/>
      </c>
      <c r="Q25" s="53">
        <f>SUMPRODUCT((Events!$B$6:$B$158&lt;=$A25)*(Events!$C$6:$C$158&gt;=$A25)*(Events!$E$6:$E$158="Loan")*(Events!$F$6:$F$158="Rescue")*Events!$H$6:$H$158)</f>
        <v/>
      </c>
      <c r="R25" s="53">
        <f>0</f>
        <v/>
      </c>
      <c r="S25" s="53">
        <f>0</f>
        <v/>
      </c>
      <c r="T25" s="53">
        <f>T24+Q25-R25-S25</f>
        <v/>
      </c>
      <c r="U25" s="53">
        <f>T24*rescue_coupon</f>
        <v/>
      </c>
      <c r="V25" s="53">
        <f>B25+G25+L25+Q25</f>
        <v/>
      </c>
      <c r="W25" s="53">
        <f>C25+H25+M25+R25</f>
        <v/>
      </c>
      <c r="X25" s="53">
        <f>E25+J25+O25+T25</f>
        <v/>
      </c>
      <c r="Y25" s="53">
        <f>F25+K25+P25+U25</f>
        <v/>
      </c>
    </row>
    <row r="26">
      <c r="A26" s="58" t="n">
        <v>1866</v>
      </c>
      <c r="B26" s="53">
        <f>SUMPRODUCT((Events!$B$6:$B$158&lt;=$A26)*(Events!$C$6:$C$158&gt;=$A26)*(Events!$E$6:$E$158="Loan")*(Events!$F$6:$F$158="Continental")*Events!$H$6:$H$158)</f>
        <v/>
      </c>
      <c r="C26" s="53">
        <f>E25*cont_repay</f>
        <v/>
      </c>
      <c r="D26" s="53">
        <f>0</f>
        <v/>
      </c>
      <c r="E26" s="53">
        <f>E25+B26-C26-D26</f>
        <v/>
      </c>
      <c r="F26" s="53">
        <f>E25*cont_coupon</f>
        <v/>
      </c>
      <c r="G26" s="53">
        <f>SUMPRODUCT((Events!$B$6:$B$158&lt;=$A26)*(Events!$C$6:$C$158&gt;=$A26)*(Events!$E$6:$E$158="Loan")*(Events!$F$6:$F$158="Asia")*Events!$H$6:$H$158)</f>
        <v/>
      </c>
      <c r="H26" s="53">
        <f>J25*asia_repay</f>
        <v/>
      </c>
      <c r="I26" s="53">
        <f>0</f>
        <v/>
      </c>
      <c r="J26" s="53">
        <f>J25+G26-H26-I26</f>
        <v/>
      </c>
      <c r="K26" s="53">
        <f>J25*asia_coupon</f>
        <v/>
      </c>
      <c r="L26" s="53">
        <f>SUMPRODUCT((Events!$B$6:$B$158&lt;=$A26)*(Events!$C$6:$C$158&gt;=$A26)*(Events!$E$6:$E$158="Loan")*(Events!$F$6:$F$158="Europe")*Events!$H$6:$H$158)</f>
        <v/>
      </c>
      <c r="M26" s="53">
        <f>O25*Paths!AA26</f>
        <v/>
      </c>
      <c r="N26" s="53">
        <f>IF($A26=1918,russia_writeoff*(O25+L26),0)</f>
        <v/>
      </c>
      <c r="O26" s="53">
        <f>O25+L26-M26-N26</f>
        <v/>
      </c>
      <c r="P26" s="53">
        <f>O25*Paths!Z26*Paths!AB26</f>
        <v/>
      </c>
      <c r="Q26" s="53">
        <f>SUMPRODUCT((Events!$B$6:$B$158&lt;=$A26)*(Events!$C$6:$C$158&gt;=$A26)*(Events!$E$6:$E$158="Loan")*(Events!$F$6:$F$158="Rescue")*Events!$H$6:$H$158)</f>
        <v/>
      </c>
      <c r="R26" s="53">
        <f>0</f>
        <v/>
      </c>
      <c r="S26" s="53">
        <f>0</f>
        <v/>
      </c>
      <c r="T26" s="53">
        <f>T25+Q26-R26-S26</f>
        <v/>
      </c>
      <c r="U26" s="53">
        <f>T25*rescue_coupon</f>
        <v/>
      </c>
      <c r="V26" s="53">
        <f>B26+G26+L26+Q26</f>
        <v/>
      </c>
      <c r="W26" s="53">
        <f>C26+H26+M26+R26</f>
        <v/>
      </c>
      <c r="X26" s="53">
        <f>E26+J26+O26+T26</f>
        <v/>
      </c>
      <c r="Y26" s="53">
        <f>F26+K26+P26+U26</f>
        <v/>
      </c>
    </row>
    <row r="27">
      <c r="A27" s="58" t="n">
        <v>1867</v>
      </c>
      <c r="B27" s="53">
        <f>SUMPRODUCT((Events!$B$6:$B$158&lt;=$A27)*(Events!$C$6:$C$158&gt;=$A27)*(Events!$E$6:$E$158="Loan")*(Events!$F$6:$F$158="Continental")*Events!$H$6:$H$158)</f>
        <v/>
      </c>
      <c r="C27" s="53">
        <f>E26*cont_repay</f>
        <v/>
      </c>
      <c r="D27" s="53">
        <f>0</f>
        <v/>
      </c>
      <c r="E27" s="53">
        <f>E26+B27-C27-D27</f>
        <v/>
      </c>
      <c r="F27" s="53">
        <f>E26*cont_coupon</f>
        <v/>
      </c>
      <c r="G27" s="53">
        <f>SUMPRODUCT((Events!$B$6:$B$158&lt;=$A27)*(Events!$C$6:$C$158&gt;=$A27)*(Events!$E$6:$E$158="Loan")*(Events!$F$6:$F$158="Asia")*Events!$H$6:$H$158)</f>
        <v/>
      </c>
      <c r="H27" s="53">
        <f>J26*asia_repay</f>
        <v/>
      </c>
      <c r="I27" s="53">
        <f>0</f>
        <v/>
      </c>
      <c r="J27" s="53">
        <f>J26+G27-H27-I27</f>
        <v/>
      </c>
      <c r="K27" s="53">
        <f>J26*asia_coupon</f>
        <v/>
      </c>
      <c r="L27" s="53">
        <f>SUMPRODUCT((Events!$B$6:$B$158&lt;=$A27)*(Events!$C$6:$C$158&gt;=$A27)*(Events!$E$6:$E$158="Loan")*(Events!$F$6:$F$158="Europe")*Events!$H$6:$H$158)</f>
        <v/>
      </c>
      <c r="M27" s="53">
        <f>O26*Paths!AA27</f>
        <v/>
      </c>
      <c r="N27" s="53">
        <f>IF($A27=1918,russia_writeoff*(O26+L27),0)</f>
        <v/>
      </c>
      <c r="O27" s="53">
        <f>O26+L27-M27-N27</f>
        <v/>
      </c>
      <c r="P27" s="53">
        <f>O26*Paths!Z27*Paths!AB27</f>
        <v/>
      </c>
      <c r="Q27" s="53">
        <f>SUMPRODUCT((Events!$B$6:$B$158&lt;=$A27)*(Events!$C$6:$C$158&gt;=$A27)*(Events!$E$6:$E$158="Loan")*(Events!$F$6:$F$158="Rescue")*Events!$H$6:$H$158)</f>
        <v/>
      </c>
      <c r="R27" s="53">
        <f>0</f>
        <v/>
      </c>
      <c r="S27" s="53">
        <f>0</f>
        <v/>
      </c>
      <c r="T27" s="53">
        <f>T26+Q27-R27-S27</f>
        <v/>
      </c>
      <c r="U27" s="53">
        <f>T26*rescue_coupon</f>
        <v/>
      </c>
      <c r="V27" s="53">
        <f>B27+G27+L27+Q27</f>
        <v/>
      </c>
      <c r="W27" s="53">
        <f>C27+H27+M27+R27</f>
        <v/>
      </c>
      <c r="X27" s="53">
        <f>E27+J27+O27+T27</f>
        <v/>
      </c>
      <c r="Y27" s="53">
        <f>F27+K27+P27+U27</f>
        <v/>
      </c>
    </row>
    <row r="28">
      <c r="A28" s="58" t="n">
        <v>1868</v>
      </c>
      <c r="B28" s="53">
        <f>SUMPRODUCT((Events!$B$6:$B$158&lt;=$A28)*(Events!$C$6:$C$158&gt;=$A28)*(Events!$E$6:$E$158="Loan")*(Events!$F$6:$F$158="Continental")*Events!$H$6:$H$158)</f>
        <v/>
      </c>
      <c r="C28" s="53">
        <f>E27*cont_repay</f>
        <v/>
      </c>
      <c r="D28" s="53">
        <f>0</f>
        <v/>
      </c>
      <c r="E28" s="53">
        <f>E27+B28-C28-D28</f>
        <v/>
      </c>
      <c r="F28" s="53">
        <f>E27*cont_coupon</f>
        <v/>
      </c>
      <c r="G28" s="53">
        <f>SUMPRODUCT((Events!$B$6:$B$158&lt;=$A28)*(Events!$C$6:$C$158&gt;=$A28)*(Events!$E$6:$E$158="Loan")*(Events!$F$6:$F$158="Asia")*Events!$H$6:$H$158)</f>
        <v/>
      </c>
      <c r="H28" s="53">
        <f>J27*asia_repay</f>
        <v/>
      </c>
      <c r="I28" s="53">
        <f>0</f>
        <v/>
      </c>
      <c r="J28" s="53">
        <f>J27+G28-H28-I28</f>
        <v/>
      </c>
      <c r="K28" s="53">
        <f>J27*asia_coupon</f>
        <v/>
      </c>
      <c r="L28" s="53">
        <f>SUMPRODUCT((Events!$B$6:$B$158&lt;=$A28)*(Events!$C$6:$C$158&gt;=$A28)*(Events!$E$6:$E$158="Loan")*(Events!$F$6:$F$158="Europe")*Events!$H$6:$H$158)</f>
        <v/>
      </c>
      <c r="M28" s="53">
        <f>O27*Paths!AA28</f>
        <v/>
      </c>
      <c r="N28" s="53">
        <f>IF($A28=1918,russia_writeoff*(O27+L28),0)</f>
        <v/>
      </c>
      <c r="O28" s="53">
        <f>O27+L28-M28-N28</f>
        <v/>
      </c>
      <c r="P28" s="53">
        <f>O27*Paths!Z28*Paths!AB28</f>
        <v/>
      </c>
      <c r="Q28" s="53">
        <f>SUMPRODUCT((Events!$B$6:$B$158&lt;=$A28)*(Events!$C$6:$C$158&gt;=$A28)*(Events!$E$6:$E$158="Loan")*(Events!$F$6:$F$158="Rescue")*Events!$H$6:$H$158)</f>
        <v/>
      </c>
      <c r="R28" s="53">
        <f>0</f>
        <v/>
      </c>
      <c r="S28" s="53">
        <f>0</f>
        <v/>
      </c>
      <c r="T28" s="53">
        <f>T27+Q28-R28-S28</f>
        <v/>
      </c>
      <c r="U28" s="53">
        <f>T27*rescue_coupon</f>
        <v/>
      </c>
      <c r="V28" s="53">
        <f>B28+G28+L28+Q28</f>
        <v/>
      </c>
      <c r="W28" s="53">
        <f>C28+H28+M28+R28</f>
        <v/>
      </c>
      <c r="X28" s="53">
        <f>E28+J28+O28+T28</f>
        <v/>
      </c>
      <c r="Y28" s="53">
        <f>F28+K28+P28+U28</f>
        <v/>
      </c>
    </row>
    <row r="29">
      <c r="A29" s="58" t="n">
        <v>1869</v>
      </c>
      <c r="B29" s="53">
        <f>SUMPRODUCT((Events!$B$6:$B$158&lt;=$A29)*(Events!$C$6:$C$158&gt;=$A29)*(Events!$E$6:$E$158="Loan")*(Events!$F$6:$F$158="Continental")*Events!$H$6:$H$158)</f>
        <v/>
      </c>
      <c r="C29" s="53">
        <f>E28*cont_repay</f>
        <v/>
      </c>
      <c r="D29" s="53">
        <f>0</f>
        <v/>
      </c>
      <c r="E29" s="53">
        <f>E28+B29-C29-D29</f>
        <v/>
      </c>
      <c r="F29" s="53">
        <f>E28*cont_coupon</f>
        <v/>
      </c>
      <c r="G29" s="53">
        <f>SUMPRODUCT((Events!$B$6:$B$158&lt;=$A29)*(Events!$C$6:$C$158&gt;=$A29)*(Events!$E$6:$E$158="Loan")*(Events!$F$6:$F$158="Asia")*Events!$H$6:$H$158)</f>
        <v/>
      </c>
      <c r="H29" s="53">
        <f>J28*asia_repay</f>
        <v/>
      </c>
      <c r="I29" s="53">
        <f>0</f>
        <v/>
      </c>
      <c r="J29" s="53">
        <f>J28+G29-H29-I29</f>
        <v/>
      </c>
      <c r="K29" s="53">
        <f>J28*asia_coupon</f>
        <v/>
      </c>
      <c r="L29" s="53">
        <f>SUMPRODUCT((Events!$B$6:$B$158&lt;=$A29)*(Events!$C$6:$C$158&gt;=$A29)*(Events!$E$6:$E$158="Loan")*(Events!$F$6:$F$158="Europe")*Events!$H$6:$H$158)</f>
        <v/>
      </c>
      <c r="M29" s="53">
        <f>O28*Paths!AA29</f>
        <v/>
      </c>
      <c r="N29" s="53">
        <f>IF($A29=1918,russia_writeoff*(O28+L29),0)</f>
        <v/>
      </c>
      <c r="O29" s="53">
        <f>O28+L29-M29-N29</f>
        <v/>
      </c>
      <c r="P29" s="53">
        <f>O28*Paths!Z29*Paths!AB29</f>
        <v/>
      </c>
      <c r="Q29" s="53">
        <f>SUMPRODUCT((Events!$B$6:$B$158&lt;=$A29)*(Events!$C$6:$C$158&gt;=$A29)*(Events!$E$6:$E$158="Loan")*(Events!$F$6:$F$158="Rescue")*Events!$H$6:$H$158)</f>
        <v/>
      </c>
      <c r="R29" s="53">
        <f>0</f>
        <v/>
      </c>
      <c r="S29" s="53">
        <f>0</f>
        <v/>
      </c>
      <c r="T29" s="53">
        <f>T28+Q29-R29-S29</f>
        <v/>
      </c>
      <c r="U29" s="53">
        <f>T28*rescue_coupon</f>
        <v/>
      </c>
      <c r="V29" s="53">
        <f>B29+G29+L29+Q29</f>
        <v/>
      </c>
      <c r="W29" s="53">
        <f>C29+H29+M29+R29</f>
        <v/>
      </c>
      <c r="X29" s="53">
        <f>E29+J29+O29+T29</f>
        <v/>
      </c>
      <c r="Y29" s="53">
        <f>F29+K29+P29+U29</f>
        <v/>
      </c>
    </row>
    <row r="30">
      <c r="A30" s="61" t="n">
        <v>1870</v>
      </c>
      <c r="B30" s="53">
        <f>SUMPRODUCT((Events!$B$6:$B$158&lt;=$A30)*(Events!$C$6:$C$158&gt;=$A30)*(Events!$E$6:$E$158="Loan")*(Events!$F$6:$F$158="Continental")*Events!$H$6:$H$158)</f>
        <v/>
      </c>
      <c r="C30" s="53">
        <f>E29*cont_repay</f>
        <v/>
      </c>
      <c r="D30" s="53">
        <f>0</f>
        <v/>
      </c>
      <c r="E30" s="53">
        <f>E29+B30-C30-D30</f>
        <v/>
      </c>
      <c r="F30" s="53">
        <f>E29*cont_coupon</f>
        <v/>
      </c>
      <c r="G30" s="53">
        <f>SUMPRODUCT((Events!$B$6:$B$158&lt;=$A30)*(Events!$C$6:$C$158&gt;=$A30)*(Events!$E$6:$E$158="Loan")*(Events!$F$6:$F$158="Asia")*Events!$H$6:$H$158)</f>
        <v/>
      </c>
      <c r="H30" s="53">
        <f>J29*asia_repay</f>
        <v/>
      </c>
      <c r="I30" s="53">
        <f>0</f>
        <v/>
      </c>
      <c r="J30" s="53">
        <f>J29+G30-H30-I30</f>
        <v/>
      </c>
      <c r="K30" s="53">
        <f>J29*asia_coupon</f>
        <v/>
      </c>
      <c r="L30" s="53">
        <f>SUMPRODUCT((Events!$B$6:$B$158&lt;=$A30)*(Events!$C$6:$C$158&gt;=$A30)*(Events!$E$6:$E$158="Loan")*(Events!$F$6:$F$158="Europe")*Events!$H$6:$H$158)</f>
        <v/>
      </c>
      <c r="M30" s="53">
        <f>O29*Paths!AA30</f>
        <v/>
      </c>
      <c r="N30" s="53">
        <f>IF($A30=1918,russia_writeoff*(O29+L30),0)</f>
        <v/>
      </c>
      <c r="O30" s="53">
        <f>O29+L30-M30-N30</f>
        <v/>
      </c>
      <c r="P30" s="53">
        <f>O29*Paths!Z30*Paths!AB30</f>
        <v/>
      </c>
      <c r="Q30" s="53">
        <f>SUMPRODUCT((Events!$B$6:$B$158&lt;=$A30)*(Events!$C$6:$C$158&gt;=$A30)*(Events!$E$6:$E$158="Loan")*(Events!$F$6:$F$158="Rescue")*Events!$H$6:$H$158)</f>
        <v/>
      </c>
      <c r="R30" s="53">
        <f>0</f>
        <v/>
      </c>
      <c r="S30" s="53">
        <f>0</f>
        <v/>
      </c>
      <c r="T30" s="53">
        <f>T29+Q30-R30-S30</f>
        <v/>
      </c>
      <c r="U30" s="53">
        <f>T29*rescue_coupon</f>
        <v/>
      </c>
      <c r="V30" s="53">
        <f>B30+G30+L30+Q30</f>
        <v/>
      </c>
      <c r="W30" s="53">
        <f>C30+H30+M30+R30</f>
        <v/>
      </c>
      <c r="X30" s="53">
        <f>E30+J30+O30+T30</f>
        <v/>
      </c>
      <c r="Y30" s="53">
        <f>F30+K30+P30+U30</f>
        <v/>
      </c>
    </row>
    <row r="31">
      <c r="A31" s="61" t="n">
        <v>1871</v>
      </c>
      <c r="B31" s="53">
        <f>SUMPRODUCT((Events!$B$6:$B$158&lt;=$A31)*(Events!$C$6:$C$158&gt;=$A31)*(Events!$E$6:$E$158="Loan")*(Events!$F$6:$F$158="Continental")*Events!$H$6:$H$158)</f>
        <v/>
      </c>
      <c r="C31" s="53">
        <f>E30*cont_repay</f>
        <v/>
      </c>
      <c r="D31" s="53">
        <f>0</f>
        <v/>
      </c>
      <c r="E31" s="53">
        <f>E30+B31-C31-D31</f>
        <v/>
      </c>
      <c r="F31" s="53">
        <f>E30*cont_coupon</f>
        <v/>
      </c>
      <c r="G31" s="53">
        <f>SUMPRODUCT((Events!$B$6:$B$158&lt;=$A31)*(Events!$C$6:$C$158&gt;=$A31)*(Events!$E$6:$E$158="Loan")*(Events!$F$6:$F$158="Asia")*Events!$H$6:$H$158)</f>
        <v/>
      </c>
      <c r="H31" s="53">
        <f>J30*asia_repay</f>
        <v/>
      </c>
      <c r="I31" s="53">
        <f>0</f>
        <v/>
      </c>
      <c r="J31" s="53">
        <f>J30+G31-H31-I31</f>
        <v/>
      </c>
      <c r="K31" s="53">
        <f>J30*asia_coupon</f>
        <v/>
      </c>
      <c r="L31" s="53">
        <f>SUMPRODUCT((Events!$B$6:$B$158&lt;=$A31)*(Events!$C$6:$C$158&gt;=$A31)*(Events!$E$6:$E$158="Loan")*(Events!$F$6:$F$158="Europe")*Events!$H$6:$H$158)</f>
        <v/>
      </c>
      <c r="M31" s="53">
        <f>O30*Paths!AA31</f>
        <v/>
      </c>
      <c r="N31" s="53">
        <f>IF($A31=1918,russia_writeoff*(O30+L31),0)</f>
        <v/>
      </c>
      <c r="O31" s="53">
        <f>O30+L31-M31-N31</f>
        <v/>
      </c>
      <c r="P31" s="53">
        <f>O30*Paths!Z31*Paths!AB31</f>
        <v/>
      </c>
      <c r="Q31" s="53">
        <f>SUMPRODUCT((Events!$B$6:$B$158&lt;=$A31)*(Events!$C$6:$C$158&gt;=$A31)*(Events!$E$6:$E$158="Loan")*(Events!$F$6:$F$158="Rescue")*Events!$H$6:$H$158)</f>
        <v/>
      </c>
      <c r="R31" s="53">
        <f>0</f>
        <v/>
      </c>
      <c r="S31" s="53">
        <f>0</f>
        <v/>
      </c>
      <c r="T31" s="53">
        <f>T30+Q31-R31-S31</f>
        <v/>
      </c>
      <c r="U31" s="53">
        <f>T30*rescue_coupon</f>
        <v/>
      </c>
      <c r="V31" s="53">
        <f>B31+G31+L31+Q31</f>
        <v/>
      </c>
      <c r="W31" s="53">
        <f>C31+H31+M31+R31</f>
        <v/>
      </c>
      <c r="X31" s="53">
        <f>E31+J31+O31+T31</f>
        <v/>
      </c>
      <c r="Y31" s="53">
        <f>F31+K31+P31+U31</f>
        <v/>
      </c>
    </row>
    <row r="32">
      <c r="A32" s="58" t="n">
        <v>1872</v>
      </c>
      <c r="B32" s="53">
        <f>SUMPRODUCT((Events!$B$6:$B$158&lt;=$A32)*(Events!$C$6:$C$158&gt;=$A32)*(Events!$E$6:$E$158="Loan")*(Events!$F$6:$F$158="Continental")*Events!$H$6:$H$158)</f>
        <v/>
      </c>
      <c r="C32" s="53">
        <f>E31*cont_repay</f>
        <v/>
      </c>
      <c r="D32" s="53">
        <f>0</f>
        <v/>
      </c>
      <c r="E32" s="53">
        <f>E31+B32-C32-D32</f>
        <v/>
      </c>
      <c r="F32" s="53">
        <f>E31*cont_coupon</f>
        <v/>
      </c>
      <c r="G32" s="53">
        <f>SUMPRODUCT((Events!$B$6:$B$158&lt;=$A32)*(Events!$C$6:$C$158&gt;=$A32)*(Events!$E$6:$E$158="Loan")*(Events!$F$6:$F$158="Asia")*Events!$H$6:$H$158)</f>
        <v/>
      </c>
      <c r="H32" s="53">
        <f>J31*asia_repay</f>
        <v/>
      </c>
      <c r="I32" s="53">
        <f>0</f>
        <v/>
      </c>
      <c r="J32" s="53">
        <f>J31+G32-H32-I32</f>
        <v/>
      </c>
      <c r="K32" s="53">
        <f>J31*asia_coupon</f>
        <v/>
      </c>
      <c r="L32" s="53">
        <f>SUMPRODUCT((Events!$B$6:$B$158&lt;=$A32)*(Events!$C$6:$C$158&gt;=$A32)*(Events!$E$6:$E$158="Loan")*(Events!$F$6:$F$158="Europe")*Events!$H$6:$H$158)</f>
        <v/>
      </c>
      <c r="M32" s="53">
        <f>O31*Paths!AA32</f>
        <v/>
      </c>
      <c r="N32" s="53">
        <f>IF($A32=1918,russia_writeoff*(O31+L32),0)</f>
        <v/>
      </c>
      <c r="O32" s="53">
        <f>O31+L32-M32-N32</f>
        <v/>
      </c>
      <c r="P32" s="53">
        <f>O31*Paths!Z32*Paths!AB32</f>
        <v/>
      </c>
      <c r="Q32" s="53">
        <f>SUMPRODUCT((Events!$B$6:$B$158&lt;=$A32)*(Events!$C$6:$C$158&gt;=$A32)*(Events!$E$6:$E$158="Loan")*(Events!$F$6:$F$158="Rescue")*Events!$H$6:$H$158)</f>
        <v/>
      </c>
      <c r="R32" s="53">
        <f>0</f>
        <v/>
      </c>
      <c r="S32" s="53">
        <f>0</f>
        <v/>
      </c>
      <c r="T32" s="53">
        <f>T31+Q32-R32-S32</f>
        <v/>
      </c>
      <c r="U32" s="53">
        <f>T31*rescue_coupon</f>
        <v/>
      </c>
      <c r="V32" s="53">
        <f>B32+G32+L32+Q32</f>
        <v/>
      </c>
      <c r="W32" s="53">
        <f>C32+H32+M32+R32</f>
        <v/>
      </c>
      <c r="X32" s="53">
        <f>E32+J32+O32+T32</f>
        <v/>
      </c>
      <c r="Y32" s="53">
        <f>F32+K32+P32+U32</f>
        <v/>
      </c>
    </row>
    <row r="33">
      <c r="A33" s="58" t="n">
        <v>1873</v>
      </c>
      <c r="B33" s="53">
        <f>SUMPRODUCT((Events!$B$6:$B$158&lt;=$A33)*(Events!$C$6:$C$158&gt;=$A33)*(Events!$E$6:$E$158="Loan")*(Events!$F$6:$F$158="Continental")*Events!$H$6:$H$158)</f>
        <v/>
      </c>
      <c r="C33" s="53">
        <f>E32*cont_repay</f>
        <v/>
      </c>
      <c r="D33" s="53">
        <f>0</f>
        <v/>
      </c>
      <c r="E33" s="53">
        <f>E32+B33-C33-D33</f>
        <v/>
      </c>
      <c r="F33" s="53">
        <f>E32*cont_coupon</f>
        <v/>
      </c>
      <c r="G33" s="53">
        <f>SUMPRODUCT((Events!$B$6:$B$158&lt;=$A33)*(Events!$C$6:$C$158&gt;=$A33)*(Events!$E$6:$E$158="Loan")*(Events!$F$6:$F$158="Asia")*Events!$H$6:$H$158)</f>
        <v/>
      </c>
      <c r="H33" s="53">
        <f>J32*asia_repay</f>
        <v/>
      </c>
      <c r="I33" s="53">
        <f>0</f>
        <v/>
      </c>
      <c r="J33" s="53">
        <f>J32+G33-H33-I33</f>
        <v/>
      </c>
      <c r="K33" s="53">
        <f>J32*asia_coupon</f>
        <v/>
      </c>
      <c r="L33" s="53">
        <f>SUMPRODUCT((Events!$B$6:$B$158&lt;=$A33)*(Events!$C$6:$C$158&gt;=$A33)*(Events!$E$6:$E$158="Loan")*(Events!$F$6:$F$158="Europe")*Events!$H$6:$H$158)</f>
        <v/>
      </c>
      <c r="M33" s="53">
        <f>O32*Paths!AA33</f>
        <v/>
      </c>
      <c r="N33" s="53">
        <f>IF($A33=1918,russia_writeoff*(O32+L33),0)</f>
        <v/>
      </c>
      <c r="O33" s="53">
        <f>O32+L33-M33-N33</f>
        <v/>
      </c>
      <c r="P33" s="53">
        <f>O32*Paths!Z33*Paths!AB33</f>
        <v/>
      </c>
      <c r="Q33" s="53">
        <f>SUMPRODUCT((Events!$B$6:$B$158&lt;=$A33)*(Events!$C$6:$C$158&gt;=$A33)*(Events!$E$6:$E$158="Loan")*(Events!$F$6:$F$158="Rescue")*Events!$H$6:$H$158)</f>
        <v/>
      </c>
      <c r="R33" s="53">
        <f>0</f>
        <v/>
      </c>
      <c r="S33" s="53">
        <f>0</f>
        <v/>
      </c>
      <c r="T33" s="53">
        <f>T32+Q33-R33-S33</f>
        <v/>
      </c>
      <c r="U33" s="53">
        <f>T32*rescue_coupon</f>
        <v/>
      </c>
      <c r="V33" s="53">
        <f>B33+G33+L33+Q33</f>
        <v/>
      </c>
      <c r="W33" s="53">
        <f>C33+H33+M33+R33</f>
        <v/>
      </c>
      <c r="X33" s="53">
        <f>E33+J33+O33+T33</f>
        <v/>
      </c>
      <c r="Y33" s="53">
        <f>F33+K33+P33+U33</f>
        <v/>
      </c>
    </row>
    <row r="34">
      <c r="A34" s="58" t="n">
        <v>1874</v>
      </c>
      <c r="B34" s="53">
        <f>SUMPRODUCT((Events!$B$6:$B$158&lt;=$A34)*(Events!$C$6:$C$158&gt;=$A34)*(Events!$E$6:$E$158="Loan")*(Events!$F$6:$F$158="Continental")*Events!$H$6:$H$158)</f>
        <v/>
      </c>
      <c r="C34" s="53">
        <f>E33*cont_repay</f>
        <v/>
      </c>
      <c r="D34" s="53">
        <f>0</f>
        <v/>
      </c>
      <c r="E34" s="53">
        <f>E33+B34-C34-D34</f>
        <v/>
      </c>
      <c r="F34" s="53">
        <f>E33*cont_coupon</f>
        <v/>
      </c>
      <c r="G34" s="53">
        <f>SUMPRODUCT((Events!$B$6:$B$158&lt;=$A34)*(Events!$C$6:$C$158&gt;=$A34)*(Events!$E$6:$E$158="Loan")*(Events!$F$6:$F$158="Asia")*Events!$H$6:$H$158)</f>
        <v/>
      </c>
      <c r="H34" s="53">
        <f>J33*asia_repay</f>
        <v/>
      </c>
      <c r="I34" s="53">
        <f>0</f>
        <v/>
      </c>
      <c r="J34" s="53">
        <f>J33+G34-H34-I34</f>
        <v/>
      </c>
      <c r="K34" s="53">
        <f>J33*asia_coupon</f>
        <v/>
      </c>
      <c r="L34" s="53">
        <f>SUMPRODUCT((Events!$B$6:$B$158&lt;=$A34)*(Events!$C$6:$C$158&gt;=$A34)*(Events!$E$6:$E$158="Loan")*(Events!$F$6:$F$158="Europe")*Events!$H$6:$H$158)</f>
        <v/>
      </c>
      <c r="M34" s="53">
        <f>O33*Paths!AA34</f>
        <v/>
      </c>
      <c r="N34" s="53">
        <f>IF($A34=1918,russia_writeoff*(O33+L34),0)</f>
        <v/>
      </c>
      <c r="O34" s="53">
        <f>O33+L34-M34-N34</f>
        <v/>
      </c>
      <c r="P34" s="53">
        <f>O33*Paths!Z34*Paths!AB34</f>
        <v/>
      </c>
      <c r="Q34" s="53">
        <f>SUMPRODUCT((Events!$B$6:$B$158&lt;=$A34)*(Events!$C$6:$C$158&gt;=$A34)*(Events!$E$6:$E$158="Loan")*(Events!$F$6:$F$158="Rescue")*Events!$H$6:$H$158)</f>
        <v/>
      </c>
      <c r="R34" s="53">
        <f>0</f>
        <v/>
      </c>
      <c r="S34" s="53">
        <f>0</f>
        <v/>
      </c>
      <c r="T34" s="53">
        <f>T33+Q34-R34-S34</f>
        <v/>
      </c>
      <c r="U34" s="53">
        <f>T33*rescue_coupon</f>
        <v/>
      </c>
      <c r="V34" s="53">
        <f>B34+G34+L34+Q34</f>
        <v/>
      </c>
      <c r="W34" s="53">
        <f>C34+H34+M34+R34</f>
        <v/>
      </c>
      <c r="X34" s="53">
        <f>E34+J34+O34+T34</f>
        <v/>
      </c>
      <c r="Y34" s="53">
        <f>F34+K34+P34+U34</f>
        <v/>
      </c>
    </row>
    <row r="35">
      <c r="A35" s="58" t="n">
        <v>1875</v>
      </c>
      <c r="B35" s="53">
        <f>SUMPRODUCT((Events!$B$6:$B$158&lt;=$A35)*(Events!$C$6:$C$158&gt;=$A35)*(Events!$E$6:$E$158="Loan")*(Events!$F$6:$F$158="Continental")*Events!$H$6:$H$158)</f>
        <v/>
      </c>
      <c r="C35" s="53">
        <f>E34*cont_repay</f>
        <v/>
      </c>
      <c r="D35" s="53">
        <f>0</f>
        <v/>
      </c>
      <c r="E35" s="53">
        <f>E34+B35-C35-D35</f>
        <v/>
      </c>
      <c r="F35" s="53">
        <f>E34*cont_coupon</f>
        <v/>
      </c>
      <c r="G35" s="53">
        <f>SUMPRODUCT((Events!$B$6:$B$158&lt;=$A35)*(Events!$C$6:$C$158&gt;=$A35)*(Events!$E$6:$E$158="Loan")*(Events!$F$6:$F$158="Asia")*Events!$H$6:$H$158)</f>
        <v/>
      </c>
      <c r="H35" s="53">
        <f>J34*asia_repay</f>
        <v/>
      </c>
      <c r="I35" s="53">
        <f>0</f>
        <v/>
      </c>
      <c r="J35" s="53">
        <f>J34+G35-H35-I35</f>
        <v/>
      </c>
      <c r="K35" s="53">
        <f>J34*asia_coupon</f>
        <v/>
      </c>
      <c r="L35" s="53">
        <f>SUMPRODUCT((Events!$B$6:$B$158&lt;=$A35)*(Events!$C$6:$C$158&gt;=$A35)*(Events!$E$6:$E$158="Loan")*(Events!$F$6:$F$158="Europe")*Events!$H$6:$H$158)</f>
        <v/>
      </c>
      <c r="M35" s="53">
        <f>O34*Paths!AA35</f>
        <v/>
      </c>
      <c r="N35" s="53">
        <f>IF($A35=1918,russia_writeoff*(O34+L35),0)</f>
        <v/>
      </c>
      <c r="O35" s="53">
        <f>O34+L35-M35-N35</f>
        <v/>
      </c>
      <c r="P35" s="53">
        <f>O34*Paths!Z35*Paths!AB35</f>
        <v/>
      </c>
      <c r="Q35" s="53">
        <f>SUMPRODUCT((Events!$B$6:$B$158&lt;=$A35)*(Events!$C$6:$C$158&gt;=$A35)*(Events!$E$6:$E$158="Loan")*(Events!$F$6:$F$158="Rescue")*Events!$H$6:$H$158)</f>
        <v/>
      </c>
      <c r="R35" s="53">
        <f>0</f>
        <v/>
      </c>
      <c r="S35" s="53">
        <f>0</f>
        <v/>
      </c>
      <c r="T35" s="53">
        <f>T34+Q35-R35-S35</f>
        <v/>
      </c>
      <c r="U35" s="53">
        <f>T34*rescue_coupon</f>
        <v/>
      </c>
      <c r="V35" s="53">
        <f>B35+G35+L35+Q35</f>
        <v/>
      </c>
      <c r="W35" s="53">
        <f>C35+H35+M35+R35</f>
        <v/>
      </c>
      <c r="X35" s="53">
        <f>E35+J35+O35+T35</f>
        <v/>
      </c>
      <c r="Y35" s="53">
        <f>F35+K35+P35+U35</f>
        <v/>
      </c>
    </row>
    <row r="36">
      <c r="A36" s="58" t="n">
        <v>1876</v>
      </c>
      <c r="B36" s="53">
        <f>SUMPRODUCT((Events!$B$6:$B$158&lt;=$A36)*(Events!$C$6:$C$158&gt;=$A36)*(Events!$E$6:$E$158="Loan")*(Events!$F$6:$F$158="Continental")*Events!$H$6:$H$158)</f>
        <v/>
      </c>
      <c r="C36" s="53">
        <f>E35*cont_repay</f>
        <v/>
      </c>
      <c r="D36" s="53">
        <f>0</f>
        <v/>
      </c>
      <c r="E36" s="53">
        <f>E35+B36-C36-D36</f>
        <v/>
      </c>
      <c r="F36" s="53">
        <f>E35*cont_coupon</f>
        <v/>
      </c>
      <c r="G36" s="53">
        <f>SUMPRODUCT((Events!$B$6:$B$158&lt;=$A36)*(Events!$C$6:$C$158&gt;=$A36)*(Events!$E$6:$E$158="Loan")*(Events!$F$6:$F$158="Asia")*Events!$H$6:$H$158)</f>
        <v/>
      </c>
      <c r="H36" s="53">
        <f>J35*asia_repay</f>
        <v/>
      </c>
      <c r="I36" s="53">
        <f>0</f>
        <v/>
      </c>
      <c r="J36" s="53">
        <f>J35+G36-H36-I36</f>
        <v/>
      </c>
      <c r="K36" s="53">
        <f>J35*asia_coupon</f>
        <v/>
      </c>
      <c r="L36" s="53">
        <f>SUMPRODUCT((Events!$B$6:$B$158&lt;=$A36)*(Events!$C$6:$C$158&gt;=$A36)*(Events!$E$6:$E$158="Loan")*(Events!$F$6:$F$158="Europe")*Events!$H$6:$H$158)</f>
        <v/>
      </c>
      <c r="M36" s="53">
        <f>O35*Paths!AA36</f>
        <v/>
      </c>
      <c r="N36" s="53">
        <f>IF($A36=1918,russia_writeoff*(O35+L36),0)</f>
        <v/>
      </c>
      <c r="O36" s="53">
        <f>O35+L36-M36-N36</f>
        <v/>
      </c>
      <c r="P36" s="53">
        <f>O35*Paths!Z36*Paths!AB36</f>
        <v/>
      </c>
      <c r="Q36" s="53">
        <f>SUMPRODUCT((Events!$B$6:$B$158&lt;=$A36)*(Events!$C$6:$C$158&gt;=$A36)*(Events!$E$6:$E$158="Loan")*(Events!$F$6:$F$158="Rescue")*Events!$H$6:$H$158)</f>
        <v/>
      </c>
      <c r="R36" s="53">
        <f>0</f>
        <v/>
      </c>
      <c r="S36" s="53">
        <f>0</f>
        <v/>
      </c>
      <c r="T36" s="53">
        <f>T35+Q36-R36-S36</f>
        <v/>
      </c>
      <c r="U36" s="53">
        <f>T35*rescue_coupon</f>
        <v/>
      </c>
      <c r="V36" s="53">
        <f>B36+G36+L36+Q36</f>
        <v/>
      </c>
      <c r="W36" s="53">
        <f>C36+H36+M36+R36</f>
        <v/>
      </c>
      <c r="X36" s="53">
        <f>E36+J36+O36+T36</f>
        <v/>
      </c>
      <c r="Y36" s="53">
        <f>F36+K36+P36+U36</f>
        <v/>
      </c>
    </row>
    <row r="37">
      <c r="A37" s="58" t="n">
        <v>1877</v>
      </c>
      <c r="B37" s="53">
        <f>SUMPRODUCT((Events!$B$6:$B$158&lt;=$A37)*(Events!$C$6:$C$158&gt;=$A37)*(Events!$E$6:$E$158="Loan")*(Events!$F$6:$F$158="Continental")*Events!$H$6:$H$158)</f>
        <v/>
      </c>
      <c r="C37" s="53">
        <f>E36*cont_repay</f>
        <v/>
      </c>
      <c r="D37" s="53">
        <f>0</f>
        <v/>
      </c>
      <c r="E37" s="53">
        <f>E36+B37-C37-D37</f>
        <v/>
      </c>
      <c r="F37" s="53">
        <f>E36*cont_coupon</f>
        <v/>
      </c>
      <c r="G37" s="53">
        <f>SUMPRODUCT((Events!$B$6:$B$158&lt;=$A37)*(Events!$C$6:$C$158&gt;=$A37)*(Events!$E$6:$E$158="Loan")*(Events!$F$6:$F$158="Asia")*Events!$H$6:$H$158)</f>
        <v/>
      </c>
      <c r="H37" s="53">
        <f>J36*asia_repay</f>
        <v/>
      </c>
      <c r="I37" s="53">
        <f>0</f>
        <v/>
      </c>
      <c r="J37" s="53">
        <f>J36+G37-H37-I37</f>
        <v/>
      </c>
      <c r="K37" s="53">
        <f>J36*asia_coupon</f>
        <v/>
      </c>
      <c r="L37" s="53">
        <f>SUMPRODUCT((Events!$B$6:$B$158&lt;=$A37)*(Events!$C$6:$C$158&gt;=$A37)*(Events!$E$6:$E$158="Loan")*(Events!$F$6:$F$158="Europe")*Events!$H$6:$H$158)</f>
        <v/>
      </c>
      <c r="M37" s="53">
        <f>O36*Paths!AA37</f>
        <v/>
      </c>
      <c r="N37" s="53">
        <f>IF($A37=1918,russia_writeoff*(O36+L37),0)</f>
        <v/>
      </c>
      <c r="O37" s="53">
        <f>O36+L37-M37-N37</f>
        <v/>
      </c>
      <c r="P37" s="53">
        <f>O36*Paths!Z37*Paths!AB37</f>
        <v/>
      </c>
      <c r="Q37" s="53">
        <f>SUMPRODUCT((Events!$B$6:$B$158&lt;=$A37)*(Events!$C$6:$C$158&gt;=$A37)*(Events!$E$6:$E$158="Loan")*(Events!$F$6:$F$158="Rescue")*Events!$H$6:$H$158)</f>
        <v/>
      </c>
      <c r="R37" s="53">
        <f>0</f>
        <v/>
      </c>
      <c r="S37" s="53">
        <f>0</f>
        <v/>
      </c>
      <c r="T37" s="53">
        <f>T36+Q37-R37-S37</f>
        <v/>
      </c>
      <c r="U37" s="53">
        <f>T36*rescue_coupon</f>
        <v/>
      </c>
      <c r="V37" s="53">
        <f>B37+G37+L37+Q37</f>
        <v/>
      </c>
      <c r="W37" s="53">
        <f>C37+H37+M37+R37</f>
        <v/>
      </c>
      <c r="X37" s="53">
        <f>E37+J37+O37+T37</f>
        <v/>
      </c>
      <c r="Y37" s="53">
        <f>F37+K37+P37+U37</f>
        <v/>
      </c>
    </row>
    <row r="38">
      <c r="A38" s="58" t="n">
        <v>1878</v>
      </c>
      <c r="B38" s="53">
        <f>SUMPRODUCT((Events!$B$6:$B$158&lt;=$A38)*(Events!$C$6:$C$158&gt;=$A38)*(Events!$E$6:$E$158="Loan")*(Events!$F$6:$F$158="Continental")*Events!$H$6:$H$158)</f>
        <v/>
      </c>
      <c r="C38" s="53">
        <f>E37*cont_repay</f>
        <v/>
      </c>
      <c r="D38" s="53">
        <f>0</f>
        <v/>
      </c>
      <c r="E38" s="53">
        <f>E37+B38-C38-D38</f>
        <v/>
      </c>
      <c r="F38" s="53">
        <f>E37*cont_coupon</f>
        <v/>
      </c>
      <c r="G38" s="53">
        <f>SUMPRODUCT((Events!$B$6:$B$158&lt;=$A38)*(Events!$C$6:$C$158&gt;=$A38)*(Events!$E$6:$E$158="Loan")*(Events!$F$6:$F$158="Asia")*Events!$H$6:$H$158)</f>
        <v/>
      </c>
      <c r="H38" s="53">
        <f>J37*asia_repay</f>
        <v/>
      </c>
      <c r="I38" s="53">
        <f>0</f>
        <v/>
      </c>
      <c r="J38" s="53">
        <f>J37+G38-H38-I38</f>
        <v/>
      </c>
      <c r="K38" s="53">
        <f>J37*asia_coupon</f>
        <v/>
      </c>
      <c r="L38" s="53">
        <f>SUMPRODUCT((Events!$B$6:$B$158&lt;=$A38)*(Events!$C$6:$C$158&gt;=$A38)*(Events!$E$6:$E$158="Loan")*(Events!$F$6:$F$158="Europe")*Events!$H$6:$H$158)</f>
        <v/>
      </c>
      <c r="M38" s="53">
        <f>O37*Paths!AA38</f>
        <v/>
      </c>
      <c r="N38" s="53">
        <f>IF($A38=1918,russia_writeoff*(O37+L38),0)</f>
        <v/>
      </c>
      <c r="O38" s="53">
        <f>O37+L38-M38-N38</f>
        <v/>
      </c>
      <c r="P38" s="53">
        <f>O37*Paths!Z38*Paths!AB38</f>
        <v/>
      </c>
      <c r="Q38" s="53">
        <f>SUMPRODUCT((Events!$B$6:$B$158&lt;=$A38)*(Events!$C$6:$C$158&gt;=$A38)*(Events!$E$6:$E$158="Loan")*(Events!$F$6:$F$158="Rescue")*Events!$H$6:$H$158)</f>
        <v/>
      </c>
      <c r="R38" s="53">
        <f>0</f>
        <v/>
      </c>
      <c r="S38" s="53">
        <f>0</f>
        <v/>
      </c>
      <c r="T38" s="53">
        <f>T37+Q38-R38-S38</f>
        <v/>
      </c>
      <c r="U38" s="53">
        <f>T37*rescue_coupon</f>
        <v/>
      </c>
      <c r="V38" s="53">
        <f>B38+G38+L38+Q38</f>
        <v/>
      </c>
      <c r="W38" s="53">
        <f>C38+H38+M38+R38</f>
        <v/>
      </c>
      <c r="X38" s="53">
        <f>E38+J38+O38+T38</f>
        <v/>
      </c>
      <c r="Y38" s="53">
        <f>F38+K38+P38+U38</f>
        <v/>
      </c>
    </row>
    <row r="39">
      <c r="A39" s="58" t="n">
        <v>1879</v>
      </c>
      <c r="B39" s="53">
        <f>SUMPRODUCT((Events!$B$6:$B$158&lt;=$A39)*(Events!$C$6:$C$158&gt;=$A39)*(Events!$E$6:$E$158="Loan")*(Events!$F$6:$F$158="Continental")*Events!$H$6:$H$158)</f>
        <v/>
      </c>
      <c r="C39" s="53">
        <f>E38*cont_repay</f>
        <v/>
      </c>
      <c r="D39" s="53">
        <f>0</f>
        <v/>
      </c>
      <c r="E39" s="53">
        <f>E38+B39-C39-D39</f>
        <v/>
      </c>
      <c r="F39" s="53">
        <f>E38*cont_coupon</f>
        <v/>
      </c>
      <c r="G39" s="53">
        <f>SUMPRODUCT((Events!$B$6:$B$158&lt;=$A39)*(Events!$C$6:$C$158&gt;=$A39)*(Events!$E$6:$E$158="Loan")*(Events!$F$6:$F$158="Asia")*Events!$H$6:$H$158)</f>
        <v/>
      </c>
      <c r="H39" s="53">
        <f>J38*asia_repay</f>
        <v/>
      </c>
      <c r="I39" s="53">
        <f>0</f>
        <v/>
      </c>
      <c r="J39" s="53">
        <f>J38+G39-H39-I39</f>
        <v/>
      </c>
      <c r="K39" s="53">
        <f>J38*asia_coupon</f>
        <v/>
      </c>
      <c r="L39" s="53">
        <f>SUMPRODUCT((Events!$B$6:$B$158&lt;=$A39)*(Events!$C$6:$C$158&gt;=$A39)*(Events!$E$6:$E$158="Loan")*(Events!$F$6:$F$158="Europe")*Events!$H$6:$H$158)</f>
        <v/>
      </c>
      <c r="M39" s="53">
        <f>O38*Paths!AA39</f>
        <v/>
      </c>
      <c r="N39" s="53">
        <f>IF($A39=1918,russia_writeoff*(O38+L39),0)</f>
        <v/>
      </c>
      <c r="O39" s="53">
        <f>O38+L39-M39-N39</f>
        <v/>
      </c>
      <c r="P39" s="53">
        <f>O38*Paths!Z39*Paths!AB39</f>
        <v/>
      </c>
      <c r="Q39" s="53">
        <f>SUMPRODUCT((Events!$B$6:$B$158&lt;=$A39)*(Events!$C$6:$C$158&gt;=$A39)*(Events!$E$6:$E$158="Loan")*(Events!$F$6:$F$158="Rescue")*Events!$H$6:$H$158)</f>
        <v/>
      </c>
      <c r="R39" s="53">
        <f>0</f>
        <v/>
      </c>
      <c r="S39" s="53">
        <f>0</f>
        <v/>
      </c>
      <c r="T39" s="53">
        <f>T38+Q39-R39-S39</f>
        <v/>
      </c>
      <c r="U39" s="53">
        <f>T38*rescue_coupon</f>
        <v/>
      </c>
      <c r="V39" s="53">
        <f>B39+G39+L39+Q39</f>
        <v/>
      </c>
      <c r="W39" s="53">
        <f>C39+H39+M39+R39</f>
        <v/>
      </c>
      <c r="X39" s="53">
        <f>E39+J39+O39+T39</f>
        <v/>
      </c>
      <c r="Y39" s="53">
        <f>F39+K39+P39+U39</f>
        <v/>
      </c>
    </row>
    <row r="40">
      <c r="A40" s="58" t="n">
        <v>1880</v>
      </c>
      <c r="B40" s="53">
        <f>SUMPRODUCT((Events!$B$6:$B$158&lt;=$A40)*(Events!$C$6:$C$158&gt;=$A40)*(Events!$E$6:$E$158="Loan")*(Events!$F$6:$F$158="Continental")*Events!$H$6:$H$158)</f>
        <v/>
      </c>
      <c r="C40" s="53">
        <f>E39*cont_repay</f>
        <v/>
      </c>
      <c r="D40" s="53">
        <f>0</f>
        <v/>
      </c>
      <c r="E40" s="53">
        <f>E39+B40-C40-D40</f>
        <v/>
      </c>
      <c r="F40" s="53">
        <f>E39*cont_coupon</f>
        <v/>
      </c>
      <c r="G40" s="53">
        <f>SUMPRODUCT((Events!$B$6:$B$158&lt;=$A40)*(Events!$C$6:$C$158&gt;=$A40)*(Events!$E$6:$E$158="Loan")*(Events!$F$6:$F$158="Asia")*Events!$H$6:$H$158)</f>
        <v/>
      </c>
      <c r="H40" s="53">
        <f>J39*asia_repay</f>
        <v/>
      </c>
      <c r="I40" s="53">
        <f>0</f>
        <v/>
      </c>
      <c r="J40" s="53">
        <f>J39+G40-H40-I40</f>
        <v/>
      </c>
      <c r="K40" s="53">
        <f>J39*asia_coupon</f>
        <v/>
      </c>
      <c r="L40" s="53">
        <f>SUMPRODUCT((Events!$B$6:$B$158&lt;=$A40)*(Events!$C$6:$C$158&gt;=$A40)*(Events!$E$6:$E$158="Loan")*(Events!$F$6:$F$158="Europe")*Events!$H$6:$H$158)</f>
        <v/>
      </c>
      <c r="M40" s="53">
        <f>O39*Paths!AA40</f>
        <v/>
      </c>
      <c r="N40" s="53">
        <f>IF($A40=1918,russia_writeoff*(O39+L40),0)</f>
        <v/>
      </c>
      <c r="O40" s="53">
        <f>O39+L40-M40-N40</f>
        <v/>
      </c>
      <c r="P40" s="53">
        <f>O39*Paths!Z40*Paths!AB40</f>
        <v/>
      </c>
      <c r="Q40" s="53">
        <f>SUMPRODUCT((Events!$B$6:$B$158&lt;=$A40)*(Events!$C$6:$C$158&gt;=$A40)*(Events!$E$6:$E$158="Loan")*(Events!$F$6:$F$158="Rescue")*Events!$H$6:$H$158)</f>
        <v/>
      </c>
      <c r="R40" s="53">
        <f>0</f>
        <v/>
      </c>
      <c r="S40" s="53">
        <f>0</f>
        <v/>
      </c>
      <c r="T40" s="53">
        <f>T39+Q40-R40-S40</f>
        <v/>
      </c>
      <c r="U40" s="53">
        <f>T39*rescue_coupon</f>
        <v/>
      </c>
      <c r="V40" s="53">
        <f>B40+G40+L40+Q40</f>
        <v/>
      </c>
      <c r="W40" s="53">
        <f>C40+H40+M40+R40</f>
        <v/>
      </c>
      <c r="X40" s="53">
        <f>E40+J40+O40+T40</f>
        <v/>
      </c>
      <c r="Y40" s="53">
        <f>F40+K40+P40+U40</f>
        <v/>
      </c>
    </row>
    <row r="41">
      <c r="A41" s="58" t="n">
        <v>1881</v>
      </c>
      <c r="B41" s="53">
        <f>SUMPRODUCT((Events!$B$6:$B$158&lt;=$A41)*(Events!$C$6:$C$158&gt;=$A41)*(Events!$E$6:$E$158="Loan")*(Events!$F$6:$F$158="Continental")*Events!$H$6:$H$158)</f>
        <v/>
      </c>
      <c r="C41" s="53">
        <f>E40*cont_repay</f>
        <v/>
      </c>
      <c r="D41" s="53">
        <f>0</f>
        <v/>
      </c>
      <c r="E41" s="53">
        <f>E40+B41-C41-D41</f>
        <v/>
      </c>
      <c r="F41" s="53">
        <f>E40*cont_coupon</f>
        <v/>
      </c>
      <c r="G41" s="53">
        <f>SUMPRODUCT((Events!$B$6:$B$158&lt;=$A41)*(Events!$C$6:$C$158&gt;=$A41)*(Events!$E$6:$E$158="Loan")*(Events!$F$6:$F$158="Asia")*Events!$H$6:$H$158)</f>
        <v/>
      </c>
      <c r="H41" s="53">
        <f>J40*asia_repay</f>
        <v/>
      </c>
      <c r="I41" s="53">
        <f>0</f>
        <v/>
      </c>
      <c r="J41" s="53">
        <f>J40+G41-H41-I41</f>
        <v/>
      </c>
      <c r="K41" s="53">
        <f>J40*asia_coupon</f>
        <v/>
      </c>
      <c r="L41" s="53">
        <f>SUMPRODUCT((Events!$B$6:$B$158&lt;=$A41)*(Events!$C$6:$C$158&gt;=$A41)*(Events!$E$6:$E$158="Loan")*(Events!$F$6:$F$158="Europe")*Events!$H$6:$H$158)</f>
        <v/>
      </c>
      <c r="M41" s="53">
        <f>O40*Paths!AA41</f>
        <v/>
      </c>
      <c r="N41" s="53">
        <f>IF($A41=1918,russia_writeoff*(O40+L41),0)</f>
        <v/>
      </c>
      <c r="O41" s="53">
        <f>O40+L41-M41-N41</f>
        <v/>
      </c>
      <c r="P41" s="53">
        <f>O40*Paths!Z41*Paths!AB41</f>
        <v/>
      </c>
      <c r="Q41" s="53">
        <f>SUMPRODUCT((Events!$B$6:$B$158&lt;=$A41)*(Events!$C$6:$C$158&gt;=$A41)*(Events!$E$6:$E$158="Loan")*(Events!$F$6:$F$158="Rescue")*Events!$H$6:$H$158)</f>
        <v/>
      </c>
      <c r="R41" s="53">
        <f>0</f>
        <v/>
      </c>
      <c r="S41" s="53">
        <f>0</f>
        <v/>
      </c>
      <c r="T41" s="53">
        <f>T40+Q41-R41-S41</f>
        <v/>
      </c>
      <c r="U41" s="53">
        <f>T40*rescue_coupon</f>
        <v/>
      </c>
      <c r="V41" s="53">
        <f>B41+G41+L41+Q41</f>
        <v/>
      </c>
      <c r="W41" s="53">
        <f>C41+H41+M41+R41</f>
        <v/>
      </c>
      <c r="X41" s="53">
        <f>E41+J41+O41+T41</f>
        <v/>
      </c>
      <c r="Y41" s="53">
        <f>F41+K41+P41+U41</f>
        <v/>
      </c>
    </row>
    <row r="42">
      <c r="A42" s="58" t="n">
        <v>1882</v>
      </c>
      <c r="B42" s="53">
        <f>SUMPRODUCT((Events!$B$6:$B$158&lt;=$A42)*(Events!$C$6:$C$158&gt;=$A42)*(Events!$E$6:$E$158="Loan")*(Events!$F$6:$F$158="Continental")*Events!$H$6:$H$158)</f>
        <v/>
      </c>
      <c r="C42" s="53">
        <f>E41*cont_repay</f>
        <v/>
      </c>
      <c r="D42" s="53">
        <f>0</f>
        <v/>
      </c>
      <c r="E42" s="53">
        <f>E41+B42-C42-D42</f>
        <v/>
      </c>
      <c r="F42" s="53">
        <f>E41*cont_coupon</f>
        <v/>
      </c>
      <c r="G42" s="53">
        <f>SUMPRODUCT((Events!$B$6:$B$158&lt;=$A42)*(Events!$C$6:$C$158&gt;=$A42)*(Events!$E$6:$E$158="Loan")*(Events!$F$6:$F$158="Asia")*Events!$H$6:$H$158)</f>
        <v/>
      </c>
      <c r="H42" s="53">
        <f>J41*asia_repay</f>
        <v/>
      </c>
      <c r="I42" s="53">
        <f>0</f>
        <v/>
      </c>
      <c r="J42" s="53">
        <f>J41+G42-H42-I42</f>
        <v/>
      </c>
      <c r="K42" s="53">
        <f>J41*asia_coupon</f>
        <v/>
      </c>
      <c r="L42" s="53">
        <f>SUMPRODUCT((Events!$B$6:$B$158&lt;=$A42)*(Events!$C$6:$C$158&gt;=$A42)*(Events!$E$6:$E$158="Loan")*(Events!$F$6:$F$158="Europe")*Events!$H$6:$H$158)</f>
        <v/>
      </c>
      <c r="M42" s="53">
        <f>O41*Paths!AA42</f>
        <v/>
      </c>
      <c r="N42" s="53">
        <f>IF($A42=1918,russia_writeoff*(O41+L42),0)</f>
        <v/>
      </c>
      <c r="O42" s="53">
        <f>O41+L42-M42-N42</f>
        <v/>
      </c>
      <c r="P42" s="53">
        <f>O41*Paths!Z42*Paths!AB42</f>
        <v/>
      </c>
      <c r="Q42" s="53">
        <f>SUMPRODUCT((Events!$B$6:$B$158&lt;=$A42)*(Events!$C$6:$C$158&gt;=$A42)*(Events!$E$6:$E$158="Loan")*(Events!$F$6:$F$158="Rescue")*Events!$H$6:$H$158)</f>
        <v/>
      </c>
      <c r="R42" s="53">
        <f>0</f>
        <v/>
      </c>
      <c r="S42" s="53">
        <f>0</f>
        <v/>
      </c>
      <c r="T42" s="53">
        <f>T41+Q42-R42-S42</f>
        <v/>
      </c>
      <c r="U42" s="53">
        <f>T41*rescue_coupon</f>
        <v/>
      </c>
      <c r="V42" s="53">
        <f>B42+G42+L42+Q42</f>
        <v/>
      </c>
      <c r="W42" s="53">
        <f>C42+H42+M42+R42</f>
        <v/>
      </c>
      <c r="X42" s="53">
        <f>E42+J42+O42+T42</f>
        <v/>
      </c>
      <c r="Y42" s="53">
        <f>F42+K42+P42+U42</f>
        <v/>
      </c>
    </row>
    <row r="43">
      <c r="A43" s="58" t="n">
        <v>1883</v>
      </c>
      <c r="B43" s="53">
        <f>SUMPRODUCT((Events!$B$6:$B$158&lt;=$A43)*(Events!$C$6:$C$158&gt;=$A43)*(Events!$E$6:$E$158="Loan")*(Events!$F$6:$F$158="Continental")*Events!$H$6:$H$158)</f>
        <v/>
      </c>
      <c r="C43" s="53">
        <f>E42*cont_repay</f>
        <v/>
      </c>
      <c r="D43" s="53">
        <f>0</f>
        <v/>
      </c>
      <c r="E43" s="53">
        <f>E42+B43-C43-D43</f>
        <v/>
      </c>
      <c r="F43" s="53">
        <f>E42*cont_coupon</f>
        <v/>
      </c>
      <c r="G43" s="53">
        <f>SUMPRODUCT((Events!$B$6:$B$158&lt;=$A43)*(Events!$C$6:$C$158&gt;=$A43)*(Events!$E$6:$E$158="Loan")*(Events!$F$6:$F$158="Asia")*Events!$H$6:$H$158)</f>
        <v/>
      </c>
      <c r="H43" s="53">
        <f>J42*asia_repay</f>
        <v/>
      </c>
      <c r="I43" s="53">
        <f>0</f>
        <v/>
      </c>
      <c r="J43" s="53">
        <f>J42+G43-H43-I43</f>
        <v/>
      </c>
      <c r="K43" s="53">
        <f>J42*asia_coupon</f>
        <v/>
      </c>
      <c r="L43" s="53">
        <f>SUMPRODUCT((Events!$B$6:$B$158&lt;=$A43)*(Events!$C$6:$C$158&gt;=$A43)*(Events!$E$6:$E$158="Loan")*(Events!$F$6:$F$158="Europe")*Events!$H$6:$H$158)</f>
        <v/>
      </c>
      <c r="M43" s="53">
        <f>O42*Paths!AA43</f>
        <v/>
      </c>
      <c r="N43" s="53">
        <f>IF($A43=1918,russia_writeoff*(O42+L43),0)</f>
        <v/>
      </c>
      <c r="O43" s="53">
        <f>O42+L43-M43-N43</f>
        <v/>
      </c>
      <c r="P43" s="53">
        <f>O42*Paths!Z43*Paths!AB43</f>
        <v/>
      </c>
      <c r="Q43" s="53">
        <f>SUMPRODUCT((Events!$B$6:$B$158&lt;=$A43)*(Events!$C$6:$C$158&gt;=$A43)*(Events!$E$6:$E$158="Loan")*(Events!$F$6:$F$158="Rescue")*Events!$H$6:$H$158)</f>
        <v/>
      </c>
      <c r="R43" s="53">
        <f>0</f>
        <v/>
      </c>
      <c r="S43" s="53">
        <f>0</f>
        <v/>
      </c>
      <c r="T43" s="53">
        <f>T42+Q43-R43-S43</f>
        <v/>
      </c>
      <c r="U43" s="53">
        <f>T42*rescue_coupon</f>
        <v/>
      </c>
      <c r="V43" s="53">
        <f>B43+G43+L43+Q43</f>
        <v/>
      </c>
      <c r="W43" s="53">
        <f>C43+H43+M43+R43</f>
        <v/>
      </c>
      <c r="X43" s="53">
        <f>E43+J43+O43+T43</f>
        <v/>
      </c>
      <c r="Y43" s="53">
        <f>F43+K43+P43+U43</f>
        <v/>
      </c>
    </row>
    <row r="44">
      <c r="A44" s="58" t="n">
        <v>1884</v>
      </c>
      <c r="B44" s="53">
        <f>SUMPRODUCT((Events!$B$6:$B$158&lt;=$A44)*(Events!$C$6:$C$158&gt;=$A44)*(Events!$E$6:$E$158="Loan")*(Events!$F$6:$F$158="Continental")*Events!$H$6:$H$158)</f>
        <v/>
      </c>
      <c r="C44" s="53">
        <f>E43*cont_repay</f>
        <v/>
      </c>
      <c r="D44" s="53">
        <f>0</f>
        <v/>
      </c>
      <c r="E44" s="53">
        <f>E43+B44-C44-D44</f>
        <v/>
      </c>
      <c r="F44" s="53">
        <f>E43*cont_coupon</f>
        <v/>
      </c>
      <c r="G44" s="53">
        <f>SUMPRODUCT((Events!$B$6:$B$158&lt;=$A44)*(Events!$C$6:$C$158&gt;=$A44)*(Events!$E$6:$E$158="Loan")*(Events!$F$6:$F$158="Asia")*Events!$H$6:$H$158)</f>
        <v/>
      </c>
      <c r="H44" s="53">
        <f>J43*asia_repay</f>
        <v/>
      </c>
      <c r="I44" s="53">
        <f>0</f>
        <v/>
      </c>
      <c r="J44" s="53">
        <f>J43+G44-H44-I44</f>
        <v/>
      </c>
      <c r="K44" s="53">
        <f>J43*asia_coupon</f>
        <v/>
      </c>
      <c r="L44" s="53">
        <f>SUMPRODUCT((Events!$B$6:$B$158&lt;=$A44)*(Events!$C$6:$C$158&gt;=$A44)*(Events!$E$6:$E$158="Loan")*(Events!$F$6:$F$158="Europe")*Events!$H$6:$H$158)</f>
        <v/>
      </c>
      <c r="M44" s="53">
        <f>O43*Paths!AA44</f>
        <v/>
      </c>
      <c r="N44" s="53">
        <f>IF($A44=1918,russia_writeoff*(O43+L44),0)</f>
        <v/>
      </c>
      <c r="O44" s="53">
        <f>O43+L44-M44-N44</f>
        <v/>
      </c>
      <c r="P44" s="53">
        <f>O43*Paths!Z44*Paths!AB44</f>
        <v/>
      </c>
      <c r="Q44" s="53">
        <f>SUMPRODUCT((Events!$B$6:$B$158&lt;=$A44)*(Events!$C$6:$C$158&gt;=$A44)*(Events!$E$6:$E$158="Loan")*(Events!$F$6:$F$158="Rescue")*Events!$H$6:$H$158)</f>
        <v/>
      </c>
      <c r="R44" s="53">
        <f>0</f>
        <v/>
      </c>
      <c r="S44" s="53">
        <f>0</f>
        <v/>
      </c>
      <c r="T44" s="53">
        <f>T43+Q44-R44-S44</f>
        <v/>
      </c>
      <c r="U44" s="53">
        <f>T43*rescue_coupon</f>
        <v/>
      </c>
      <c r="V44" s="53">
        <f>B44+G44+L44+Q44</f>
        <v/>
      </c>
      <c r="W44" s="53">
        <f>C44+H44+M44+R44</f>
        <v/>
      </c>
      <c r="X44" s="53">
        <f>E44+J44+O44+T44</f>
        <v/>
      </c>
      <c r="Y44" s="53">
        <f>F44+K44+P44+U44</f>
        <v/>
      </c>
    </row>
    <row r="45">
      <c r="A45" s="58" t="n">
        <v>1885</v>
      </c>
      <c r="B45" s="53">
        <f>SUMPRODUCT((Events!$B$6:$B$158&lt;=$A45)*(Events!$C$6:$C$158&gt;=$A45)*(Events!$E$6:$E$158="Loan")*(Events!$F$6:$F$158="Continental")*Events!$H$6:$H$158)</f>
        <v/>
      </c>
      <c r="C45" s="53">
        <f>E44*cont_repay</f>
        <v/>
      </c>
      <c r="D45" s="53">
        <f>0</f>
        <v/>
      </c>
      <c r="E45" s="53">
        <f>E44+B45-C45-D45</f>
        <v/>
      </c>
      <c r="F45" s="53">
        <f>E44*cont_coupon</f>
        <v/>
      </c>
      <c r="G45" s="53">
        <f>SUMPRODUCT((Events!$B$6:$B$158&lt;=$A45)*(Events!$C$6:$C$158&gt;=$A45)*(Events!$E$6:$E$158="Loan")*(Events!$F$6:$F$158="Asia")*Events!$H$6:$H$158)</f>
        <v/>
      </c>
      <c r="H45" s="53">
        <f>J44*asia_repay</f>
        <v/>
      </c>
      <c r="I45" s="53">
        <f>0</f>
        <v/>
      </c>
      <c r="J45" s="53">
        <f>J44+G45-H45-I45</f>
        <v/>
      </c>
      <c r="K45" s="53">
        <f>J44*asia_coupon</f>
        <v/>
      </c>
      <c r="L45" s="53">
        <f>SUMPRODUCT((Events!$B$6:$B$158&lt;=$A45)*(Events!$C$6:$C$158&gt;=$A45)*(Events!$E$6:$E$158="Loan")*(Events!$F$6:$F$158="Europe")*Events!$H$6:$H$158)</f>
        <v/>
      </c>
      <c r="M45" s="53">
        <f>O44*Paths!AA45</f>
        <v/>
      </c>
      <c r="N45" s="53">
        <f>IF($A45=1918,russia_writeoff*(O44+L45),0)</f>
        <v/>
      </c>
      <c r="O45" s="53">
        <f>O44+L45-M45-N45</f>
        <v/>
      </c>
      <c r="P45" s="53">
        <f>O44*Paths!Z45*Paths!AB45</f>
        <v/>
      </c>
      <c r="Q45" s="53">
        <f>SUMPRODUCT((Events!$B$6:$B$158&lt;=$A45)*(Events!$C$6:$C$158&gt;=$A45)*(Events!$E$6:$E$158="Loan")*(Events!$F$6:$F$158="Rescue")*Events!$H$6:$H$158)</f>
        <v/>
      </c>
      <c r="R45" s="53">
        <f>0</f>
        <v/>
      </c>
      <c r="S45" s="53">
        <f>0</f>
        <v/>
      </c>
      <c r="T45" s="53">
        <f>T44+Q45-R45-S45</f>
        <v/>
      </c>
      <c r="U45" s="53">
        <f>T44*rescue_coupon</f>
        <v/>
      </c>
      <c r="V45" s="53">
        <f>B45+G45+L45+Q45</f>
        <v/>
      </c>
      <c r="W45" s="53">
        <f>C45+H45+M45+R45</f>
        <v/>
      </c>
      <c r="X45" s="53">
        <f>E45+J45+O45+T45</f>
        <v/>
      </c>
      <c r="Y45" s="53">
        <f>F45+K45+P45+U45</f>
        <v/>
      </c>
    </row>
    <row r="46">
      <c r="A46" s="58" t="n">
        <v>1886</v>
      </c>
      <c r="B46" s="53">
        <f>SUMPRODUCT((Events!$B$6:$B$158&lt;=$A46)*(Events!$C$6:$C$158&gt;=$A46)*(Events!$E$6:$E$158="Loan")*(Events!$F$6:$F$158="Continental")*Events!$H$6:$H$158)</f>
        <v/>
      </c>
      <c r="C46" s="53">
        <f>E45*cont_repay</f>
        <v/>
      </c>
      <c r="D46" s="53">
        <f>0</f>
        <v/>
      </c>
      <c r="E46" s="53">
        <f>E45+B46-C46-D46</f>
        <v/>
      </c>
      <c r="F46" s="53">
        <f>E45*cont_coupon</f>
        <v/>
      </c>
      <c r="G46" s="53">
        <f>SUMPRODUCT((Events!$B$6:$B$158&lt;=$A46)*(Events!$C$6:$C$158&gt;=$A46)*(Events!$E$6:$E$158="Loan")*(Events!$F$6:$F$158="Asia")*Events!$H$6:$H$158)</f>
        <v/>
      </c>
      <c r="H46" s="53">
        <f>J45*asia_repay</f>
        <v/>
      </c>
      <c r="I46" s="53">
        <f>0</f>
        <v/>
      </c>
      <c r="J46" s="53">
        <f>J45+G46-H46-I46</f>
        <v/>
      </c>
      <c r="K46" s="53">
        <f>J45*asia_coupon</f>
        <v/>
      </c>
      <c r="L46" s="53">
        <f>SUMPRODUCT((Events!$B$6:$B$158&lt;=$A46)*(Events!$C$6:$C$158&gt;=$A46)*(Events!$E$6:$E$158="Loan")*(Events!$F$6:$F$158="Europe")*Events!$H$6:$H$158)</f>
        <v/>
      </c>
      <c r="M46" s="53">
        <f>O45*Paths!AA46</f>
        <v/>
      </c>
      <c r="N46" s="53">
        <f>IF($A46=1918,russia_writeoff*(O45+L46),0)</f>
        <v/>
      </c>
      <c r="O46" s="53">
        <f>O45+L46-M46-N46</f>
        <v/>
      </c>
      <c r="P46" s="53">
        <f>O45*Paths!Z46*Paths!AB46</f>
        <v/>
      </c>
      <c r="Q46" s="53">
        <f>SUMPRODUCT((Events!$B$6:$B$158&lt;=$A46)*(Events!$C$6:$C$158&gt;=$A46)*(Events!$E$6:$E$158="Loan")*(Events!$F$6:$F$158="Rescue")*Events!$H$6:$H$158)</f>
        <v/>
      </c>
      <c r="R46" s="53">
        <f>0</f>
        <v/>
      </c>
      <c r="S46" s="53">
        <f>0</f>
        <v/>
      </c>
      <c r="T46" s="53">
        <f>T45+Q46-R46-S46</f>
        <v/>
      </c>
      <c r="U46" s="53">
        <f>T45*rescue_coupon</f>
        <v/>
      </c>
      <c r="V46" s="53">
        <f>B46+G46+L46+Q46</f>
        <v/>
      </c>
      <c r="W46" s="53">
        <f>C46+H46+M46+R46</f>
        <v/>
      </c>
      <c r="X46" s="53">
        <f>E46+J46+O46+T46</f>
        <v/>
      </c>
      <c r="Y46" s="53">
        <f>F46+K46+P46+U46</f>
        <v/>
      </c>
    </row>
    <row r="47">
      <c r="A47" s="58" t="n">
        <v>1887</v>
      </c>
      <c r="B47" s="53">
        <f>SUMPRODUCT((Events!$B$6:$B$158&lt;=$A47)*(Events!$C$6:$C$158&gt;=$A47)*(Events!$E$6:$E$158="Loan")*(Events!$F$6:$F$158="Continental")*Events!$H$6:$H$158)</f>
        <v/>
      </c>
      <c r="C47" s="53">
        <f>E46*cont_repay</f>
        <v/>
      </c>
      <c r="D47" s="53">
        <f>0</f>
        <v/>
      </c>
      <c r="E47" s="53">
        <f>E46+B47-C47-D47</f>
        <v/>
      </c>
      <c r="F47" s="53">
        <f>E46*cont_coupon</f>
        <v/>
      </c>
      <c r="G47" s="53">
        <f>SUMPRODUCT((Events!$B$6:$B$158&lt;=$A47)*(Events!$C$6:$C$158&gt;=$A47)*(Events!$E$6:$E$158="Loan")*(Events!$F$6:$F$158="Asia")*Events!$H$6:$H$158)</f>
        <v/>
      </c>
      <c r="H47" s="53">
        <f>J46*asia_repay</f>
        <v/>
      </c>
      <c r="I47" s="53">
        <f>0</f>
        <v/>
      </c>
      <c r="J47" s="53">
        <f>J46+G47-H47-I47</f>
        <v/>
      </c>
      <c r="K47" s="53">
        <f>J46*asia_coupon</f>
        <v/>
      </c>
      <c r="L47" s="53">
        <f>SUMPRODUCT((Events!$B$6:$B$158&lt;=$A47)*(Events!$C$6:$C$158&gt;=$A47)*(Events!$E$6:$E$158="Loan")*(Events!$F$6:$F$158="Europe")*Events!$H$6:$H$158)</f>
        <v/>
      </c>
      <c r="M47" s="53">
        <f>O46*Paths!AA47</f>
        <v/>
      </c>
      <c r="N47" s="53">
        <f>IF($A47=1918,russia_writeoff*(O46+L47),0)</f>
        <v/>
      </c>
      <c r="O47" s="53">
        <f>O46+L47-M47-N47</f>
        <v/>
      </c>
      <c r="P47" s="53">
        <f>O46*Paths!Z47*Paths!AB47</f>
        <v/>
      </c>
      <c r="Q47" s="53">
        <f>SUMPRODUCT((Events!$B$6:$B$158&lt;=$A47)*(Events!$C$6:$C$158&gt;=$A47)*(Events!$E$6:$E$158="Loan")*(Events!$F$6:$F$158="Rescue")*Events!$H$6:$H$158)</f>
        <v/>
      </c>
      <c r="R47" s="53">
        <f>0</f>
        <v/>
      </c>
      <c r="S47" s="53">
        <f>0</f>
        <v/>
      </c>
      <c r="T47" s="53">
        <f>T46+Q47-R47-S47</f>
        <v/>
      </c>
      <c r="U47" s="53">
        <f>T46*rescue_coupon</f>
        <v/>
      </c>
      <c r="V47" s="53">
        <f>B47+G47+L47+Q47</f>
        <v/>
      </c>
      <c r="W47" s="53">
        <f>C47+H47+M47+R47</f>
        <v/>
      </c>
      <c r="X47" s="53">
        <f>E47+J47+O47+T47</f>
        <v/>
      </c>
      <c r="Y47" s="53">
        <f>F47+K47+P47+U47</f>
        <v/>
      </c>
    </row>
    <row r="48">
      <c r="A48" s="58" t="n">
        <v>1888</v>
      </c>
      <c r="B48" s="53">
        <f>SUMPRODUCT((Events!$B$6:$B$158&lt;=$A48)*(Events!$C$6:$C$158&gt;=$A48)*(Events!$E$6:$E$158="Loan")*(Events!$F$6:$F$158="Continental")*Events!$H$6:$H$158)</f>
        <v/>
      </c>
      <c r="C48" s="53">
        <f>E47*cont_repay</f>
        <v/>
      </c>
      <c r="D48" s="53">
        <f>0</f>
        <v/>
      </c>
      <c r="E48" s="53">
        <f>E47+B48-C48-D48</f>
        <v/>
      </c>
      <c r="F48" s="53">
        <f>E47*cont_coupon</f>
        <v/>
      </c>
      <c r="G48" s="53">
        <f>SUMPRODUCT((Events!$B$6:$B$158&lt;=$A48)*(Events!$C$6:$C$158&gt;=$A48)*(Events!$E$6:$E$158="Loan")*(Events!$F$6:$F$158="Asia")*Events!$H$6:$H$158)</f>
        <v/>
      </c>
      <c r="H48" s="53">
        <f>J47*asia_repay</f>
        <v/>
      </c>
      <c r="I48" s="53">
        <f>0</f>
        <v/>
      </c>
      <c r="J48" s="53">
        <f>J47+G48-H48-I48</f>
        <v/>
      </c>
      <c r="K48" s="53">
        <f>J47*asia_coupon</f>
        <v/>
      </c>
      <c r="L48" s="53">
        <f>SUMPRODUCT((Events!$B$6:$B$158&lt;=$A48)*(Events!$C$6:$C$158&gt;=$A48)*(Events!$E$6:$E$158="Loan")*(Events!$F$6:$F$158="Europe")*Events!$H$6:$H$158)</f>
        <v/>
      </c>
      <c r="M48" s="53">
        <f>O47*Paths!AA48</f>
        <v/>
      </c>
      <c r="N48" s="53">
        <f>IF($A48=1918,russia_writeoff*(O47+L48),0)</f>
        <v/>
      </c>
      <c r="O48" s="53">
        <f>O47+L48-M48-N48</f>
        <v/>
      </c>
      <c r="P48" s="53">
        <f>O47*Paths!Z48*Paths!AB48</f>
        <v/>
      </c>
      <c r="Q48" s="53">
        <f>SUMPRODUCT((Events!$B$6:$B$158&lt;=$A48)*(Events!$C$6:$C$158&gt;=$A48)*(Events!$E$6:$E$158="Loan")*(Events!$F$6:$F$158="Rescue")*Events!$H$6:$H$158)</f>
        <v/>
      </c>
      <c r="R48" s="53">
        <f>0</f>
        <v/>
      </c>
      <c r="S48" s="53">
        <f>0</f>
        <v/>
      </c>
      <c r="T48" s="53">
        <f>T47+Q48-R48-S48</f>
        <v/>
      </c>
      <c r="U48" s="53">
        <f>T47*rescue_coupon</f>
        <v/>
      </c>
      <c r="V48" s="53">
        <f>B48+G48+L48+Q48</f>
        <v/>
      </c>
      <c r="W48" s="53">
        <f>C48+H48+M48+R48</f>
        <v/>
      </c>
      <c r="X48" s="53">
        <f>E48+J48+O48+T48</f>
        <v/>
      </c>
      <c r="Y48" s="53">
        <f>F48+K48+P48+U48</f>
        <v/>
      </c>
    </row>
    <row r="49">
      <c r="A49" s="58" t="n">
        <v>1889</v>
      </c>
      <c r="B49" s="53">
        <f>SUMPRODUCT((Events!$B$6:$B$158&lt;=$A49)*(Events!$C$6:$C$158&gt;=$A49)*(Events!$E$6:$E$158="Loan")*(Events!$F$6:$F$158="Continental")*Events!$H$6:$H$158)</f>
        <v/>
      </c>
      <c r="C49" s="53">
        <f>E48*cont_repay</f>
        <v/>
      </c>
      <c r="D49" s="53">
        <f>0</f>
        <v/>
      </c>
      <c r="E49" s="53">
        <f>E48+B49-C49-D49</f>
        <v/>
      </c>
      <c r="F49" s="53">
        <f>E48*cont_coupon</f>
        <v/>
      </c>
      <c r="G49" s="53">
        <f>SUMPRODUCT((Events!$B$6:$B$158&lt;=$A49)*(Events!$C$6:$C$158&gt;=$A49)*(Events!$E$6:$E$158="Loan")*(Events!$F$6:$F$158="Asia")*Events!$H$6:$H$158)</f>
        <v/>
      </c>
      <c r="H49" s="53">
        <f>J48*asia_repay</f>
        <v/>
      </c>
      <c r="I49" s="53">
        <f>0</f>
        <v/>
      </c>
      <c r="J49" s="53">
        <f>J48+G49-H49-I49</f>
        <v/>
      </c>
      <c r="K49" s="53">
        <f>J48*asia_coupon</f>
        <v/>
      </c>
      <c r="L49" s="53">
        <f>SUMPRODUCT((Events!$B$6:$B$158&lt;=$A49)*(Events!$C$6:$C$158&gt;=$A49)*(Events!$E$6:$E$158="Loan")*(Events!$F$6:$F$158="Europe")*Events!$H$6:$H$158)</f>
        <v/>
      </c>
      <c r="M49" s="53">
        <f>O48*Paths!AA49</f>
        <v/>
      </c>
      <c r="N49" s="53">
        <f>IF($A49=1918,russia_writeoff*(O48+L49),0)</f>
        <v/>
      </c>
      <c r="O49" s="53">
        <f>O48+L49-M49-N49</f>
        <v/>
      </c>
      <c r="P49" s="53">
        <f>O48*Paths!Z49*Paths!AB49</f>
        <v/>
      </c>
      <c r="Q49" s="53">
        <f>SUMPRODUCT((Events!$B$6:$B$158&lt;=$A49)*(Events!$C$6:$C$158&gt;=$A49)*(Events!$E$6:$E$158="Loan")*(Events!$F$6:$F$158="Rescue")*Events!$H$6:$H$158)</f>
        <v/>
      </c>
      <c r="R49" s="53">
        <f>0</f>
        <v/>
      </c>
      <c r="S49" s="53">
        <f>0</f>
        <v/>
      </c>
      <c r="T49" s="53">
        <f>T48+Q49-R49-S49</f>
        <v/>
      </c>
      <c r="U49" s="53">
        <f>T48*rescue_coupon</f>
        <v/>
      </c>
      <c r="V49" s="53">
        <f>B49+G49+L49+Q49</f>
        <v/>
      </c>
      <c r="W49" s="53">
        <f>C49+H49+M49+R49</f>
        <v/>
      </c>
      <c r="X49" s="53">
        <f>E49+J49+O49+T49</f>
        <v/>
      </c>
      <c r="Y49" s="53">
        <f>F49+K49+P49+U49</f>
        <v/>
      </c>
    </row>
    <row r="50">
      <c r="A50" s="58" t="n">
        <v>1890</v>
      </c>
      <c r="B50" s="53">
        <f>SUMPRODUCT((Events!$B$6:$B$158&lt;=$A50)*(Events!$C$6:$C$158&gt;=$A50)*(Events!$E$6:$E$158="Loan")*(Events!$F$6:$F$158="Continental")*Events!$H$6:$H$158)</f>
        <v/>
      </c>
      <c r="C50" s="53">
        <f>E49*cont_repay</f>
        <v/>
      </c>
      <c r="D50" s="53">
        <f>0</f>
        <v/>
      </c>
      <c r="E50" s="53">
        <f>E49+B50-C50-D50</f>
        <v/>
      </c>
      <c r="F50" s="53">
        <f>E49*cont_coupon</f>
        <v/>
      </c>
      <c r="G50" s="53">
        <f>SUMPRODUCT((Events!$B$6:$B$158&lt;=$A50)*(Events!$C$6:$C$158&gt;=$A50)*(Events!$E$6:$E$158="Loan")*(Events!$F$6:$F$158="Asia")*Events!$H$6:$H$158)</f>
        <v/>
      </c>
      <c r="H50" s="53">
        <f>J49*asia_repay</f>
        <v/>
      </c>
      <c r="I50" s="53">
        <f>0</f>
        <v/>
      </c>
      <c r="J50" s="53">
        <f>J49+G50-H50-I50</f>
        <v/>
      </c>
      <c r="K50" s="53">
        <f>J49*asia_coupon</f>
        <v/>
      </c>
      <c r="L50" s="53">
        <f>SUMPRODUCT((Events!$B$6:$B$158&lt;=$A50)*(Events!$C$6:$C$158&gt;=$A50)*(Events!$E$6:$E$158="Loan")*(Events!$F$6:$F$158="Europe")*Events!$H$6:$H$158)</f>
        <v/>
      </c>
      <c r="M50" s="53">
        <f>O49*Paths!AA50</f>
        <v/>
      </c>
      <c r="N50" s="53">
        <f>IF($A50=1918,russia_writeoff*(O49+L50),0)</f>
        <v/>
      </c>
      <c r="O50" s="53">
        <f>O49+L50-M50-N50</f>
        <v/>
      </c>
      <c r="P50" s="53">
        <f>O49*Paths!Z50*Paths!AB50</f>
        <v/>
      </c>
      <c r="Q50" s="53">
        <f>SUMPRODUCT((Events!$B$6:$B$158&lt;=$A50)*(Events!$C$6:$C$158&gt;=$A50)*(Events!$E$6:$E$158="Loan")*(Events!$F$6:$F$158="Rescue")*Events!$H$6:$H$158)</f>
        <v/>
      </c>
      <c r="R50" s="53">
        <f>0</f>
        <v/>
      </c>
      <c r="S50" s="53">
        <f>0</f>
        <v/>
      </c>
      <c r="T50" s="53">
        <f>T49+Q50-R50-S50</f>
        <v/>
      </c>
      <c r="U50" s="53">
        <f>T49*rescue_coupon</f>
        <v/>
      </c>
      <c r="V50" s="53">
        <f>B50+G50+L50+Q50</f>
        <v/>
      </c>
      <c r="W50" s="53">
        <f>C50+H50+M50+R50</f>
        <v/>
      </c>
      <c r="X50" s="53">
        <f>E50+J50+O50+T50</f>
        <v/>
      </c>
      <c r="Y50" s="53">
        <f>F50+K50+P50+U50</f>
        <v/>
      </c>
    </row>
    <row r="51">
      <c r="A51" s="58" t="n">
        <v>1891</v>
      </c>
      <c r="B51" s="53">
        <f>SUMPRODUCT((Events!$B$6:$B$158&lt;=$A51)*(Events!$C$6:$C$158&gt;=$A51)*(Events!$E$6:$E$158="Loan")*(Events!$F$6:$F$158="Continental")*Events!$H$6:$H$158)</f>
        <v/>
      </c>
      <c r="C51" s="53">
        <f>E50*cont_repay</f>
        <v/>
      </c>
      <c r="D51" s="53">
        <f>0</f>
        <v/>
      </c>
      <c r="E51" s="53">
        <f>E50+B51-C51-D51</f>
        <v/>
      </c>
      <c r="F51" s="53">
        <f>E50*cont_coupon</f>
        <v/>
      </c>
      <c r="G51" s="53">
        <f>SUMPRODUCT((Events!$B$6:$B$158&lt;=$A51)*(Events!$C$6:$C$158&gt;=$A51)*(Events!$E$6:$E$158="Loan")*(Events!$F$6:$F$158="Asia")*Events!$H$6:$H$158)</f>
        <v/>
      </c>
      <c r="H51" s="53">
        <f>J50*asia_repay</f>
        <v/>
      </c>
      <c r="I51" s="53">
        <f>0</f>
        <v/>
      </c>
      <c r="J51" s="53">
        <f>J50+G51-H51-I51</f>
        <v/>
      </c>
      <c r="K51" s="53">
        <f>J50*asia_coupon</f>
        <v/>
      </c>
      <c r="L51" s="53">
        <f>SUMPRODUCT((Events!$B$6:$B$158&lt;=$A51)*(Events!$C$6:$C$158&gt;=$A51)*(Events!$E$6:$E$158="Loan")*(Events!$F$6:$F$158="Europe")*Events!$H$6:$H$158)</f>
        <v/>
      </c>
      <c r="M51" s="53">
        <f>O50*Paths!AA51</f>
        <v/>
      </c>
      <c r="N51" s="53">
        <f>IF($A51=1918,russia_writeoff*(O50+L51),0)</f>
        <v/>
      </c>
      <c r="O51" s="53">
        <f>O50+L51-M51-N51</f>
        <v/>
      </c>
      <c r="P51" s="53">
        <f>O50*Paths!Z51*Paths!AB51</f>
        <v/>
      </c>
      <c r="Q51" s="53">
        <f>SUMPRODUCT((Events!$B$6:$B$158&lt;=$A51)*(Events!$C$6:$C$158&gt;=$A51)*(Events!$E$6:$E$158="Loan")*(Events!$F$6:$F$158="Rescue")*Events!$H$6:$H$158)</f>
        <v/>
      </c>
      <c r="R51" s="53">
        <f>0</f>
        <v/>
      </c>
      <c r="S51" s="53">
        <f>0</f>
        <v/>
      </c>
      <c r="T51" s="53">
        <f>T50+Q51-R51-S51</f>
        <v/>
      </c>
      <c r="U51" s="53">
        <f>T50*rescue_coupon</f>
        <v/>
      </c>
      <c r="V51" s="53">
        <f>B51+G51+L51+Q51</f>
        <v/>
      </c>
      <c r="W51" s="53">
        <f>C51+H51+M51+R51</f>
        <v/>
      </c>
      <c r="X51" s="53">
        <f>E51+J51+O51+T51</f>
        <v/>
      </c>
      <c r="Y51" s="53">
        <f>F51+K51+P51+U51</f>
        <v/>
      </c>
    </row>
    <row r="52">
      <c r="A52" s="58" t="n">
        <v>1892</v>
      </c>
      <c r="B52" s="53">
        <f>SUMPRODUCT((Events!$B$6:$B$158&lt;=$A52)*(Events!$C$6:$C$158&gt;=$A52)*(Events!$E$6:$E$158="Loan")*(Events!$F$6:$F$158="Continental")*Events!$H$6:$H$158)</f>
        <v/>
      </c>
      <c r="C52" s="53">
        <f>E51*cont_repay</f>
        <v/>
      </c>
      <c r="D52" s="53">
        <f>0</f>
        <v/>
      </c>
      <c r="E52" s="53">
        <f>E51+B52-C52-D52</f>
        <v/>
      </c>
      <c r="F52" s="53">
        <f>E51*cont_coupon</f>
        <v/>
      </c>
      <c r="G52" s="53">
        <f>SUMPRODUCT((Events!$B$6:$B$158&lt;=$A52)*(Events!$C$6:$C$158&gt;=$A52)*(Events!$E$6:$E$158="Loan")*(Events!$F$6:$F$158="Asia")*Events!$H$6:$H$158)</f>
        <v/>
      </c>
      <c r="H52" s="53">
        <f>J51*asia_repay</f>
        <v/>
      </c>
      <c r="I52" s="53">
        <f>0</f>
        <v/>
      </c>
      <c r="J52" s="53">
        <f>J51+G52-H52-I52</f>
        <v/>
      </c>
      <c r="K52" s="53">
        <f>J51*asia_coupon</f>
        <v/>
      </c>
      <c r="L52" s="53">
        <f>SUMPRODUCT((Events!$B$6:$B$158&lt;=$A52)*(Events!$C$6:$C$158&gt;=$A52)*(Events!$E$6:$E$158="Loan")*(Events!$F$6:$F$158="Europe")*Events!$H$6:$H$158)</f>
        <v/>
      </c>
      <c r="M52" s="53">
        <f>O51*Paths!AA52</f>
        <v/>
      </c>
      <c r="N52" s="53">
        <f>IF($A52=1918,russia_writeoff*(O51+L52),0)</f>
        <v/>
      </c>
      <c r="O52" s="53">
        <f>O51+L52-M52-N52</f>
        <v/>
      </c>
      <c r="P52" s="53">
        <f>O51*Paths!Z52*Paths!AB52</f>
        <v/>
      </c>
      <c r="Q52" s="53">
        <f>SUMPRODUCT((Events!$B$6:$B$158&lt;=$A52)*(Events!$C$6:$C$158&gt;=$A52)*(Events!$E$6:$E$158="Loan")*(Events!$F$6:$F$158="Rescue")*Events!$H$6:$H$158)</f>
        <v/>
      </c>
      <c r="R52" s="53">
        <f>0</f>
        <v/>
      </c>
      <c r="S52" s="53">
        <f>0</f>
        <v/>
      </c>
      <c r="T52" s="53">
        <f>T51+Q52-R52-S52</f>
        <v/>
      </c>
      <c r="U52" s="53">
        <f>T51*rescue_coupon</f>
        <v/>
      </c>
      <c r="V52" s="53">
        <f>B52+G52+L52+Q52</f>
        <v/>
      </c>
      <c r="W52" s="53">
        <f>C52+H52+M52+R52</f>
        <v/>
      </c>
      <c r="X52" s="53">
        <f>E52+J52+O52+T52</f>
        <v/>
      </c>
      <c r="Y52" s="53">
        <f>F52+K52+P52+U52</f>
        <v/>
      </c>
    </row>
    <row r="53">
      <c r="A53" s="58" t="n">
        <v>1893</v>
      </c>
      <c r="B53" s="53">
        <f>SUMPRODUCT((Events!$B$6:$B$158&lt;=$A53)*(Events!$C$6:$C$158&gt;=$A53)*(Events!$E$6:$E$158="Loan")*(Events!$F$6:$F$158="Continental")*Events!$H$6:$H$158)</f>
        <v/>
      </c>
      <c r="C53" s="53">
        <f>E52*cont_repay</f>
        <v/>
      </c>
      <c r="D53" s="53">
        <f>0</f>
        <v/>
      </c>
      <c r="E53" s="53">
        <f>E52+B53-C53-D53</f>
        <v/>
      </c>
      <c r="F53" s="53">
        <f>E52*cont_coupon</f>
        <v/>
      </c>
      <c r="G53" s="53">
        <f>SUMPRODUCT((Events!$B$6:$B$158&lt;=$A53)*(Events!$C$6:$C$158&gt;=$A53)*(Events!$E$6:$E$158="Loan")*(Events!$F$6:$F$158="Asia")*Events!$H$6:$H$158)</f>
        <v/>
      </c>
      <c r="H53" s="53">
        <f>J52*asia_repay</f>
        <v/>
      </c>
      <c r="I53" s="53">
        <f>0</f>
        <v/>
      </c>
      <c r="J53" s="53">
        <f>J52+G53-H53-I53</f>
        <v/>
      </c>
      <c r="K53" s="53">
        <f>J52*asia_coupon</f>
        <v/>
      </c>
      <c r="L53" s="53">
        <f>SUMPRODUCT((Events!$B$6:$B$158&lt;=$A53)*(Events!$C$6:$C$158&gt;=$A53)*(Events!$E$6:$E$158="Loan")*(Events!$F$6:$F$158="Europe")*Events!$H$6:$H$158)</f>
        <v/>
      </c>
      <c r="M53" s="53">
        <f>O52*Paths!AA53</f>
        <v/>
      </c>
      <c r="N53" s="53">
        <f>IF($A53=1918,russia_writeoff*(O52+L53),0)</f>
        <v/>
      </c>
      <c r="O53" s="53">
        <f>O52+L53-M53-N53</f>
        <v/>
      </c>
      <c r="P53" s="53">
        <f>O52*Paths!Z53*Paths!AB53</f>
        <v/>
      </c>
      <c r="Q53" s="53">
        <f>SUMPRODUCT((Events!$B$6:$B$158&lt;=$A53)*(Events!$C$6:$C$158&gt;=$A53)*(Events!$E$6:$E$158="Loan")*(Events!$F$6:$F$158="Rescue")*Events!$H$6:$H$158)</f>
        <v/>
      </c>
      <c r="R53" s="53">
        <f>0</f>
        <v/>
      </c>
      <c r="S53" s="53">
        <f>0</f>
        <v/>
      </c>
      <c r="T53" s="53">
        <f>T52+Q53-R53-S53</f>
        <v/>
      </c>
      <c r="U53" s="53">
        <f>T52*rescue_coupon</f>
        <v/>
      </c>
      <c r="V53" s="53">
        <f>B53+G53+L53+Q53</f>
        <v/>
      </c>
      <c r="W53" s="53">
        <f>C53+H53+M53+R53</f>
        <v/>
      </c>
      <c r="X53" s="53">
        <f>E53+J53+O53+T53</f>
        <v/>
      </c>
      <c r="Y53" s="53">
        <f>F53+K53+P53+U53</f>
        <v/>
      </c>
    </row>
    <row r="54">
      <c r="A54" s="58" t="n">
        <v>1894</v>
      </c>
      <c r="B54" s="53">
        <f>SUMPRODUCT((Events!$B$6:$B$158&lt;=$A54)*(Events!$C$6:$C$158&gt;=$A54)*(Events!$E$6:$E$158="Loan")*(Events!$F$6:$F$158="Continental")*Events!$H$6:$H$158)</f>
        <v/>
      </c>
      <c r="C54" s="53">
        <f>E53*cont_repay</f>
        <v/>
      </c>
      <c r="D54" s="53">
        <f>0</f>
        <v/>
      </c>
      <c r="E54" s="53">
        <f>E53+B54-C54-D54</f>
        <v/>
      </c>
      <c r="F54" s="53">
        <f>E53*cont_coupon</f>
        <v/>
      </c>
      <c r="G54" s="53">
        <f>SUMPRODUCT((Events!$B$6:$B$158&lt;=$A54)*(Events!$C$6:$C$158&gt;=$A54)*(Events!$E$6:$E$158="Loan")*(Events!$F$6:$F$158="Asia")*Events!$H$6:$H$158)</f>
        <v/>
      </c>
      <c r="H54" s="53">
        <f>J53*asia_repay</f>
        <v/>
      </c>
      <c r="I54" s="53">
        <f>0</f>
        <v/>
      </c>
      <c r="J54" s="53">
        <f>J53+G54-H54-I54</f>
        <v/>
      </c>
      <c r="K54" s="53">
        <f>J53*asia_coupon</f>
        <v/>
      </c>
      <c r="L54" s="53">
        <f>SUMPRODUCT((Events!$B$6:$B$158&lt;=$A54)*(Events!$C$6:$C$158&gt;=$A54)*(Events!$E$6:$E$158="Loan")*(Events!$F$6:$F$158="Europe")*Events!$H$6:$H$158)</f>
        <v/>
      </c>
      <c r="M54" s="53">
        <f>O53*Paths!AA54</f>
        <v/>
      </c>
      <c r="N54" s="53">
        <f>IF($A54=1918,russia_writeoff*(O53+L54),0)</f>
        <v/>
      </c>
      <c r="O54" s="53">
        <f>O53+L54-M54-N54</f>
        <v/>
      </c>
      <c r="P54" s="53">
        <f>O53*Paths!Z54*Paths!AB54</f>
        <v/>
      </c>
      <c r="Q54" s="53">
        <f>SUMPRODUCT((Events!$B$6:$B$158&lt;=$A54)*(Events!$C$6:$C$158&gt;=$A54)*(Events!$E$6:$E$158="Loan")*(Events!$F$6:$F$158="Rescue")*Events!$H$6:$H$158)</f>
        <v/>
      </c>
      <c r="R54" s="53">
        <f>0</f>
        <v/>
      </c>
      <c r="S54" s="53">
        <f>0</f>
        <v/>
      </c>
      <c r="T54" s="53">
        <f>T53+Q54-R54-S54</f>
        <v/>
      </c>
      <c r="U54" s="53">
        <f>T53*rescue_coupon</f>
        <v/>
      </c>
      <c r="V54" s="53">
        <f>B54+G54+L54+Q54</f>
        <v/>
      </c>
      <c r="W54" s="53">
        <f>C54+H54+M54+R54</f>
        <v/>
      </c>
      <c r="X54" s="53">
        <f>E54+J54+O54+T54</f>
        <v/>
      </c>
      <c r="Y54" s="53">
        <f>F54+K54+P54+U54</f>
        <v/>
      </c>
    </row>
    <row r="55">
      <c r="A55" s="58" t="n">
        <v>1895</v>
      </c>
      <c r="B55" s="53">
        <f>SUMPRODUCT((Events!$B$6:$B$158&lt;=$A55)*(Events!$C$6:$C$158&gt;=$A55)*(Events!$E$6:$E$158="Loan")*(Events!$F$6:$F$158="Continental")*Events!$H$6:$H$158)</f>
        <v/>
      </c>
      <c r="C55" s="53">
        <f>E54*cont_repay</f>
        <v/>
      </c>
      <c r="D55" s="53">
        <f>0</f>
        <v/>
      </c>
      <c r="E55" s="53">
        <f>E54+B55-C55-D55</f>
        <v/>
      </c>
      <c r="F55" s="53">
        <f>E54*cont_coupon</f>
        <v/>
      </c>
      <c r="G55" s="53">
        <f>SUMPRODUCT((Events!$B$6:$B$158&lt;=$A55)*(Events!$C$6:$C$158&gt;=$A55)*(Events!$E$6:$E$158="Loan")*(Events!$F$6:$F$158="Asia")*Events!$H$6:$H$158)</f>
        <v/>
      </c>
      <c r="H55" s="53">
        <f>J54*asia_repay</f>
        <v/>
      </c>
      <c r="I55" s="53">
        <f>0</f>
        <v/>
      </c>
      <c r="J55" s="53">
        <f>J54+G55-H55-I55</f>
        <v/>
      </c>
      <c r="K55" s="53">
        <f>J54*asia_coupon</f>
        <v/>
      </c>
      <c r="L55" s="53">
        <f>SUMPRODUCT((Events!$B$6:$B$158&lt;=$A55)*(Events!$C$6:$C$158&gt;=$A55)*(Events!$E$6:$E$158="Loan")*(Events!$F$6:$F$158="Europe")*Events!$H$6:$H$158)</f>
        <v/>
      </c>
      <c r="M55" s="53">
        <f>O54*Paths!AA55</f>
        <v/>
      </c>
      <c r="N55" s="53">
        <f>IF($A55=1918,russia_writeoff*(O54+L55),0)</f>
        <v/>
      </c>
      <c r="O55" s="53">
        <f>O54+L55-M55-N55</f>
        <v/>
      </c>
      <c r="P55" s="53">
        <f>O54*Paths!Z55*Paths!AB55</f>
        <v/>
      </c>
      <c r="Q55" s="53">
        <f>SUMPRODUCT((Events!$B$6:$B$158&lt;=$A55)*(Events!$C$6:$C$158&gt;=$A55)*(Events!$E$6:$E$158="Loan")*(Events!$F$6:$F$158="Rescue")*Events!$H$6:$H$158)</f>
        <v/>
      </c>
      <c r="R55" s="53">
        <f>0</f>
        <v/>
      </c>
      <c r="S55" s="53">
        <f>0</f>
        <v/>
      </c>
      <c r="T55" s="53">
        <f>T54+Q55-R55-S55</f>
        <v/>
      </c>
      <c r="U55" s="53">
        <f>T54*rescue_coupon</f>
        <v/>
      </c>
      <c r="V55" s="53">
        <f>B55+G55+L55+Q55</f>
        <v/>
      </c>
      <c r="W55" s="53">
        <f>C55+H55+M55+R55</f>
        <v/>
      </c>
      <c r="X55" s="53">
        <f>E55+J55+O55+T55</f>
        <v/>
      </c>
      <c r="Y55" s="53">
        <f>F55+K55+P55+U55</f>
        <v/>
      </c>
    </row>
    <row r="56">
      <c r="A56" s="58" t="n">
        <v>1896</v>
      </c>
      <c r="B56" s="53">
        <f>SUMPRODUCT((Events!$B$6:$B$158&lt;=$A56)*(Events!$C$6:$C$158&gt;=$A56)*(Events!$E$6:$E$158="Loan")*(Events!$F$6:$F$158="Continental")*Events!$H$6:$H$158)</f>
        <v/>
      </c>
      <c r="C56" s="53">
        <f>E55*cont_repay</f>
        <v/>
      </c>
      <c r="D56" s="53">
        <f>0</f>
        <v/>
      </c>
      <c r="E56" s="53">
        <f>E55+B56-C56-D56</f>
        <v/>
      </c>
      <c r="F56" s="53">
        <f>E55*cont_coupon</f>
        <v/>
      </c>
      <c r="G56" s="53">
        <f>SUMPRODUCT((Events!$B$6:$B$158&lt;=$A56)*(Events!$C$6:$C$158&gt;=$A56)*(Events!$E$6:$E$158="Loan")*(Events!$F$6:$F$158="Asia")*Events!$H$6:$H$158)</f>
        <v/>
      </c>
      <c r="H56" s="53">
        <f>J55*asia_repay</f>
        <v/>
      </c>
      <c r="I56" s="53">
        <f>0</f>
        <v/>
      </c>
      <c r="J56" s="53">
        <f>J55+G56-H56-I56</f>
        <v/>
      </c>
      <c r="K56" s="53">
        <f>J55*asia_coupon</f>
        <v/>
      </c>
      <c r="L56" s="53">
        <f>SUMPRODUCT((Events!$B$6:$B$158&lt;=$A56)*(Events!$C$6:$C$158&gt;=$A56)*(Events!$E$6:$E$158="Loan")*(Events!$F$6:$F$158="Europe")*Events!$H$6:$H$158)</f>
        <v/>
      </c>
      <c r="M56" s="53">
        <f>O55*Paths!AA56</f>
        <v/>
      </c>
      <c r="N56" s="53">
        <f>IF($A56=1918,russia_writeoff*(O55+L56),0)</f>
        <v/>
      </c>
      <c r="O56" s="53">
        <f>O55+L56-M56-N56</f>
        <v/>
      </c>
      <c r="P56" s="53">
        <f>O55*Paths!Z56*Paths!AB56</f>
        <v/>
      </c>
      <c r="Q56" s="53">
        <f>SUMPRODUCT((Events!$B$6:$B$158&lt;=$A56)*(Events!$C$6:$C$158&gt;=$A56)*(Events!$E$6:$E$158="Loan")*(Events!$F$6:$F$158="Rescue")*Events!$H$6:$H$158)</f>
        <v/>
      </c>
      <c r="R56" s="53">
        <f>0</f>
        <v/>
      </c>
      <c r="S56" s="53">
        <f>0</f>
        <v/>
      </c>
      <c r="T56" s="53">
        <f>T55+Q56-R56-S56</f>
        <v/>
      </c>
      <c r="U56" s="53">
        <f>T55*rescue_coupon</f>
        <v/>
      </c>
      <c r="V56" s="53">
        <f>B56+G56+L56+Q56</f>
        <v/>
      </c>
      <c r="W56" s="53">
        <f>C56+H56+M56+R56</f>
        <v/>
      </c>
      <c r="X56" s="53">
        <f>E56+J56+O56+T56</f>
        <v/>
      </c>
      <c r="Y56" s="53">
        <f>F56+K56+P56+U56</f>
        <v/>
      </c>
    </row>
    <row r="57">
      <c r="A57" s="58" t="n">
        <v>1897</v>
      </c>
      <c r="B57" s="53">
        <f>SUMPRODUCT((Events!$B$6:$B$158&lt;=$A57)*(Events!$C$6:$C$158&gt;=$A57)*(Events!$E$6:$E$158="Loan")*(Events!$F$6:$F$158="Continental")*Events!$H$6:$H$158)</f>
        <v/>
      </c>
      <c r="C57" s="53">
        <f>E56*cont_repay</f>
        <v/>
      </c>
      <c r="D57" s="53">
        <f>0</f>
        <v/>
      </c>
      <c r="E57" s="53">
        <f>E56+B57-C57-D57</f>
        <v/>
      </c>
      <c r="F57" s="53">
        <f>E56*cont_coupon</f>
        <v/>
      </c>
      <c r="G57" s="53">
        <f>SUMPRODUCT((Events!$B$6:$B$158&lt;=$A57)*(Events!$C$6:$C$158&gt;=$A57)*(Events!$E$6:$E$158="Loan")*(Events!$F$6:$F$158="Asia")*Events!$H$6:$H$158)</f>
        <v/>
      </c>
      <c r="H57" s="53">
        <f>J56*asia_repay</f>
        <v/>
      </c>
      <c r="I57" s="53">
        <f>0</f>
        <v/>
      </c>
      <c r="J57" s="53">
        <f>J56+G57-H57-I57</f>
        <v/>
      </c>
      <c r="K57" s="53">
        <f>J56*asia_coupon</f>
        <v/>
      </c>
      <c r="L57" s="53">
        <f>SUMPRODUCT((Events!$B$6:$B$158&lt;=$A57)*(Events!$C$6:$C$158&gt;=$A57)*(Events!$E$6:$E$158="Loan")*(Events!$F$6:$F$158="Europe")*Events!$H$6:$H$158)</f>
        <v/>
      </c>
      <c r="M57" s="53">
        <f>O56*Paths!AA57</f>
        <v/>
      </c>
      <c r="N57" s="53">
        <f>IF($A57=1918,russia_writeoff*(O56+L57),0)</f>
        <v/>
      </c>
      <c r="O57" s="53">
        <f>O56+L57-M57-N57</f>
        <v/>
      </c>
      <c r="P57" s="53">
        <f>O56*Paths!Z57*Paths!AB57</f>
        <v/>
      </c>
      <c r="Q57" s="53">
        <f>SUMPRODUCT((Events!$B$6:$B$158&lt;=$A57)*(Events!$C$6:$C$158&gt;=$A57)*(Events!$E$6:$E$158="Loan")*(Events!$F$6:$F$158="Rescue")*Events!$H$6:$H$158)</f>
        <v/>
      </c>
      <c r="R57" s="53">
        <f>0</f>
        <v/>
      </c>
      <c r="S57" s="53">
        <f>0</f>
        <v/>
      </c>
      <c r="T57" s="53">
        <f>T56+Q57-R57-S57</f>
        <v/>
      </c>
      <c r="U57" s="53">
        <f>T56*rescue_coupon</f>
        <v/>
      </c>
      <c r="V57" s="53">
        <f>B57+G57+L57+Q57</f>
        <v/>
      </c>
      <c r="W57" s="53">
        <f>C57+H57+M57+R57</f>
        <v/>
      </c>
      <c r="X57" s="53">
        <f>E57+J57+O57+T57</f>
        <v/>
      </c>
      <c r="Y57" s="53">
        <f>F57+K57+P57+U57</f>
        <v/>
      </c>
    </row>
    <row r="58">
      <c r="A58" s="58" t="n">
        <v>1898</v>
      </c>
      <c r="B58" s="53">
        <f>SUMPRODUCT((Events!$B$6:$B$158&lt;=$A58)*(Events!$C$6:$C$158&gt;=$A58)*(Events!$E$6:$E$158="Loan")*(Events!$F$6:$F$158="Continental")*Events!$H$6:$H$158)</f>
        <v/>
      </c>
      <c r="C58" s="53">
        <f>E57*cont_repay</f>
        <v/>
      </c>
      <c r="D58" s="53">
        <f>0</f>
        <v/>
      </c>
      <c r="E58" s="53">
        <f>E57+B58-C58-D58</f>
        <v/>
      </c>
      <c r="F58" s="53">
        <f>E57*cont_coupon</f>
        <v/>
      </c>
      <c r="G58" s="53">
        <f>SUMPRODUCT((Events!$B$6:$B$158&lt;=$A58)*(Events!$C$6:$C$158&gt;=$A58)*(Events!$E$6:$E$158="Loan")*(Events!$F$6:$F$158="Asia")*Events!$H$6:$H$158)</f>
        <v/>
      </c>
      <c r="H58" s="53">
        <f>J57*asia_repay</f>
        <v/>
      </c>
      <c r="I58" s="53">
        <f>0</f>
        <v/>
      </c>
      <c r="J58" s="53">
        <f>J57+G58-H58-I58</f>
        <v/>
      </c>
      <c r="K58" s="53">
        <f>J57*asia_coupon</f>
        <v/>
      </c>
      <c r="L58" s="53">
        <f>SUMPRODUCT((Events!$B$6:$B$158&lt;=$A58)*(Events!$C$6:$C$158&gt;=$A58)*(Events!$E$6:$E$158="Loan")*(Events!$F$6:$F$158="Europe")*Events!$H$6:$H$158)</f>
        <v/>
      </c>
      <c r="M58" s="53">
        <f>O57*Paths!AA58</f>
        <v/>
      </c>
      <c r="N58" s="53">
        <f>IF($A58=1918,russia_writeoff*(O57+L58),0)</f>
        <v/>
      </c>
      <c r="O58" s="53">
        <f>O57+L58-M58-N58</f>
        <v/>
      </c>
      <c r="P58" s="53">
        <f>O57*Paths!Z58*Paths!AB58</f>
        <v/>
      </c>
      <c r="Q58" s="53">
        <f>SUMPRODUCT((Events!$B$6:$B$158&lt;=$A58)*(Events!$C$6:$C$158&gt;=$A58)*(Events!$E$6:$E$158="Loan")*(Events!$F$6:$F$158="Rescue")*Events!$H$6:$H$158)</f>
        <v/>
      </c>
      <c r="R58" s="53">
        <f>0</f>
        <v/>
      </c>
      <c r="S58" s="53">
        <f>0</f>
        <v/>
      </c>
      <c r="T58" s="53">
        <f>T57+Q58-R58-S58</f>
        <v/>
      </c>
      <c r="U58" s="53">
        <f>T57*rescue_coupon</f>
        <v/>
      </c>
      <c r="V58" s="53">
        <f>B58+G58+L58+Q58</f>
        <v/>
      </c>
      <c r="W58" s="53">
        <f>C58+H58+M58+R58</f>
        <v/>
      </c>
      <c r="X58" s="53">
        <f>E58+J58+O58+T58</f>
        <v/>
      </c>
      <c r="Y58" s="53">
        <f>F58+K58+P58+U58</f>
        <v/>
      </c>
    </row>
    <row r="59">
      <c r="A59" s="58" t="n">
        <v>1899</v>
      </c>
      <c r="B59" s="53">
        <f>SUMPRODUCT((Events!$B$6:$B$158&lt;=$A59)*(Events!$C$6:$C$158&gt;=$A59)*(Events!$E$6:$E$158="Loan")*(Events!$F$6:$F$158="Continental")*Events!$H$6:$H$158)</f>
        <v/>
      </c>
      <c r="C59" s="53">
        <f>E58*cont_repay</f>
        <v/>
      </c>
      <c r="D59" s="53">
        <f>0</f>
        <v/>
      </c>
      <c r="E59" s="53">
        <f>E58+B59-C59-D59</f>
        <v/>
      </c>
      <c r="F59" s="53">
        <f>E58*cont_coupon</f>
        <v/>
      </c>
      <c r="G59" s="53">
        <f>SUMPRODUCT((Events!$B$6:$B$158&lt;=$A59)*(Events!$C$6:$C$158&gt;=$A59)*(Events!$E$6:$E$158="Loan")*(Events!$F$6:$F$158="Asia")*Events!$H$6:$H$158)</f>
        <v/>
      </c>
      <c r="H59" s="53">
        <f>J58*asia_repay</f>
        <v/>
      </c>
      <c r="I59" s="53">
        <f>0</f>
        <v/>
      </c>
      <c r="J59" s="53">
        <f>J58+G59-H59-I59</f>
        <v/>
      </c>
      <c r="K59" s="53">
        <f>J58*asia_coupon</f>
        <v/>
      </c>
      <c r="L59" s="53">
        <f>SUMPRODUCT((Events!$B$6:$B$158&lt;=$A59)*(Events!$C$6:$C$158&gt;=$A59)*(Events!$E$6:$E$158="Loan")*(Events!$F$6:$F$158="Europe")*Events!$H$6:$H$158)</f>
        <v/>
      </c>
      <c r="M59" s="53">
        <f>O58*Paths!AA59</f>
        <v/>
      </c>
      <c r="N59" s="53">
        <f>IF($A59=1918,russia_writeoff*(O58+L59),0)</f>
        <v/>
      </c>
      <c r="O59" s="53">
        <f>O58+L59-M59-N59</f>
        <v/>
      </c>
      <c r="P59" s="53">
        <f>O58*Paths!Z59*Paths!AB59</f>
        <v/>
      </c>
      <c r="Q59" s="53">
        <f>SUMPRODUCT((Events!$B$6:$B$158&lt;=$A59)*(Events!$C$6:$C$158&gt;=$A59)*(Events!$E$6:$E$158="Loan")*(Events!$F$6:$F$158="Rescue")*Events!$H$6:$H$158)</f>
        <v/>
      </c>
      <c r="R59" s="53">
        <f>0</f>
        <v/>
      </c>
      <c r="S59" s="53">
        <f>0</f>
        <v/>
      </c>
      <c r="T59" s="53">
        <f>T58+Q59-R59-S59</f>
        <v/>
      </c>
      <c r="U59" s="53">
        <f>T58*rescue_coupon</f>
        <v/>
      </c>
      <c r="V59" s="53">
        <f>B59+G59+L59+Q59</f>
        <v/>
      </c>
      <c r="W59" s="53">
        <f>C59+H59+M59+R59</f>
        <v/>
      </c>
      <c r="X59" s="53">
        <f>E59+J59+O59+T59</f>
        <v/>
      </c>
      <c r="Y59" s="53">
        <f>F59+K59+P59+U59</f>
        <v/>
      </c>
    </row>
    <row r="60">
      <c r="A60" s="58" t="n">
        <v>1900</v>
      </c>
      <c r="B60" s="53">
        <f>SUMPRODUCT((Events!$B$6:$B$158&lt;=$A60)*(Events!$C$6:$C$158&gt;=$A60)*(Events!$E$6:$E$158="Loan")*(Events!$F$6:$F$158="Continental")*Events!$H$6:$H$158)</f>
        <v/>
      </c>
      <c r="C60" s="53">
        <f>E59*cont_repay</f>
        <v/>
      </c>
      <c r="D60" s="53">
        <f>0</f>
        <v/>
      </c>
      <c r="E60" s="53">
        <f>E59+B60-C60-D60</f>
        <v/>
      </c>
      <c r="F60" s="53">
        <f>E59*cont_coupon</f>
        <v/>
      </c>
      <c r="G60" s="53">
        <f>SUMPRODUCT((Events!$B$6:$B$158&lt;=$A60)*(Events!$C$6:$C$158&gt;=$A60)*(Events!$E$6:$E$158="Loan")*(Events!$F$6:$F$158="Asia")*Events!$H$6:$H$158)</f>
        <v/>
      </c>
      <c r="H60" s="53">
        <f>J59*asia_repay</f>
        <v/>
      </c>
      <c r="I60" s="53">
        <f>0</f>
        <v/>
      </c>
      <c r="J60" s="53">
        <f>J59+G60-H60-I60</f>
        <v/>
      </c>
      <c r="K60" s="53">
        <f>J59*asia_coupon</f>
        <v/>
      </c>
      <c r="L60" s="53">
        <f>SUMPRODUCT((Events!$B$6:$B$158&lt;=$A60)*(Events!$C$6:$C$158&gt;=$A60)*(Events!$E$6:$E$158="Loan")*(Events!$F$6:$F$158="Europe")*Events!$H$6:$H$158)</f>
        <v/>
      </c>
      <c r="M60" s="53">
        <f>O59*Paths!AA60</f>
        <v/>
      </c>
      <c r="N60" s="53">
        <f>IF($A60=1918,russia_writeoff*(O59+L60),0)</f>
        <v/>
      </c>
      <c r="O60" s="53">
        <f>O59+L60-M60-N60</f>
        <v/>
      </c>
      <c r="P60" s="53">
        <f>O59*Paths!Z60*Paths!AB60</f>
        <v/>
      </c>
      <c r="Q60" s="53">
        <f>SUMPRODUCT((Events!$B$6:$B$158&lt;=$A60)*(Events!$C$6:$C$158&gt;=$A60)*(Events!$E$6:$E$158="Loan")*(Events!$F$6:$F$158="Rescue")*Events!$H$6:$H$158)</f>
        <v/>
      </c>
      <c r="R60" s="53">
        <f>0</f>
        <v/>
      </c>
      <c r="S60" s="53">
        <f>0</f>
        <v/>
      </c>
      <c r="T60" s="53">
        <f>T59+Q60-R60-S60</f>
        <v/>
      </c>
      <c r="U60" s="53">
        <f>T59*rescue_coupon</f>
        <v/>
      </c>
      <c r="V60" s="53">
        <f>B60+G60+L60+Q60</f>
        <v/>
      </c>
      <c r="W60" s="53">
        <f>C60+H60+M60+R60</f>
        <v/>
      </c>
      <c r="X60" s="53">
        <f>E60+J60+O60+T60</f>
        <v/>
      </c>
      <c r="Y60" s="53">
        <f>F60+K60+P60+U60</f>
        <v/>
      </c>
    </row>
    <row r="61">
      <c r="A61" s="58" t="n">
        <v>1901</v>
      </c>
      <c r="B61" s="53">
        <f>SUMPRODUCT((Events!$B$6:$B$158&lt;=$A61)*(Events!$C$6:$C$158&gt;=$A61)*(Events!$E$6:$E$158="Loan")*(Events!$F$6:$F$158="Continental")*Events!$H$6:$H$158)</f>
        <v/>
      </c>
      <c r="C61" s="53">
        <f>E60*cont_repay</f>
        <v/>
      </c>
      <c r="D61" s="53">
        <f>0</f>
        <v/>
      </c>
      <c r="E61" s="53">
        <f>E60+B61-C61-D61</f>
        <v/>
      </c>
      <c r="F61" s="53">
        <f>E60*cont_coupon</f>
        <v/>
      </c>
      <c r="G61" s="53">
        <f>SUMPRODUCT((Events!$B$6:$B$158&lt;=$A61)*(Events!$C$6:$C$158&gt;=$A61)*(Events!$E$6:$E$158="Loan")*(Events!$F$6:$F$158="Asia")*Events!$H$6:$H$158)</f>
        <v/>
      </c>
      <c r="H61" s="53">
        <f>J60*asia_repay</f>
        <v/>
      </c>
      <c r="I61" s="53">
        <f>0</f>
        <v/>
      </c>
      <c r="J61" s="53">
        <f>J60+G61-H61-I61</f>
        <v/>
      </c>
      <c r="K61" s="53">
        <f>J60*asia_coupon</f>
        <v/>
      </c>
      <c r="L61" s="53">
        <f>SUMPRODUCT((Events!$B$6:$B$158&lt;=$A61)*(Events!$C$6:$C$158&gt;=$A61)*(Events!$E$6:$E$158="Loan")*(Events!$F$6:$F$158="Europe")*Events!$H$6:$H$158)</f>
        <v/>
      </c>
      <c r="M61" s="53">
        <f>O60*Paths!AA61</f>
        <v/>
      </c>
      <c r="N61" s="53">
        <f>IF($A61=1918,russia_writeoff*(O60+L61),0)</f>
        <v/>
      </c>
      <c r="O61" s="53">
        <f>O60+L61-M61-N61</f>
        <v/>
      </c>
      <c r="P61" s="53">
        <f>O60*Paths!Z61*Paths!AB61</f>
        <v/>
      </c>
      <c r="Q61" s="53">
        <f>SUMPRODUCT((Events!$B$6:$B$158&lt;=$A61)*(Events!$C$6:$C$158&gt;=$A61)*(Events!$E$6:$E$158="Loan")*(Events!$F$6:$F$158="Rescue")*Events!$H$6:$H$158)</f>
        <v/>
      </c>
      <c r="R61" s="53">
        <f>0</f>
        <v/>
      </c>
      <c r="S61" s="53">
        <f>0</f>
        <v/>
      </c>
      <c r="T61" s="53">
        <f>T60+Q61-R61-S61</f>
        <v/>
      </c>
      <c r="U61" s="53">
        <f>T60*rescue_coupon</f>
        <v/>
      </c>
      <c r="V61" s="53">
        <f>B61+G61+L61+Q61</f>
        <v/>
      </c>
      <c r="W61" s="53">
        <f>C61+H61+M61+R61</f>
        <v/>
      </c>
      <c r="X61" s="53">
        <f>E61+J61+O61+T61</f>
        <v/>
      </c>
      <c r="Y61" s="53">
        <f>F61+K61+P61+U61</f>
        <v/>
      </c>
    </row>
    <row r="62">
      <c r="A62" s="58" t="n">
        <v>1902</v>
      </c>
      <c r="B62" s="53">
        <f>SUMPRODUCT((Events!$B$6:$B$158&lt;=$A62)*(Events!$C$6:$C$158&gt;=$A62)*(Events!$E$6:$E$158="Loan")*(Events!$F$6:$F$158="Continental")*Events!$H$6:$H$158)</f>
        <v/>
      </c>
      <c r="C62" s="53">
        <f>E61*cont_repay</f>
        <v/>
      </c>
      <c r="D62" s="53">
        <f>0</f>
        <v/>
      </c>
      <c r="E62" s="53">
        <f>E61+B62-C62-D62</f>
        <v/>
      </c>
      <c r="F62" s="53">
        <f>E61*cont_coupon</f>
        <v/>
      </c>
      <c r="G62" s="53">
        <f>SUMPRODUCT((Events!$B$6:$B$158&lt;=$A62)*(Events!$C$6:$C$158&gt;=$A62)*(Events!$E$6:$E$158="Loan")*(Events!$F$6:$F$158="Asia")*Events!$H$6:$H$158)</f>
        <v/>
      </c>
      <c r="H62" s="53">
        <f>J61*asia_repay</f>
        <v/>
      </c>
      <c r="I62" s="53">
        <f>0</f>
        <v/>
      </c>
      <c r="J62" s="53">
        <f>J61+G62-H62-I62</f>
        <v/>
      </c>
      <c r="K62" s="53">
        <f>J61*asia_coupon</f>
        <v/>
      </c>
      <c r="L62" s="53">
        <f>SUMPRODUCT((Events!$B$6:$B$158&lt;=$A62)*(Events!$C$6:$C$158&gt;=$A62)*(Events!$E$6:$E$158="Loan")*(Events!$F$6:$F$158="Europe")*Events!$H$6:$H$158)</f>
        <v/>
      </c>
      <c r="M62" s="53">
        <f>O61*Paths!AA62</f>
        <v/>
      </c>
      <c r="N62" s="53">
        <f>IF($A62=1918,russia_writeoff*(O61+L62),0)</f>
        <v/>
      </c>
      <c r="O62" s="53">
        <f>O61+L62-M62-N62</f>
        <v/>
      </c>
      <c r="P62" s="53">
        <f>O61*Paths!Z62*Paths!AB62</f>
        <v/>
      </c>
      <c r="Q62" s="53">
        <f>SUMPRODUCT((Events!$B$6:$B$158&lt;=$A62)*(Events!$C$6:$C$158&gt;=$A62)*(Events!$E$6:$E$158="Loan")*(Events!$F$6:$F$158="Rescue")*Events!$H$6:$H$158)</f>
        <v/>
      </c>
      <c r="R62" s="53">
        <f>0</f>
        <v/>
      </c>
      <c r="S62" s="53">
        <f>0</f>
        <v/>
      </c>
      <c r="T62" s="53">
        <f>T61+Q62-R62-S62</f>
        <v/>
      </c>
      <c r="U62" s="53">
        <f>T61*rescue_coupon</f>
        <v/>
      </c>
      <c r="V62" s="53">
        <f>B62+G62+L62+Q62</f>
        <v/>
      </c>
      <c r="W62" s="53">
        <f>C62+H62+M62+R62</f>
        <v/>
      </c>
      <c r="X62" s="53">
        <f>E62+J62+O62+T62</f>
        <v/>
      </c>
      <c r="Y62" s="53">
        <f>F62+K62+P62+U62</f>
        <v/>
      </c>
    </row>
    <row r="63">
      <c r="A63" s="58" t="n">
        <v>1903</v>
      </c>
      <c r="B63" s="53">
        <f>SUMPRODUCT((Events!$B$6:$B$158&lt;=$A63)*(Events!$C$6:$C$158&gt;=$A63)*(Events!$E$6:$E$158="Loan")*(Events!$F$6:$F$158="Continental")*Events!$H$6:$H$158)</f>
        <v/>
      </c>
      <c r="C63" s="53">
        <f>E62*cont_repay</f>
        <v/>
      </c>
      <c r="D63" s="53">
        <f>0</f>
        <v/>
      </c>
      <c r="E63" s="53">
        <f>E62+B63-C63-D63</f>
        <v/>
      </c>
      <c r="F63" s="53">
        <f>E62*cont_coupon</f>
        <v/>
      </c>
      <c r="G63" s="53">
        <f>SUMPRODUCT((Events!$B$6:$B$158&lt;=$A63)*(Events!$C$6:$C$158&gt;=$A63)*(Events!$E$6:$E$158="Loan")*(Events!$F$6:$F$158="Asia")*Events!$H$6:$H$158)</f>
        <v/>
      </c>
      <c r="H63" s="53">
        <f>J62*asia_repay</f>
        <v/>
      </c>
      <c r="I63" s="53">
        <f>0</f>
        <v/>
      </c>
      <c r="J63" s="53">
        <f>J62+G63-H63-I63</f>
        <v/>
      </c>
      <c r="K63" s="53">
        <f>J62*asia_coupon</f>
        <v/>
      </c>
      <c r="L63" s="53">
        <f>SUMPRODUCT((Events!$B$6:$B$158&lt;=$A63)*(Events!$C$6:$C$158&gt;=$A63)*(Events!$E$6:$E$158="Loan")*(Events!$F$6:$F$158="Europe")*Events!$H$6:$H$158)</f>
        <v/>
      </c>
      <c r="M63" s="53">
        <f>O62*Paths!AA63</f>
        <v/>
      </c>
      <c r="N63" s="53">
        <f>IF($A63=1918,russia_writeoff*(O62+L63),0)</f>
        <v/>
      </c>
      <c r="O63" s="53">
        <f>O62+L63-M63-N63</f>
        <v/>
      </c>
      <c r="P63" s="53">
        <f>O62*Paths!Z63*Paths!AB63</f>
        <v/>
      </c>
      <c r="Q63" s="53">
        <f>SUMPRODUCT((Events!$B$6:$B$158&lt;=$A63)*(Events!$C$6:$C$158&gt;=$A63)*(Events!$E$6:$E$158="Loan")*(Events!$F$6:$F$158="Rescue")*Events!$H$6:$H$158)</f>
        <v/>
      </c>
      <c r="R63" s="53">
        <f>0</f>
        <v/>
      </c>
      <c r="S63" s="53">
        <f>0</f>
        <v/>
      </c>
      <c r="T63" s="53">
        <f>T62+Q63-R63-S63</f>
        <v/>
      </c>
      <c r="U63" s="53">
        <f>T62*rescue_coupon</f>
        <v/>
      </c>
      <c r="V63" s="53">
        <f>B63+G63+L63+Q63</f>
        <v/>
      </c>
      <c r="W63" s="53">
        <f>C63+H63+M63+R63</f>
        <v/>
      </c>
      <c r="X63" s="53">
        <f>E63+J63+O63+T63</f>
        <v/>
      </c>
      <c r="Y63" s="53">
        <f>F63+K63+P63+U63</f>
        <v/>
      </c>
    </row>
    <row r="64">
      <c r="A64" s="58" t="n">
        <v>1904</v>
      </c>
      <c r="B64" s="53">
        <f>SUMPRODUCT((Events!$B$6:$B$158&lt;=$A64)*(Events!$C$6:$C$158&gt;=$A64)*(Events!$E$6:$E$158="Loan")*(Events!$F$6:$F$158="Continental")*Events!$H$6:$H$158)</f>
        <v/>
      </c>
      <c r="C64" s="53">
        <f>E63*cont_repay</f>
        <v/>
      </c>
      <c r="D64" s="53">
        <f>0</f>
        <v/>
      </c>
      <c r="E64" s="53">
        <f>E63+B64-C64-D64</f>
        <v/>
      </c>
      <c r="F64" s="53">
        <f>E63*cont_coupon</f>
        <v/>
      </c>
      <c r="G64" s="53">
        <f>SUMPRODUCT((Events!$B$6:$B$158&lt;=$A64)*(Events!$C$6:$C$158&gt;=$A64)*(Events!$E$6:$E$158="Loan")*(Events!$F$6:$F$158="Asia")*Events!$H$6:$H$158)</f>
        <v/>
      </c>
      <c r="H64" s="53">
        <f>J63*asia_repay</f>
        <v/>
      </c>
      <c r="I64" s="53">
        <f>0</f>
        <v/>
      </c>
      <c r="J64" s="53">
        <f>J63+G64-H64-I64</f>
        <v/>
      </c>
      <c r="K64" s="53">
        <f>J63*asia_coupon</f>
        <v/>
      </c>
      <c r="L64" s="53">
        <f>SUMPRODUCT((Events!$B$6:$B$158&lt;=$A64)*(Events!$C$6:$C$158&gt;=$A64)*(Events!$E$6:$E$158="Loan")*(Events!$F$6:$F$158="Europe")*Events!$H$6:$H$158)</f>
        <v/>
      </c>
      <c r="M64" s="53">
        <f>O63*Paths!AA64</f>
        <v/>
      </c>
      <c r="N64" s="53">
        <f>IF($A64=1918,russia_writeoff*(O63+L64),0)</f>
        <v/>
      </c>
      <c r="O64" s="53">
        <f>O63+L64-M64-N64</f>
        <v/>
      </c>
      <c r="P64" s="53">
        <f>O63*Paths!Z64*Paths!AB64</f>
        <v/>
      </c>
      <c r="Q64" s="53">
        <f>SUMPRODUCT((Events!$B$6:$B$158&lt;=$A64)*(Events!$C$6:$C$158&gt;=$A64)*(Events!$E$6:$E$158="Loan")*(Events!$F$6:$F$158="Rescue")*Events!$H$6:$H$158)</f>
        <v/>
      </c>
      <c r="R64" s="53">
        <f>0</f>
        <v/>
      </c>
      <c r="S64" s="53">
        <f>0</f>
        <v/>
      </c>
      <c r="T64" s="53">
        <f>T63+Q64-R64-S64</f>
        <v/>
      </c>
      <c r="U64" s="53">
        <f>T63*rescue_coupon</f>
        <v/>
      </c>
      <c r="V64" s="53">
        <f>B64+G64+L64+Q64</f>
        <v/>
      </c>
      <c r="W64" s="53">
        <f>C64+H64+M64+R64</f>
        <v/>
      </c>
      <c r="X64" s="53">
        <f>E64+J64+O64+T64</f>
        <v/>
      </c>
      <c r="Y64" s="53">
        <f>F64+K64+P64+U64</f>
        <v/>
      </c>
    </row>
    <row r="65">
      <c r="A65" s="58" t="n">
        <v>1905</v>
      </c>
      <c r="B65" s="53">
        <f>SUMPRODUCT((Events!$B$6:$B$158&lt;=$A65)*(Events!$C$6:$C$158&gt;=$A65)*(Events!$E$6:$E$158="Loan")*(Events!$F$6:$F$158="Continental")*Events!$H$6:$H$158)</f>
        <v/>
      </c>
      <c r="C65" s="53">
        <f>E64*cont_repay</f>
        <v/>
      </c>
      <c r="D65" s="53">
        <f>0</f>
        <v/>
      </c>
      <c r="E65" s="53">
        <f>E64+B65-C65-D65</f>
        <v/>
      </c>
      <c r="F65" s="53">
        <f>E64*cont_coupon</f>
        <v/>
      </c>
      <c r="G65" s="53">
        <f>SUMPRODUCT((Events!$B$6:$B$158&lt;=$A65)*(Events!$C$6:$C$158&gt;=$A65)*(Events!$E$6:$E$158="Loan")*(Events!$F$6:$F$158="Asia")*Events!$H$6:$H$158)</f>
        <v/>
      </c>
      <c r="H65" s="53">
        <f>J64*asia_repay</f>
        <v/>
      </c>
      <c r="I65" s="53">
        <f>0</f>
        <v/>
      </c>
      <c r="J65" s="53">
        <f>J64+G65-H65-I65</f>
        <v/>
      </c>
      <c r="K65" s="53">
        <f>J64*asia_coupon</f>
        <v/>
      </c>
      <c r="L65" s="53">
        <f>SUMPRODUCT((Events!$B$6:$B$158&lt;=$A65)*(Events!$C$6:$C$158&gt;=$A65)*(Events!$E$6:$E$158="Loan")*(Events!$F$6:$F$158="Europe")*Events!$H$6:$H$158)</f>
        <v/>
      </c>
      <c r="M65" s="53">
        <f>O64*Paths!AA65</f>
        <v/>
      </c>
      <c r="N65" s="53">
        <f>IF($A65=1918,russia_writeoff*(O64+L65),0)</f>
        <v/>
      </c>
      <c r="O65" s="53">
        <f>O64+L65-M65-N65</f>
        <v/>
      </c>
      <c r="P65" s="53">
        <f>O64*Paths!Z65*Paths!AB65</f>
        <v/>
      </c>
      <c r="Q65" s="53">
        <f>SUMPRODUCT((Events!$B$6:$B$158&lt;=$A65)*(Events!$C$6:$C$158&gt;=$A65)*(Events!$E$6:$E$158="Loan")*(Events!$F$6:$F$158="Rescue")*Events!$H$6:$H$158)</f>
        <v/>
      </c>
      <c r="R65" s="53">
        <f>0</f>
        <v/>
      </c>
      <c r="S65" s="53">
        <f>0</f>
        <v/>
      </c>
      <c r="T65" s="53">
        <f>T64+Q65-R65-S65</f>
        <v/>
      </c>
      <c r="U65" s="53">
        <f>T64*rescue_coupon</f>
        <v/>
      </c>
      <c r="V65" s="53">
        <f>B65+G65+L65+Q65</f>
        <v/>
      </c>
      <c r="W65" s="53">
        <f>C65+H65+M65+R65</f>
        <v/>
      </c>
      <c r="X65" s="53">
        <f>E65+J65+O65+T65</f>
        <v/>
      </c>
      <c r="Y65" s="53">
        <f>F65+K65+P65+U65</f>
        <v/>
      </c>
    </row>
    <row r="66">
      <c r="A66" s="58" t="n">
        <v>1906</v>
      </c>
      <c r="B66" s="53">
        <f>SUMPRODUCT((Events!$B$6:$B$158&lt;=$A66)*(Events!$C$6:$C$158&gt;=$A66)*(Events!$E$6:$E$158="Loan")*(Events!$F$6:$F$158="Continental")*Events!$H$6:$H$158)</f>
        <v/>
      </c>
      <c r="C66" s="53">
        <f>E65*cont_repay</f>
        <v/>
      </c>
      <c r="D66" s="53">
        <f>0</f>
        <v/>
      </c>
      <c r="E66" s="53">
        <f>E65+B66-C66-D66</f>
        <v/>
      </c>
      <c r="F66" s="53">
        <f>E65*cont_coupon</f>
        <v/>
      </c>
      <c r="G66" s="53">
        <f>SUMPRODUCT((Events!$B$6:$B$158&lt;=$A66)*(Events!$C$6:$C$158&gt;=$A66)*(Events!$E$6:$E$158="Loan")*(Events!$F$6:$F$158="Asia")*Events!$H$6:$H$158)</f>
        <v/>
      </c>
      <c r="H66" s="53">
        <f>J65*asia_repay</f>
        <v/>
      </c>
      <c r="I66" s="53">
        <f>0</f>
        <v/>
      </c>
      <c r="J66" s="53">
        <f>J65+G66-H66-I66</f>
        <v/>
      </c>
      <c r="K66" s="53">
        <f>J65*asia_coupon</f>
        <v/>
      </c>
      <c r="L66" s="53">
        <f>SUMPRODUCT((Events!$B$6:$B$158&lt;=$A66)*(Events!$C$6:$C$158&gt;=$A66)*(Events!$E$6:$E$158="Loan")*(Events!$F$6:$F$158="Europe")*Events!$H$6:$H$158)</f>
        <v/>
      </c>
      <c r="M66" s="53">
        <f>O65*Paths!AA66</f>
        <v/>
      </c>
      <c r="N66" s="53">
        <f>IF($A66=1918,russia_writeoff*(O65+L66),0)</f>
        <v/>
      </c>
      <c r="O66" s="53">
        <f>O65+L66-M66-N66</f>
        <v/>
      </c>
      <c r="P66" s="53">
        <f>O65*Paths!Z66*Paths!AB66</f>
        <v/>
      </c>
      <c r="Q66" s="53">
        <f>SUMPRODUCT((Events!$B$6:$B$158&lt;=$A66)*(Events!$C$6:$C$158&gt;=$A66)*(Events!$E$6:$E$158="Loan")*(Events!$F$6:$F$158="Rescue")*Events!$H$6:$H$158)</f>
        <v/>
      </c>
      <c r="R66" s="53">
        <f>0</f>
        <v/>
      </c>
      <c r="S66" s="53">
        <f>0</f>
        <v/>
      </c>
      <c r="T66" s="53">
        <f>T65+Q66-R66-S66</f>
        <v/>
      </c>
      <c r="U66" s="53">
        <f>T65*rescue_coupon</f>
        <v/>
      </c>
      <c r="V66" s="53">
        <f>B66+G66+L66+Q66</f>
        <v/>
      </c>
      <c r="W66" s="53">
        <f>C66+H66+M66+R66</f>
        <v/>
      </c>
      <c r="X66" s="53">
        <f>E66+J66+O66+T66</f>
        <v/>
      </c>
      <c r="Y66" s="53">
        <f>F66+K66+P66+U66</f>
        <v/>
      </c>
    </row>
    <row r="67">
      <c r="A67" s="58" t="n">
        <v>1907</v>
      </c>
      <c r="B67" s="53">
        <f>SUMPRODUCT((Events!$B$6:$B$158&lt;=$A67)*(Events!$C$6:$C$158&gt;=$A67)*(Events!$E$6:$E$158="Loan")*(Events!$F$6:$F$158="Continental")*Events!$H$6:$H$158)</f>
        <v/>
      </c>
      <c r="C67" s="53">
        <f>E66*cont_repay</f>
        <v/>
      </c>
      <c r="D67" s="53">
        <f>0</f>
        <v/>
      </c>
      <c r="E67" s="53">
        <f>E66+B67-C67-D67</f>
        <v/>
      </c>
      <c r="F67" s="53">
        <f>E66*cont_coupon</f>
        <v/>
      </c>
      <c r="G67" s="53">
        <f>SUMPRODUCT((Events!$B$6:$B$158&lt;=$A67)*(Events!$C$6:$C$158&gt;=$A67)*(Events!$E$6:$E$158="Loan")*(Events!$F$6:$F$158="Asia")*Events!$H$6:$H$158)</f>
        <v/>
      </c>
      <c r="H67" s="53">
        <f>J66*asia_repay</f>
        <v/>
      </c>
      <c r="I67" s="53">
        <f>0</f>
        <v/>
      </c>
      <c r="J67" s="53">
        <f>J66+G67-H67-I67</f>
        <v/>
      </c>
      <c r="K67" s="53">
        <f>J66*asia_coupon</f>
        <v/>
      </c>
      <c r="L67" s="53">
        <f>SUMPRODUCT((Events!$B$6:$B$158&lt;=$A67)*(Events!$C$6:$C$158&gt;=$A67)*(Events!$E$6:$E$158="Loan")*(Events!$F$6:$F$158="Europe")*Events!$H$6:$H$158)</f>
        <v/>
      </c>
      <c r="M67" s="53">
        <f>O66*Paths!AA67</f>
        <v/>
      </c>
      <c r="N67" s="53">
        <f>IF($A67=1918,russia_writeoff*(O66+L67),0)</f>
        <v/>
      </c>
      <c r="O67" s="53">
        <f>O66+L67-M67-N67</f>
        <v/>
      </c>
      <c r="P67" s="53">
        <f>O66*Paths!Z67*Paths!AB67</f>
        <v/>
      </c>
      <c r="Q67" s="53">
        <f>SUMPRODUCT((Events!$B$6:$B$158&lt;=$A67)*(Events!$C$6:$C$158&gt;=$A67)*(Events!$E$6:$E$158="Loan")*(Events!$F$6:$F$158="Rescue")*Events!$H$6:$H$158)</f>
        <v/>
      </c>
      <c r="R67" s="53">
        <f>0</f>
        <v/>
      </c>
      <c r="S67" s="53">
        <f>0</f>
        <v/>
      </c>
      <c r="T67" s="53">
        <f>T66+Q67-R67-S67</f>
        <v/>
      </c>
      <c r="U67" s="53">
        <f>T66*rescue_coupon</f>
        <v/>
      </c>
      <c r="V67" s="53">
        <f>B67+G67+L67+Q67</f>
        <v/>
      </c>
      <c r="W67" s="53">
        <f>C67+H67+M67+R67</f>
        <v/>
      </c>
      <c r="X67" s="53">
        <f>E67+J67+O67+T67</f>
        <v/>
      </c>
      <c r="Y67" s="53">
        <f>F67+K67+P67+U67</f>
        <v/>
      </c>
    </row>
    <row r="68">
      <c r="A68" s="58" t="n">
        <v>1908</v>
      </c>
      <c r="B68" s="53">
        <f>SUMPRODUCT((Events!$B$6:$B$158&lt;=$A68)*(Events!$C$6:$C$158&gt;=$A68)*(Events!$E$6:$E$158="Loan")*(Events!$F$6:$F$158="Continental")*Events!$H$6:$H$158)</f>
        <v/>
      </c>
      <c r="C68" s="53">
        <f>E67*cont_repay</f>
        <v/>
      </c>
      <c r="D68" s="53">
        <f>0</f>
        <v/>
      </c>
      <c r="E68" s="53">
        <f>E67+B68-C68-D68</f>
        <v/>
      </c>
      <c r="F68" s="53">
        <f>E67*cont_coupon</f>
        <v/>
      </c>
      <c r="G68" s="53">
        <f>SUMPRODUCT((Events!$B$6:$B$158&lt;=$A68)*(Events!$C$6:$C$158&gt;=$A68)*(Events!$E$6:$E$158="Loan")*(Events!$F$6:$F$158="Asia")*Events!$H$6:$H$158)</f>
        <v/>
      </c>
      <c r="H68" s="53">
        <f>J67*asia_repay</f>
        <v/>
      </c>
      <c r="I68" s="53">
        <f>0</f>
        <v/>
      </c>
      <c r="J68" s="53">
        <f>J67+G68-H68-I68</f>
        <v/>
      </c>
      <c r="K68" s="53">
        <f>J67*asia_coupon</f>
        <v/>
      </c>
      <c r="L68" s="53">
        <f>SUMPRODUCT((Events!$B$6:$B$158&lt;=$A68)*(Events!$C$6:$C$158&gt;=$A68)*(Events!$E$6:$E$158="Loan")*(Events!$F$6:$F$158="Europe")*Events!$H$6:$H$158)</f>
        <v/>
      </c>
      <c r="M68" s="53">
        <f>O67*Paths!AA68</f>
        <v/>
      </c>
      <c r="N68" s="53">
        <f>IF($A68=1918,russia_writeoff*(O67+L68),0)</f>
        <v/>
      </c>
      <c r="O68" s="53">
        <f>O67+L68-M68-N68</f>
        <v/>
      </c>
      <c r="P68" s="53">
        <f>O67*Paths!Z68*Paths!AB68</f>
        <v/>
      </c>
      <c r="Q68" s="53">
        <f>SUMPRODUCT((Events!$B$6:$B$158&lt;=$A68)*(Events!$C$6:$C$158&gt;=$A68)*(Events!$E$6:$E$158="Loan")*(Events!$F$6:$F$158="Rescue")*Events!$H$6:$H$158)</f>
        <v/>
      </c>
      <c r="R68" s="53">
        <f>0</f>
        <v/>
      </c>
      <c r="S68" s="53">
        <f>0</f>
        <v/>
      </c>
      <c r="T68" s="53">
        <f>T67+Q68-R68-S68</f>
        <v/>
      </c>
      <c r="U68" s="53">
        <f>T67*rescue_coupon</f>
        <v/>
      </c>
      <c r="V68" s="53">
        <f>B68+G68+L68+Q68</f>
        <v/>
      </c>
      <c r="W68" s="53">
        <f>C68+H68+M68+R68</f>
        <v/>
      </c>
      <c r="X68" s="53">
        <f>E68+J68+O68+T68</f>
        <v/>
      </c>
      <c r="Y68" s="53">
        <f>F68+K68+P68+U68</f>
        <v/>
      </c>
    </row>
    <row r="69">
      <c r="A69" s="58" t="n">
        <v>1909</v>
      </c>
      <c r="B69" s="53">
        <f>SUMPRODUCT((Events!$B$6:$B$158&lt;=$A69)*(Events!$C$6:$C$158&gt;=$A69)*(Events!$E$6:$E$158="Loan")*(Events!$F$6:$F$158="Continental")*Events!$H$6:$H$158)</f>
        <v/>
      </c>
      <c r="C69" s="53">
        <f>E68*cont_repay</f>
        <v/>
      </c>
      <c r="D69" s="53">
        <f>0</f>
        <v/>
      </c>
      <c r="E69" s="53">
        <f>E68+B69-C69-D69</f>
        <v/>
      </c>
      <c r="F69" s="53">
        <f>E68*cont_coupon</f>
        <v/>
      </c>
      <c r="G69" s="53">
        <f>SUMPRODUCT((Events!$B$6:$B$158&lt;=$A69)*(Events!$C$6:$C$158&gt;=$A69)*(Events!$E$6:$E$158="Loan")*(Events!$F$6:$F$158="Asia")*Events!$H$6:$H$158)</f>
        <v/>
      </c>
      <c r="H69" s="53">
        <f>J68*asia_repay</f>
        <v/>
      </c>
      <c r="I69" s="53">
        <f>0</f>
        <v/>
      </c>
      <c r="J69" s="53">
        <f>J68+G69-H69-I69</f>
        <v/>
      </c>
      <c r="K69" s="53">
        <f>J68*asia_coupon</f>
        <v/>
      </c>
      <c r="L69" s="53">
        <f>SUMPRODUCT((Events!$B$6:$B$158&lt;=$A69)*(Events!$C$6:$C$158&gt;=$A69)*(Events!$E$6:$E$158="Loan")*(Events!$F$6:$F$158="Europe")*Events!$H$6:$H$158)</f>
        <v/>
      </c>
      <c r="M69" s="53">
        <f>O68*Paths!AA69</f>
        <v/>
      </c>
      <c r="N69" s="53">
        <f>IF($A69=1918,russia_writeoff*(O68+L69),0)</f>
        <v/>
      </c>
      <c r="O69" s="53">
        <f>O68+L69-M69-N69</f>
        <v/>
      </c>
      <c r="P69" s="53">
        <f>O68*Paths!Z69*Paths!AB69</f>
        <v/>
      </c>
      <c r="Q69" s="53">
        <f>SUMPRODUCT((Events!$B$6:$B$158&lt;=$A69)*(Events!$C$6:$C$158&gt;=$A69)*(Events!$E$6:$E$158="Loan")*(Events!$F$6:$F$158="Rescue")*Events!$H$6:$H$158)</f>
        <v/>
      </c>
      <c r="R69" s="53">
        <f>0</f>
        <v/>
      </c>
      <c r="S69" s="53">
        <f>0</f>
        <v/>
      </c>
      <c r="T69" s="53">
        <f>T68+Q69-R69-S69</f>
        <v/>
      </c>
      <c r="U69" s="53">
        <f>T68*rescue_coupon</f>
        <v/>
      </c>
      <c r="V69" s="53">
        <f>B69+G69+L69+Q69</f>
        <v/>
      </c>
      <c r="W69" s="53">
        <f>C69+H69+M69+R69</f>
        <v/>
      </c>
      <c r="X69" s="53">
        <f>E69+J69+O69+T69</f>
        <v/>
      </c>
      <c r="Y69" s="53">
        <f>F69+K69+P69+U69</f>
        <v/>
      </c>
    </row>
    <row r="70">
      <c r="A70" s="58" t="n">
        <v>1910</v>
      </c>
      <c r="B70" s="53">
        <f>SUMPRODUCT((Events!$B$6:$B$158&lt;=$A70)*(Events!$C$6:$C$158&gt;=$A70)*(Events!$E$6:$E$158="Loan")*(Events!$F$6:$F$158="Continental")*Events!$H$6:$H$158)</f>
        <v/>
      </c>
      <c r="C70" s="53">
        <f>E69*cont_repay</f>
        <v/>
      </c>
      <c r="D70" s="53">
        <f>0</f>
        <v/>
      </c>
      <c r="E70" s="53">
        <f>E69+B70-C70-D70</f>
        <v/>
      </c>
      <c r="F70" s="53">
        <f>E69*cont_coupon</f>
        <v/>
      </c>
      <c r="G70" s="53">
        <f>SUMPRODUCT((Events!$B$6:$B$158&lt;=$A70)*(Events!$C$6:$C$158&gt;=$A70)*(Events!$E$6:$E$158="Loan")*(Events!$F$6:$F$158="Asia")*Events!$H$6:$H$158)</f>
        <v/>
      </c>
      <c r="H70" s="53">
        <f>J69*asia_repay</f>
        <v/>
      </c>
      <c r="I70" s="53">
        <f>0</f>
        <v/>
      </c>
      <c r="J70" s="53">
        <f>J69+G70-H70-I70</f>
        <v/>
      </c>
      <c r="K70" s="53">
        <f>J69*asia_coupon</f>
        <v/>
      </c>
      <c r="L70" s="53">
        <f>SUMPRODUCT((Events!$B$6:$B$158&lt;=$A70)*(Events!$C$6:$C$158&gt;=$A70)*(Events!$E$6:$E$158="Loan")*(Events!$F$6:$F$158="Europe")*Events!$H$6:$H$158)</f>
        <v/>
      </c>
      <c r="M70" s="53">
        <f>O69*Paths!AA70</f>
        <v/>
      </c>
      <c r="N70" s="53">
        <f>IF($A70=1918,russia_writeoff*(O69+L70),0)</f>
        <v/>
      </c>
      <c r="O70" s="53">
        <f>O69+L70-M70-N70</f>
        <v/>
      </c>
      <c r="P70" s="53">
        <f>O69*Paths!Z70*Paths!AB70</f>
        <v/>
      </c>
      <c r="Q70" s="53">
        <f>SUMPRODUCT((Events!$B$6:$B$158&lt;=$A70)*(Events!$C$6:$C$158&gt;=$A70)*(Events!$E$6:$E$158="Loan")*(Events!$F$6:$F$158="Rescue")*Events!$H$6:$H$158)</f>
        <v/>
      </c>
      <c r="R70" s="53">
        <f>0</f>
        <v/>
      </c>
      <c r="S70" s="53">
        <f>0</f>
        <v/>
      </c>
      <c r="T70" s="53">
        <f>T69+Q70-R70-S70</f>
        <v/>
      </c>
      <c r="U70" s="53">
        <f>T69*rescue_coupon</f>
        <v/>
      </c>
      <c r="V70" s="53">
        <f>B70+G70+L70+Q70</f>
        <v/>
      </c>
      <c r="W70" s="53">
        <f>C70+H70+M70+R70</f>
        <v/>
      </c>
      <c r="X70" s="53">
        <f>E70+J70+O70+T70</f>
        <v/>
      </c>
      <c r="Y70" s="53">
        <f>F70+K70+P70+U70</f>
        <v/>
      </c>
    </row>
    <row r="71">
      <c r="A71" s="58" t="n">
        <v>1911</v>
      </c>
      <c r="B71" s="53">
        <f>SUMPRODUCT((Events!$B$6:$B$158&lt;=$A71)*(Events!$C$6:$C$158&gt;=$A71)*(Events!$E$6:$E$158="Loan")*(Events!$F$6:$F$158="Continental")*Events!$H$6:$H$158)</f>
        <v/>
      </c>
      <c r="C71" s="53">
        <f>E70*cont_repay</f>
        <v/>
      </c>
      <c r="D71" s="53">
        <f>0</f>
        <v/>
      </c>
      <c r="E71" s="53">
        <f>E70+B71-C71-D71</f>
        <v/>
      </c>
      <c r="F71" s="53">
        <f>E70*cont_coupon</f>
        <v/>
      </c>
      <c r="G71" s="53">
        <f>SUMPRODUCT((Events!$B$6:$B$158&lt;=$A71)*(Events!$C$6:$C$158&gt;=$A71)*(Events!$E$6:$E$158="Loan")*(Events!$F$6:$F$158="Asia")*Events!$H$6:$H$158)</f>
        <v/>
      </c>
      <c r="H71" s="53">
        <f>J70*asia_repay</f>
        <v/>
      </c>
      <c r="I71" s="53">
        <f>0</f>
        <v/>
      </c>
      <c r="J71" s="53">
        <f>J70+G71-H71-I71</f>
        <v/>
      </c>
      <c r="K71" s="53">
        <f>J70*asia_coupon</f>
        <v/>
      </c>
      <c r="L71" s="53">
        <f>SUMPRODUCT((Events!$B$6:$B$158&lt;=$A71)*(Events!$C$6:$C$158&gt;=$A71)*(Events!$E$6:$E$158="Loan")*(Events!$F$6:$F$158="Europe")*Events!$H$6:$H$158)</f>
        <v/>
      </c>
      <c r="M71" s="53">
        <f>O70*Paths!AA71</f>
        <v/>
      </c>
      <c r="N71" s="53">
        <f>IF($A71=1918,russia_writeoff*(O70+L71),0)</f>
        <v/>
      </c>
      <c r="O71" s="53">
        <f>O70+L71-M71-N71</f>
        <v/>
      </c>
      <c r="P71" s="53">
        <f>O70*Paths!Z71*Paths!AB71</f>
        <v/>
      </c>
      <c r="Q71" s="53">
        <f>SUMPRODUCT((Events!$B$6:$B$158&lt;=$A71)*(Events!$C$6:$C$158&gt;=$A71)*(Events!$E$6:$E$158="Loan")*(Events!$F$6:$F$158="Rescue")*Events!$H$6:$H$158)</f>
        <v/>
      </c>
      <c r="R71" s="53">
        <f>0</f>
        <v/>
      </c>
      <c r="S71" s="53">
        <f>0</f>
        <v/>
      </c>
      <c r="T71" s="53">
        <f>T70+Q71-R71-S71</f>
        <v/>
      </c>
      <c r="U71" s="53">
        <f>T70*rescue_coupon</f>
        <v/>
      </c>
      <c r="V71" s="53">
        <f>B71+G71+L71+Q71</f>
        <v/>
      </c>
      <c r="W71" s="53">
        <f>C71+H71+M71+R71</f>
        <v/>
      </c>
      <c r="X71" s="53">
        <f>E71+J71+O71+T71</f>
        <v/>
      </c>
      <c r="Y71" s="53">
        <f>F71+K71+P71+U71</f>
        <v/>
      </c>
    </row>
    <row r="72">
      <c r="A72" s="58" t="n">
        <v>1912</v>
      </c>
      <c r="B72" s="53">
        <f>SUMPRODUCT((Events!$B$6:$B$158&lt;=$A72)*(Events!$C$6:$C$158&gt;=$A72)*(Events!$E$6:$E$158="Loan")*(Events!$F$6:$F$158="Continental")*Events!$H$6:$H$158)</f>
        <v/>
      </c>
      <c r="C72" s="53">
        <f>E71*cont_repay</f>
        <v/>
      </c>
      <c r="D72" s="53">
        <f>0</f>
        <v/>
      </c>
      <c r="E72" s="53">
        <f>E71+B72-C72-D72</f>
        <v/>
      </c>
      <c r="F72" s="53">
        <f>E71*cont_coupon</f>
        <v/>
      </c>
      <c r="G72" s="53">
        <f>SUMPRODUCT((Events!$B$6:$B$158&lt;=$A72)*(Events!$C$6:$C$158&gt;=$A72)*(Events!$E$6:$E$158="Loan")*(Events!$F$6:$F$158="Asia")*Events!$H$6:$H$158)</f>
        <v/>
      </c>
      <c r="H72" s="53">
        <f>J71*asia_repay</f>
        <v/>
      </c>
      <c r="I72" s="53">
        <f>0</f>
        <v/>
      </c>
      <c r="J72" s="53">
        <f>J71+G72-H72-I72</f>
        <v/>
      </c>
      <c r="K72" s="53">
        <f>J71*asia_coupon</f>
        <v/>
      </c>
      <c r="L72" s="53">
        <f>SUMPRODUCT((Events!$B$6:$B$158&lt;=$A72)*(Events!$C$6:$C$158&gt;=$A72)*(Events!$E$6:$E$158="Loan")*(Events!$F$6:$F$158="Europe")*Events!$H$6:$H$158)</f>
        <v/>
      </c>
      <c r="M72" s="53">
        <f>O71*Paths!AA72</f>
        <v/>
      </c>
      <c r="N72" s="53">
        <f>IF($A72=1918,russia_writeoff*(O71+L72),0)</f>
        <v/>
      </c>
      <c r="O72" s="53">
        <f>O71+L72-M72-N72</f>
        <v/>
      </c>
      <c r="P72" s="53">
        <f>O71*Paths!Z72*Paths!AB72</f>
        <v/>
      </c>
      <c r="Q72" s="53">
        <f>SUMPRODUCT((Events!$B$6:$B$158&lt;=$A72)*(Events!$C$6:$C$158&gt;=$A72)*(Events!$E$6:$E$158="Loan")*(Events!$F$6:$F$158="Rescue")*Events!$H$6:$H$158)</f>
        <v/>
      </c>
      <c r="R72" s="53">
        <f>0</f>
        <v/>
      </c>
      <c r="S72" s="53">
        <f>0</f>
        <v/>
      </c>
      <c r="T72" s="53">
        <f>T71+Q72-R72-S72</f>
        <v/>
      </c>
      <c r="U72" s="53">
        <f>T71*rescue_coupon</f>
        <v/>
      </c>
      <c r="V72" s="53">
        <f>B72+G72+L72+Q72</f>
        <v/>
      </c>
      <c r="W72" s="53">
        <f>C72+H72+M72+R72</f>
        <v/>
      </c>
      <c r="X72" s="53">
        <f>E72+J72+O72+T72</f>
        <v/>
      </c>
      <c r="Y72" s="53">
        <f>F72+K72+P72+U72</f>
        <v/>
      </c>
    </row>
    <row r="73">
      <c r="A73" s="58" t="n">
        <v>1913</v>
      </c>
      <c r="B73" s="53">
        <f>SUMPRODUCT((Events!$B$6:$B$158&lt;=$A73)*(Events!$C$6:$C$158&gt;=$A73)*(Events!$E$6:$E$158="Loan")*(Events!$F$6:$F$158="Continental")*Events!$H$6:$H$158)</f>
        <v/>
      </c>
      <c r="C73" s="53">
        <f>E72*cont_repay</f>
        <v/>
      </c>
      <c r="D73" s="53">
        <f>0</f>
        <v/>
      </c>
      <c r="E73" s="53">
        <f>E72+B73-C73-D73</f>
        <v/>
      </c>
      <c r="F73" s="53">
        <f>E72*cont_coupon</f>
        <v/>
      </c>
      <c r="G73" s="53">
        <f>SUMPRODUCT((Events!$B$6:$B$158&lt;=$A73)*(Events!$C$6:$C$158&gt;=$A73)*(Events!$E$6:$E$158="Loan")*(Events!$F$6:$F$158="Asia")*Events!$H$6:$H$158)</f>
        <v/>
      </c>
      <c r="H73" s="53">
        <f>J72*asia_repay</f>
        <v/>
      </c>
      <c r="I73" s="53">
        <f>0</f>
        <v/>
      </c>
      <c r="J73" s="53">
        <f>J72+G73-H73-I73</f>
        <v/>
      </c>
      <c r="K73" s="53">
        <f>J72*asia_coupon</f>
        <v/>
      </c>
      <c r="L73" s="53">
        <f>SUMPRODUCT((Events!$B$6:$B$158&lt;=$A73)*(Events!$C$6:$C$158&gt;=$A73)*(Events!$E$6:$E$158="Loan")*(Events!$F$6:$F$158="Europe")*Events!$H$6:$H$158)</f>
        <v/>
      </c>
      <c r="M73" s="53">
        <f>O72*Paths!AA73</f>
        <v/>
      </c>
      <c r="N73" s="53">
        <f>IF($A73=1918,russia_writeoff*(O72+L73),0)</f>
        <v/>
      </c>
      <c r="O73" s="53">
        <f>O72+L73-M73-N73</f>
        <v/>
      </c>
      <c r="P73" s="53">
        <f>O72*Paths!Z73*Paths!AB73</f>
        <v/>
      </c>
      <c r="Q73" s="53">
        <f>SUMPRODUCT((Events!$B$6:$B$158&lt;=$A73)*(Events!$C$6:$C$158&gt;=$A73)*(Events!$E$6:$E$158="Loan")*(Events!$F$6:$F$158="Rescue")*Events!$H$6:$H$158)</f>
        <v/>
      </c>
      <c r="R73" s="53">
        <f>0</f>
        <v/>
      </c>
      <c r="S73" s="53">
        <f>0</f>
        <v/>
      </c>
      <c r="T73" s="53">
        <f>T72+Q73-R73-S73</f>
        <v/>
      </c>
      <c r="U73" s="53">
        <f>T72*rescue_coupon</f>
        <v/>
      </c>
      <c r="V73" s="53">
        <f>B73+G73+L73+Q73</f>
        <v/>
      </c>
      <c r="W73" s="53">
        <f>C73+H73+M73+R73</f>
        <v/>
      </c>
      <c r="X73" s="53">
        <f>E73+J73+O73+T73</f>
        <v/>
      </c>
      <c r="Y73" s="53">
        <f>F73+K73+P73+U73</f>
        <v/>
      </c>
    </row>
    <row r="74">
      <c r="A74" s="61" t="n">
        <v>1914</v>
      </c>
      <c r="B74" s="53">
        <f>SUMPRODUCT((Events!$B$6:$B$158&lt;=$A74)*(Events!$C$6:$C$158&gt;=$A74)*(Events!$E$6:$E$158="Loan")*(Events!$F$6:$F$158="Continental")*Events!$H$6:$H$158)</f>
        <v/>
      </c>
      <c r="C74" s="53">
        <f>E73*cont_repay</f>
        <v/>
      </c>
      <c r="D74" s="53">
        <f>0</f>
        <v/>
      </c>
      <c r="E74" s="53">
        <f>E73+B74-C74-D74</f>
        <v/>
      </c>
      <c r="F74" s="53">
        <f>E73*cont_coupon</f>
        <v/>
      </c>
      <c r="G74" s="53">
        <f>SUMPRODUCT((Events!$B$6:$B$158&lt;=$A74)*(Events!$C$6:$C$158&gt;=$A74)*(Events!$E$6:$E$158="Loan")*(Events!$F$6:$F$158="Asia")*Events!$H$6:$H$158)</f>
        <v/>
      </c>
      <c r="H74" s="53">
        <f>J73*asia_repay</f>
        <v/>
      </c>
      <c r="I74" s="53">
        <f>0</f>
        <v/>
      </c>
      <c r="J74" s="53">
        <f>J73+G74-H74-I74</f>
        <v/>
      </c>
      <c r="K74" s="53">
        <f>J73*asia_coupon</f>
        <v/>
      </c>
      <c r="L74" s="53">
        <f>SUMPRODUCT((Events!$B$6:$B$158&lt;=$A74)*(Events!$C$6:$C$158&gt;=$A74)*(Events!$E$6:$E$158="Loan")*(Events!$F$6:$F$158="Europe")*Events!$H$6:$H$158)</f>
        <v/>
      </c>
      <c r="M74" s="53">
        <f>O73*Paths!AA74</f>
        <v/>
      </c>
      <c r="N74" s="53">
        <f>IF($A74=1918,russia_writeoff*(O73+L74),0)</f>
        <v/>
      </c>
      <c r="O74" s="53">
        <f>O73+L74-M74-N74</f>
        <v/>
      </c>
      <c r="P74" s="53">
        <f>O73*Paths!Z74*Paths!AB74</f>
        <v/>
      </c>
      <c r="Q74" s="53">
        <f>SUMPRODUCT((Events!$B$6:$B$158&lt;=$A74)*(Events!$C$6:$C$158&gt;=$A74)*(Events!$E$6:$E$158="Loan")*(Events!$F$6:$F$158="Rescue")*Events!$H$6:$H$158)</f>
        <v/>
      </c>
      <c r="R74" s="53">
        <f>0</f>
        <v/>
      </c>
      <c r="S74" s="53">
        <f>0</f>
        <v/>
      </c>
      <c r="T74" s="53">
        <f>T73+Q74-R74-S74</f>
        <v/>
      </c>
      <c r="U74" s="53">
        <f>T73*rescue_coupon</f>
        <v/>
      </c>
      <c r="V74" s="53">
        <f>B74+G74+L74+Q74</f>
        <v/>
      </c>
      <c r="W74" s="53">
        <f>C74+H74+M74+R74</f>
        <v/>
      </c>
      <c r="X74" s="53">
        <f>E74+J74+O74+T74</f>
        <v/>
      </c>
      <c r="Y74" s="53">
        <f>F74+K74+P74+U74</f>
        <v/>
      </c>
    </row>
    <row r="75">
      <c r="A75" s="61" t="n">
        <v>1915</v>
      </c>
      <c r="B75" s="53">
        <f>SUMPRODUCT((Events!$B$6:$B$158&lt;=$A75)*(Events!$C$6:$C$158&gt;=$A75)*(Events!$E$6:$E$158="Loan")*(Events!$F$6:$F$158="Continental")*Events!$H$6:$H$158)</f>
        <v/>
      </c>
      <c r="C75" s="53">
        <f>E74*cont_repay</f>
        <v/>
      </c>
      <c r="D75" s="53">
        <f>0</f>
        <v/>
      </c>
      <c r="E75" s="53">
        <f>E74+B75-C75-D75</f>
        <v/>
      </c>
      <c r="F75" s="53">
        <f>E74*cont_coupon</f>
        <v/>
      </c>
      <c r="G75" s="53">
        <f>SUMPRODUCT((Events!$B$6:$B$158&lt;=$A75)*(Events!$C$6:$C$158&gt;=$A75)*(Events!$E$6:$E$158="Loan")*(Events!$F$6:$F$158="Asia")*Events!$H$6:$H$158)</f>
        <v/>
      </c>
      <c r="H75" s="53">
        <f>J74*asia_repay</f>
        <v/>
      </c>
      <c r="I75" s="53">
        <f>0</f>
        <v/>
      </c>
      <c r="J75" s="53">
        <f>J74+G75-H75-I75</f>
        <v/>
      </c>
      <c r="K75" s="53">
        <f>J74*asia_coupon</f>
        <v/>
      </c>
      <c r="L75" s="53">
        <f>SUMPRODUCT((Events!$B$6:$B$158&lt;=$A75)*(Events!$C$6:$C$158&gt;=$A75)*(Events!$E$6:$E$158="Loan")*(Events!$F$6:$F$158="Europe")*Events!$H$6:$H$158)</f>
        <v/>
      </c>
      <c r="M75" s="53">
        <f>O74*Paths!AA75</f>
        <v/>
      </c>
      <c r="N75" s="53">
        <f>IF($A75=1918,russia_writeoff*(O74+L75),0)</f>
        <v/>
      </c>
      <c r="O75" s="53">
        <f>O74+L75-M75-N75</f>
        <v/>
      </c>
      <c r="P75" s="53">
        <f>O74*Paths!Z75*Paths!AB75</f>
        <v/>
      </c>
      <c r="Q75" s="53">
        <f>SUMPRODUCT((Events!$B$6:$B$158&lt;=$A75)*(Events!$C$6:$C$158&gt;=$A75)*(Events!$E$6:$E$158="Loan")*(Events!$F$6:$F$158="Rescue")*Events!$H$6:$H$158)</f>
        <v/>
      </c>
      <c r="R75" s="53">
        <f>0</f>
        <v/>
      </c>
      <c r="S75" s="53">
        <f>0</f>
        <v/>
      </c>
      <c r="T75" s="53">
        <f>T74+Q75-R75-S75</f>
        <v/>
      </c>
      <c r="U75" s="53">
        <f>T74*rescue_coupon</f>
        <v/>
      </c>
      <c r="V75" s="53">
        <f>B75+G75+L75+Q75</f>
        <v/>
      </c>
      <c r="W75" s="53">
        <f>C75+H75+M75+R75</f>
        <v/>
      </c>
      <c r="X75" s="53">
        <f>E75+J75+O75+T75</f>
        <v/>
      </c>
      <c r="Y75" s="53">
        <f>F75+K75+P75+U75</f>
        <v/>
      </c>
    </row>
    <row r="76">
      <c r="A76" s="61" t="n">
        <v>1916</v>
      </c>
      <c r="B76" s="53">
        <f>SUMPRODUCT((Events!$B$6:$B$158&lt;=$A76)*(Events!$C$6:$C$158&gt;=$A76)*(Events!$E$6:$E$158="Loan")*(Events!$F$6:$F$158="Continental")*Events!$H$6:$H$158)</f>
        <v/>
      </c>
      <c r="C76" s="53">
        <f>E75*cont_repay</f>
        <v/>
      </c>
      <c r="D76" s="53">
        <f>0</f>
        <v/>
      </c>
      <c r="E76" s="53">
        <f>E75+B76-C76-D76</f>
        <v/>
      </c>
      <c r="F76" s="53">
        <f>E75*cont_coupon</f>
        <v/>
      </c>
      <c r="G76" s="53">
        <f>SUMPRODUCT((Events!$B$6:$B$158&lt;=$A76)*(Events!$C$6:$C$158&gt;=$A76)*(Events!$E$6:$E$158="Loan")*(Events!$F$6:$F$158="Asia")*Events!$H$6:$H$158)</f>
        <v/>
      </c>
      <c r="H76" s="53">
        <f>J75*asia_repay</f>
        <v/>
      </c>
      <c r="I76" s="53">
        <f>0</f>
        <v/>
      </c>
      <c r="J76" s="53">
        <f>J75+G76-H76-I76</f>
        <v/>
      </c>
      <c r="K76" s="53">
        <f>J75*asia_coupon</f>
        <v/>
      </c>
      <c r="L76" s="53">
        <f>SUMPRODUCT((Events!$B$6:$B$158&lt;=$A76)*(Events!$C$6:$C$158&gt;=$A76)*(Events!$E$6:$E$158="Loan")*(Events!$F$6:$F$158="Europe")*Events!$H$6:$H$158)</f>
        <v/>
      </c>
      <c r="M76" s="53">
        <f>O75*Paths!AA76</f>
        <v/>
      </c>
      <c r="N76" s="53">
        <f>IF($A76=1918,russia_writeoff*(O75+L76),0)</f>
        <v/>
      </c>
      <c r="O76" s="53">
        <f>O75+L76-M76-N76</f>
        <v/>
      </c>
      <c r="P76" s="53">
        <f>O75*Paths!Z76*Paths!AB76</f>
        <v/>
      </c>
      <c r="Q76" s="53">
        <f>SUMPRODUCT((Events!$B$6:$B$158&lt;=$A76)*(Events!$C$6:$C$158&gt;=$A76)*(Events!$E$6:$E$158="Loan")*(Events!$F$6:$F$158="Rescue")*Events!$H$6:$H$158)</f>
        <v/>
      </c>
      <c r="R76" s="53">
        <f>0</f>
        <v/>
      </c>
      <c r="S76" s="53">
        <f>0</f>
        <v/>
      </c>
      <c r="T76" s="53">
        <f>T75+Q76-R76-S76</f>
        <v/>
      </c>
      <c r="U76" s="53">
        <f>T75*rescue_coupon</f>
        <v/>
      </c>
      <c r="V76" s="53">
        <f>B76+G76+L76+Q76</f>
        <v/>
      </c>
      <c r="W76" s="53">
        <f>C76+H76+M76+R76</f>
        <v/>
      </c>
      <c r="X76" s="53">
        <f>E76+J76+O76+T76</f>
        <v/>
      </c>
      <c r="Y76" s="53">
        <f>F76+K76+P76+U76</f>
        <v/>
      </c>
    </row>
    <row r="77">
      <c r="A77" s="61" t="n">
        <v>1917</v>
      </c>
      <c r="B77" s="53">
        <f>SUMPRODUCT((Events!$B$6:$B$158&lt;=$A77)*(Events!$C$6:$C$158&gt;=$A77)*(Events!$E$6:$E$158="Loan")*(Events!$F$6:$F$158="Continental")*Events!$H$6:$H$158)</f>
        <v/>
      </c>
      <c r="C77" s="53">
        <f>E76*cont_repay</f>
        <v/>
      </c>
      <c r="D77" s="53">
        <f>0</f>
        <v/>
      </c>
      <c r="E77" s="53">
        <f>E76+B77-C77-D77</f>
        <v/>
      </c>
      <c r="F77" s="53">
        <f>E76*cont_coupon</f>
        <v/>
      </c>
      <c r="G77" s="53">
        <f>SUMPRODUCT((Events!$B$6:$B$158&lt;=$A77)*(Events!$C$6:$C$158&gt;=$A77)*(Events!$E$6:$E$158="Loan")*(Events!$F$6:$F$158="Asia")*Events!$H$6:$H$158)</f>
        <v/>
      </c>
      <c r="H77" s="53">
        <f>J76*asia_repay</f>
        <v/>
      </c>
      <c r="I77" s="53">
        <f>0</f>
        <v/>
      </c>
      <c r="J77" s="53">
        <f>J76+G77-H77-I77</f>
        <v/>
      </c>
      <c r="K77" s="53">
        <f>J76*asia_coupon</f>
        <v/>
      </c>
      <c r="L77" s="53">
        <f>SUMPRODUCT((Events!$B$6:$B$158&lt;=$A77)*(Events!$C$6:$C$158&gt;=$A77)*(Events!$E$6:$E$158="Loan")*(Events!$F$6:$F$158="Europe")*Events!$H$6:$H$158)</f>
        <v/>
      </c>
      <c r="M77" s="53">
        <f>O76*Paths!AA77</f>
        <v/>
      </c>
      <c r="N77" s="53">
        <f>IF($A77=1918,russia_writeoff*(O76+L77),0)</f>
        <v/>
      </c>
      <c r="O77" s="53">
        <f>O76+L77-M77-N77</f>
        <v/>
      </c>
      <c r="P77" s="53">
        <f>O76*Paths!Z77*Paths!AB77</f>
        <v/>
      </c>
      <c r="Q77" s="53">
        <f>SUMPRODUCT((Events!$B$6:$B$158&lt;=$A77)*(Events!$C$6:$C$158&gt;=$A77)*(Events!$E$6:$E$158="Loan")*(Events!$F$6:$F$158="Rescue")*Events!$H$6:$H$158)</f>
        <v/>
      </c>
      <c r="R77" s="53">
        <f>0</f>
        <v/>
      </c>
      <c r="S77" s="53">
        <f>0</f>
        <v/>
      </c>
      <c r="T77" s="53">
        <f>T76+Q77-R77-S77</f>
        <v/>
      </c>
      <c r="U77" s="53">
        <f>T76*rescue_coupon</f>
        <v/>
      </c>
      <c r="V77" s="53">
        <f>B77+G77+L77+Q77</f>
        <v/>
      </c>
      <c r="W77" s="53">
        <f>C77+H77+M77+R77</f>
        <v/>
      </c>
      <c r="X77" s="53">
        <f>E77+J77+O77+T77</f>
        <v/>
      </c>
      <c r="Y77" s="53">
        <f>F77+K77+P77+U77</f>
        <v/>
      </c>
    </row>
    <row r="78">
      <c r="A78" s="61" t="n">
        <v>1918</v>
      </c>
      <c r="B78" s="53">
        <f>SUMPRODUCT((Events!$B$6:$B$158&lt;=$A78)*(Events!$C$6:$C$158&gt;=$A78)*(Events!$E$6:$E$158="Loan")*(Events!$F$6:$F$158="Continental")*Events!$H$6:$H$158)</f>
        <v/>
      </c>
      <c r="C78" s="53">
        <f>E77*cont_repay</f>
        <v/>
      </c>
      <c r="D78" s="53">
        <f>0</f>
        <v/>
      </c>
      <c r="E78" s="53">
        <f>E77+B78-C78-D78</f>
        <v/>
      </c>
      <c r="F78" s="53">
        <f>E77*cont_coupon</f>
        <v/>
      </c>
      <c r="G78" s="53">
        <f>SUMPRODUCT((Events!$B$6:$B$158&lt;=$A78)*(Events!$C$6:$C$158&gt;=$A78)*(Events!$E$6:$E$158="Loan")*(Events!$F$6:$F$158="Asia")*Events!$H$6:$H$158)</f>
        <v/>
      </c>
      <c r="H78" s="53">
        <f>J77*asia_repay</f>
        <v/>
      </c>
      <c r="I78" s="53">
        <f>0</f>
        <v/>
      </c>
      <c r="J78" s="53">
        <f>J77+G78-H78-I78</f>
        <v/>
      </c>
      <c r="K78" s="53">
        <f>J77*asia_coupon</f>
        <v/>
      </c>
      <c r="L78" s="53">
        <f>SUMPRODUCT((Events!$B$6:$B$158&lt;=$A78)*(Events!$C$6:$C$158&gt;=$A78)*(Events!$E$6:$E$158="Loan")*(Events!$F$6:$F$158="Europe")*Events!$H$6:$H$158)</f>
        <v/>
      </c>
      <c r="M78" s="53">
        <f>O77*Paths!AA78</f>
        <v/>
      </c>
      <c r="N78" s="53">
        <f>IF($A78=1918,russia_writeoff*(O77+L78),0)</f>
        <v/>
      </c>
      <c r="O78" s="53">
        <f>O77+L78-M78-N78</f>
        <v/>
      </c>
      <c r="P78" s="53">
        <f>O77*Paths!Z78*Paths!AB78</f>
        <v/>
      </c>
      <c r="Q78" s="53">
        <f>SUMPRODUCT((Events!$B$6:$B$158&lt;=$A78)*(Events!$C$6:$C$158&gt;=$A78)*(Events!$E$6:$E$158="Loan")*(Events!$F$6:$F$158="Rescue")*Events!$H$6:$H$158)</f>
        <v/>
      </c>
      <c r="R78" s="53">
        <f>0</f>
        <v/>
      </c>
      <c r="S78" s="53">
        <f>0</f>
        <v/>
      </c>
      <c r="T78" s="53">
        <f>T77+Q78-R78-S78</f>
        <v/>
      </c>
      <c r="U78" s="53">
        <f>T77*rescue_coupon</f>
        <v/>
      </c>
      <c r="V78" s="53">
        <f>B78+G78+L78+Q78</f>
        <v/>
      </c>
      <c r="W78" s="53">
        <f>C78+H78+M78+R78</f>
        <v/>
      </c>
      <c r="X78" s="53">
        <f>E78+J78+O78+T78</f>
        <v/>
      </c>
      <c r="Y78" s="53">
        <f>F78+K78+P78+U78</f>
        <v/>
      </c>
    </row>
    <row r="79">
      <c r="A79" s="61" t="n">
        <v>1919</v>
      </c>
      <c r="B79" s="53">
        <f>SUMPRODUCT((Events!$B$6:$B$158&lt;=$A79)*(Events!$C$6:$C$158&gt;=$A79)*(Events!$E$6:$E$158="Loan")*(Events!$F$6:$F$158="Continental")*Events!$H$6:$H$158)</f>
        <v/>
      </c>
      <c r="C79" s="53">
        <f>E78*cont_repay</f>
        <v/>
      </c>
      <c r="D79" s="53">
        <f>0</f>
        <v/>
      </c>
      <c r="E79" s="53">
        <f>E78+B79-C79-D79</f>
        <v/>
      </c>
      <c r="F79" s="53">
        <f>E78*cont_coupon</f>
        <v/>
      </c>
      <c r="G79" s="53">
        <f>SUMPRODUCT((Events!$B$6:$B$158&lt;=$A79)*(Events!$C$6:$C$158&gt;=$A79)*(Events!$E$6:$E$158="Loan")*(Events!$F$6:$F$158="Asia")*Events!$H$6:$H$158)</f>
        <v/>
      </c>
      <c r="H79" s="53">
        <f>J78*asia_repay</f>
        <v/>
      </c>
      <c r="I79" s="53">
        <f>0</f>
        <v/>
      </c>
      <c r="J79" s="53">
        <f>J78+G79-H79-I79</f>
        <v/>
      </c>
      <c r="K79" s="53">
        <f>J78*asia_coupon</f>
        <v/>
      </c>
      <c r="L79" s="53">
        <f>SUMPRODUCT((Events!$B$6:$B$158&lt;=$A79)*(Events!$C$6:$C$158&gt;=$A79)*(Events!$E$6:$E$158="Loan")*(Events!$F$6:$F$158="Europe")*Events!$H$6:$H$158)</f>
        <v/>
      </c>
      <c r="M79" s="53">
        <f>O78*Paths!AA79</f>
        <v/>
      </c>
      <c r="N79" s="53">
        <f>IF($A79=1918,russia_writeoff*(O78+L79),0)</f>
        <v/>
      </c>
      <c r="O79" s="53">
        <f>O78+L79-M79-N79</f>
        <v/>
      </c>
      <c r="P79" s="53">
        <f>O78*Paths!Z79*Paths!AB79</f>
        <v/>
      </c>
      <c r="Q79" s="53">
        <f>SUMPRODUCT((Events!$B$6:$B$158&lt;=$A79)*(Events!$C$6:$C$158&gt;=$A79)*(Events!$E$6:$E$158="Loan")*(Events!$F$6:$F$158="Rescue")*Events!$H$6:$H$158)</f>
        <v/>
      </c>
      <c r="R79" s="53">
        <f>0</f>
        <v/>
      </c>
      <c r="S79" s="53">
        <f>0</f>
        <v/>
      </c>
      <c r="T79" s="53">
        <f>T78+Q79-R79-S79</f>
        <v/>
      </c>
      <c r="U79" s="53">
        <f>T78*rescue_coupon</f>
        <v/>
      </c>
      <c r="V79" s="53">
        <f>B79+G79+L79+Q79</f>
        <v/>
      </c>
      <c r="W79" s="53">
        <f>C79+H79+M79+R79</f>
        <v/>
      </c>
      <c r="X79" s="53">
        <f>E79+J79+O79+T79</f>
        <v/>
      </c>
      <c r="Y79" s="53">
        <f>F79+K79+P79+U79</f>
        <v/>
      </c>
    </row>
    <row r="80">
      <c r="A80" s="61" t="n">
        <v>1920</v>
      </c>
      <c r="B80" s="53">
        <f>SUMPRODUCT((Events!$B$6:$B$158&lt;=$A80)*(Events!$C$6:$C$158&gt;=$A80)*(Events!$E$6:$E$158="Loan")*(Events!$F$6:$F$158="Continental")*Events!$H$6:$H$158)</f>
        <v/>
      </c>
      <c r="C80" s="53">
        <f>E79*cont_repay</f>
        <v/>
      </c>
      <c r="D80" s="53">
        <f>0</f>
        <v/>
      </c>
      <c r="E80" s="53">
        <f>E79+B80-C80-D80</f>
        <v/>
      </c>
      <c r="F80" s="53">
        <f>E79*cont_coupon</f>
        <v/>
      </c>
      <c r="G80" s="53">
        <f>SUMPRODUCT((Events!$B$6:$B$158&lt;=$A80)*(Events!$C$6:$C$158&gt;=$A80)*(Events!$E$6:$E$158="Loan")*(Events!$F$6:$F$158="Asia")*Events!$H$6:$H$158)</f>
        <v/>
      </c>
      <c r="H80" s="53">
        <f>J79*asia_repay</f>
        <v/>
      </c>
      <c r="I80" s="53">
        <f>0</f>
        <v/>
      </c>
      <c r="J80" s="53">
        <f>J79+G80-H80-I80</f>
        <v/>
      </c>
      <c r="K80" s="53">
        <f>J79*asia_coupon</f>
        <v/>
      </c>
      <c r="L80" s="53">
        <f>SUMPRODUCT((Events!$B$6:$B$158&lt;=$A80)*(Events!$C$6:$C$158&gt;=$A80)*(Events!$E$6:$E$158="Loan")*(Events!$F$6:$F$158="Europe")*Events!$H$6:$H$158)</f>
        <v/>
      </c>
      <c r="M80" s="53">
        <f>O79*Paths!AA80</f>
        <v/>
      </c>
      <c r="N80" s="53">
        <f>IF($A80=1918,russia_writeoff*(O79+L80),0)</f>
        <v/>
      </c>
      <c r="O80" s="53">
        <f>O79+L80-M80-N80</f>
        <v/>
      </c>
      <c r="P80" s="53">
        <f>O79*Paths!Z80*Paths!AB80</f>
        <v/>
      </c>
      <c r="Q80" s="53">
        <f>SUMPRODUCT((Events!$B$6:$B$158&lt;=$A80)*(Events!$C$6:$C$158&gt;=$A80)*(Events!$E$6:$E$158="Loan")*(Events!$F$6:$F$158="Rescue")*Events!$H$6:$H$158)</f>
        <v/>
      </c>
      <c r="R80" s="53">
        <f>0</f>
        <v/>
      </c>
      <c r="S80" s="53">
        <f>0</f>
        <v/>
      </c>
      <c r="T80" s="53">
        <f>T79+Q80-R80-S80</f>
        <v/>
      </c>
      <c r="U80" s="53">
        <f>T79*rescue_coupon</f>
        <v/>
      </c>
      <c r="V80" s="53">
        <f>B80+G80+L80+Q80</f>
        <v/>
      </c>
      <c r="W80" s="53">
        <f>C80+H80+M80+R80</f>
        <v/>
      </c>
      <c r="X80" s="53">
        <f>E80+J80+O80+T80</f>
        <v/>
      </c>
      <c r="Y80" s="53">
        <f>F80+K80+P80+U80</f>
        <v/>
      </c>
    </row>
    <row r="81">
      <c r="A81" s="61" t="n">
        <v>1921</v>
      </c>
      <c r="B81" s="53">
        <f>SUMPRODUCT((Events!$B$6:$B$158&lt;=$A81)*(Events!$C$6:$C$158&gt;=$A81)*(Events!$E$6:$E$158="Loan")*(Events!$F$6:$F$158="Continental")*Events!$H$6:$H$158)</f>
        <v/>
      </c>
      <c r="C81" s="53">
        <f>E80*cont_repay</f>
        <v/>
      </c>
      <c r="D81" s="53">
        <f>0</f>
        <v/>
      </c>
      <c r="E81" s="53">
        <f>E80+B81-C81-D81</f>
        <v/>
      </c>
      <c r="F81" s="53">
        <f>E80*cont_coupon</f>
        <v/>
      </c>
      <c r="G81" s="53">
        <f>SUMPRODUCT((Events!$B$6:$B$158&lt;=$A81)*(Events!$C$6:$C$158&gt;=$A81)*(Events!$E$6:$E$158="Loan")*(Events!$F$6:$F$158="Asia")*Events!$H$6:$H$158)</f>
        <v/>
      </c>
      <c r="H81" s="53">
        <f>J80*asia_repay</f>
        <v/>
      </c>
      <c r="I81" s="53">
        <f>0</f>
        <v/>
      </c>
      <c r="J81" s="53">
        <f>J80+G81-H81-I81</f>
        <v/>
      </c>
      <c r="K81" s="53">
        <f>J80*asia_coupon</f>
        <v/>
      </c>
      <c r="L81" s="53">
        <f>SUMPRODUCT((Events!$B$6:$B$158&lt;=$A81)*(Events!$C$6:$C$158&gt;=$A81)*(Events!$E$6:$E$158="Loan")*(Events!$F$6:$F$158="Europe")*Events!$H$6:$H$158)</f>
        <v/>
      </c>
      <c r="M81" s="53">
        <f>O80*Paths!AA81</f>
        <v/>
      </c>
      <c r="N81" s="53">
        <f>IF($A81=1918,russia_writeoff*(O80+L81),0)</f>
        <v/>
      </c>
      <c r="O81" s="53">
        <f>O80+L81-M81-N81</f>
        <v/>
      </c>
      <c r="P81" s="53">
        <f>O80*Paths!Z81*Paths!AB81</f>
        <v/>
      </c>
      <c r="Q81" s="53">
        <f>SUMPRODUCT((Events!$B$6:$B$158&lt;=$A81)*(Events!$C$6:$C$158&gt;=$A81)*(Events!$E$6:$E$158="Loan")*(Events!$F$6:$F$158="Rescue")*Events!$H$6:$H$158)</f>
        <v/>
      </c>
      <c r="R81" s="53">
        <f>0</f>
        <v/>
      </c>
      <c r="S81" s="53">
        <f>0</f>
        <v/>
      </c>
      <c r="T81" s="53">
        <f>T80+Q81-R81-S81</f>
        <v/>
      </c>
      <c r="U81" s="53">
        <f>T80*rescue_coupon</f>
        <v/>
      </c>
      <c r="V81" s="53">
        <f>B81+G81+L81+Q81</f>
        <v/>
      </c>
      <c r="W81" s="53">
        <f>C81+H81+M81+R81</f>
        <v/>
      </c>
      <c r="X81" s="53">
        <f>E81+J81+O81+T81</f>
        <v/>
      </c>
      <c r="Y81" s="53">
        <f>F81+K81+P81+U81</f>
        <v/>
      </c>
    </row>
    <row r="82">
      <c r="A82" s="61" t="n">
        <v>1922</v>
      </c>
      <c r="B82" s="53">
        <f>SUMPRODUCT((Events!$B$6:$B$158&lt;=$A82)*(Events!$C$6:$C$158&gt;=$A82)*(Events!$E$6:$E$158="Loan")*(Events!$F$6:$F$158="Continental")*Events!$H$6:$H$158)</f>
        <v/>
      </c>
      <c r="C82" s="53">
        <f>E81*cont_repay</f>
        <v/>
      </c>
      <c r="D82" s="53">
        <f>0</f>
        <v/>
      </c>
      <c r="E82" s="53">
        <f>E81+B82-C82-D82</f>
        <v/>
      </c>
      <c r="F82" s="53">
        <f>E81*cont_coupon</f>
        <v/>
      </c>
      <c r="G82" s="53">
        <f>SUMPRODUCT((Events!$B$6:$B$158&lt;=$A82)*(Events!$C$6:$C$158&gt;=$A82)*(Events!$E$6:$E$158="Loan")*(Events!$F$6:$F$158="Asia")*Events!$H$6:$H$158)</f>
        <v/>
      </c>
      <c r="H82" s="53">
        <f>J81*asia_repay</f>
        <v/>
      </c>
      <c r="I82" s="53">
        <f>0</f>
        <v/>
      </c>
      <c r="J82" s="53">
        <f>J81+G82-H82-I82</f>
        <v/>
      </c>
      <c r="K82" s="53">
        <f>J81*asia_coupon</f>
        <v/>
      </c>
      <c r="L82" s="53">
        <f>SUMPRODUCT((Events!$B$6:$B$158&lt;=$A82)*(Events!$C$6:$C$158&gt;=$A82)*(Events!$E$6:$E$158="Loan")*(Events!$F$6:$F$158="Europe")*Events!$H$6:$H$158)</f>
        <v/>
      </c>
      <c r="M82" s="53">
        <f>O81*Paths!AA82</f>
        <v/>
      </c>
      <c r="N82" s="53">
        <f>IF($A82=1918,russia_writeoff*(O81+L82),0)</f>
        <v/>
      </c>
      <c r="O82" s="53">
        <f>O81+L82-M82-N82</f>
        <v/>
      </c>
      <c r="P82" s="53">
        <f>O81*Paths!Z82*Paths!AB82</f>
        <v/>
      </c>
      <c r="Q82" s="53">
        <f>SUMPRODUCT((Events!$B$6:$B$158&lt;=$A82)*(Events!$C$6:$C$158&gt;=$A82)*(Events!$E$6:$E$158="Loan")*(Events!$F$6:$F$158="Rescue")*Events!$H$6:$H$158)</f>
        <v/>
      </c>
      <c r="R82" s="53">
        <f>0</f>
        <v/>
      </c>
      <c r="S82" s="53">
        <f>0</f>
        <v/>
      </c>
      <c r="T82" s="53">
        <f>T81+Q82-R82-S82</f>
        <v/>
      </c>
      <c r="U82" s="53">
        <f>T81*rescue_coupon</f>
        <v/>
      </c>
      <c r="V82" s="53">
        <f>B82+G82+L82+Q82</f>
        <v/>
      </c>
      <c r="W82" s="53">
        <f>C82+H82+M82+R82</f>
        <v/>
      </c>
      <c r="X82" s="53">
        <f>E82+J82+O82+T82</f>
        <v/>
      </c>
      <c r="Y82" s="53">
        <f>F82+K82+P82+U82</f>
        <v/>
      </c>
    </row>
    <row r="83">
      <c r="A83" s="58" t="n">
        <v>1923</v>
      </c>
      <c r="B83" s="53">
        <f>SUMPRODUCT((Events!$B$6:$B$158&lt;=$A83)*(Events!$C$6:$C$158&gt;=$A83)*(Events!$E$6:$E$158="Loan")*(Events!$F$6:$F$158="Continental")*Events!$H$6:$H$158)</f>
        <v/>
      </c>
      <c r="C83" s="53">
        <f>E82*cont_repay</f>
        <v/>
      </c>
      <c r="D83" s="53">
        <f>0</f>
        <v/>
      </c>
      <c r="E83" s="53">
        <f>E82+B83-C83-D83</f>
        <v/>
      </c>
      <c r="F83" s="53">
        <f>E82*cont_coupon</f>
        <v/>
      </c>
      <c r="G83" s="53">
        <f>SUMPRODUCT((Events!$B$6:$B$158&lt;=$A83)*(Events!$C$6:$C$158&gt;=$A83)*(Events!$E$6:$E$158="Loan")*(Events!$F$6:$F$158="Asia")*Events!$H$6:$H$158)</f>
        <v/>
      </c>
      <c r="H83" s="53">
        <f>J82*asia_repay</f>
        <v/>
      </c>
      <c r="I83" s="53">
        <f>0</f>
        <v/>
      </c>
      <c r="J83" s="53">
        <f>J82+G83-H83-I83</f>
        <v/>
      </c>
      <c r="K83" s="53">
        <f>J82*asia_coupon</f>
        <v/>
      </c>
      <c r="L83" s="53">
        <f>SUMPRODUCT((Events!$B$6:$B$158&lt;=$A83)*(Events!$C$6:$C$158&gt;=$A83)*(Events!$E$6:$E$158="Loan")*(Events!$F$6:$F$158="Europe")*Events!$H$6:$H$158)</f>
        <v/>
      </c>
      <c r="M83" s="53">
        <f>O82*Paths!AA83</f>
        <v/>
      </c>
      <c r="N83" s="53">
        <f>IF($A83=1918,russia_writeoff*(O82+L83),0)</f>
        <v/>
      </c>
      <c r="O83" s="53">
        <f>O82+L83-M83-N83</f>
        <v/>
      </c>
      <c r="P83" s="53">
        <f>O82*Paths!Z83*Paths!AB83</f>
        <v/>
      </c>
      <c r="Q83" s="53">
        <f>SUMPRODUCT((Events!$B$6:$B$158&lt;=$A83)*(Events!$C$6:$C$158&gt;=$A83)*(Events!$E$6:$E$158="Loan")*(Events!$F$6:$F$158="Rescue")*Events!$H$6:$H$158)</f>
        <v/>
      </c>
      <c r="R83" s="53">
        <f>0</f>
        <v/>
      </c>
      <c r="S83" s="53">
        <f>0</f>
        <v/>
      </c>
      <c r="T83" s="53">
        <f>T82+Q83-R83-S83</f>
        <v/>
      </c>
      <c r="U83" s="53">
        <f>T82*rescue_coupon</f>
        <v/>
      </c>
      <c r="V83" s="53">
        <f>B83+G83+L83+Q83</f>
        <v/>
      </c>
      <c r="W83" s="53">
        <f>C83+H83+M83+R83</f>
        <v/>
      </c>
      <c r="X83" s="53">
        <f>E83+J83+O83+T83</f>
        <v/>
      </c>
      <c r="Y83" s="53">
        <f>F83+K83+P83+U83</f>
        <v/>
      </c>
    </row>
    <row r="84">
      <c r="A84" s="58" t="n">
        <v>1924</v>
      </c>
      <c r="B84" s="53">
        <f>SUMPRODUCT((Events!$B$6:$B$158&lt;=$A84)*(Events!$C$6:$C$158&gt;=$A84)*(Events!$E$6:$E$158="Loan")*(Events!$F$6:$F$158="Continental")*Events!$H$6:$H$158)</f>
        <v/>
      </c>
      <c r="C84" s="53">
        <f>E83*cont_repay</f>
        <v/>
      </c>
      <c r="D84" s="53">
        <f>0</f>
        <v/>
      </c>
      <c r="E84" s="53">
        <f>E83+B84-C84-D84</f>
        <v/>
      </c>
      <c r="F84" s="53">
        <f>E83*cont_coupon</f>
        <v/>
      </c>
      <c r="G84" s="53">
        <f>SUMPRODUCT((Events!$B$6:$B$158&lt;=$A84)*(Events!$C$6:$C$158&gt;=$A84)*(Events!$E$6:$E$158="Loan")*(Events!$F$6:$F$158="Asia")*Events!$H$6:$H$158)</f>
        <v/>
      </c>
      <c r="H84" s="53">
        <f>J83*asia_repay</f>
        <v/>
      </c>
      <c r="I84" s="53">
        <f>0</f>
        <v/>
      </c>
      <c r="J84" s="53">
        <f>J83+G84-H84-I84</f>
        <v/>
      </c>
      <c r="K84" s="53">
        <f>J83*asia_coupon</f>
        <v/>
      </c>
      <c r="L84" s="53">
        <f>SUMPRODUCT((Events!$B$6:$B$158&lt;=$A84)*(Events!$C$6:$C$158&gt;=$A84)*(Events!$E$6:$E$158="Loan")*(Events!$F$6:$F$158="Europe")*Events!$H$6:$H$158)</f>
        <v/>
      </c>
      <c r="M84" s="53">
        <f>O83*Paths!AA84</f>
        <v/>
      </c>
      <c r="N84" s="53">
        <f>IF($A84=1918,russia_writeoff*(O83+L84),0)</f>
        <v/>
      </c>
      <c r="O84" s="53">
        <f>O83+L84-M84-N84</f>
        <v/>
      </c>
      <c r="P84" s="53">
        <f>O83*Paths!Z84*Paths!AB84</f>
        <v/>
      </c>
      <c r="Q84" s="53">
        <f>SUMPRODUCT((Events!$B$6:$B$158&lt;=$A84)*(Events!$C$6:$C$158&gt;=$A84)*(Events!$E$6:$E$158="Loan")*(Events!$F$6:$F$158="Rescue")*Events!$H$6:$H$158)</f>
        <v/>
      </c>
      <c r="R84" s="53">
        <f>0</f>
        <v/>
      </c>
      <c r="S84" s="53">
        <f>0</f>
        <v/>
      </c>
      <c r="T84" s="53">
        <f>T83+Q84-R84-S84</f>
        <v/>
      </c>
      <c r="U84" s="53">
        <f>T83*rescue_coupon</f>
        <v/>
      </c>
      <c r="V84" s="53">
        <f>B84+G84+L84+Q84</f>
        <v/>
      </c>
      <c r="W84" s="53">
        <f>C84+H84+M84+R84</f>
        <v/>
      </c>
      <c r="X84" s="53">
        <f>E84+J84+O84+T84</f>
        <v/>
      </c>
      <c r="Y84" s="53">
        <f>F84+K84+P84+U84</f>
        <v/>
      </c>
    </row>
    <row r="85">
      <c r="A85" s="58" t="n">
        <v>1925</v>
      </c>
      <c r="B85" s="53">
        <f>SUMPRODUCT((Events!$B$6:$B$158&lt;=$A85)*(Events!$C$6:$C$158&gt;=$A85)*(Events!$E$6:$E$158="Loan")*(Events!$F$6:$F$158="Continental")*Events!$H$6:$H$158)</f>
        <v/>
      </c>
      <c r="C85" s="53">
        <f>E84*cont_repay</f>
        <v/>
      </c>
      <c r="D85" s="53">
        <f>0</f>
        <v/>
      </c>
      <c r="E85" s="53">
        <f>E84+B85-C85-D85</f>
        <v/>
      </c>
      <c r="F85" s="53">
        <f>E84*cont_coupon</f>
        <v/>
      </c>
      <c r="G85" s="53">
        <f>SUMPRODUCT((Events!$B$6:$B$158&lt;=$A85)*(Events!$C$6:$C$158&gt;=$A85)*(Events!$E$6:$E$158="Loan")*(Events!$F$6:$F$158="Asia")*Events!$H$6:$H$158)</f>
        <v/>
      </c>
      <c r="H85" s="53">
        <f>J84*asia_repay</f>
        <v/>
      </c>
      <c r="I85" s="53">
        <f>0</f>
        <v/>
      </c>
      <c r="J85" s="53">
        <f>J84+G85-H85-I85</f>
        <v/>
      </c>
      <c r="K85" s="53">
        <f>J84*asia_coupon</f>
        <v/>
      </c>
      <c r="L85" s="53">
        <f>SUMPRODUCT((Events!$B$6:$B$158&lt;=$A85)*(Events!$C$6:$C$158&gt;=$A85)*(Events!$E$6:$E$158="Loan")*(Events!$F$6:$F$158="Europe")*Events!$H$6:$H$158)</f>
        <v/>
      </c>
      <c r="M85" s="53">
        <f>O84*Paths!AA85</f>
        <v/>
      </c>
      <c r="N85" s="53">
        <f>IF($A85=1918,russia_writeoff*(O84+L85),0)</f>
        <v/>
      </c>
      <c r="O85" s="53">
        <f>O84+L85-M85-N85</f>
        <v/>
      </c>
      <c r="P85" s="53">
        <f>O84*Paths!Z85*Paths!AB85</f>
        <v/>
      </c>
      <c r="Q85" s="53">
        <f>SUMPRODUCT((Events!$B$6:$B$158&lt;=$A85)*(Events!$C$6:$C$158&gt;=$A85)*(Events!$E$6:$E$158="Loan")*(Events!$F$6:$F$158="Rescue")*Events!$H$6:$H$158)</f>
        <v/>
      </c>
      <c r="R85" s="53">
        <f>0</f>
        <v/>
      </c>
      <c r="S85" s="53">
        <f>0</f>
        <v/>
      </c>
      <c r="T85" s="53">
        <f>T84+Q85-R85-S85</f>
        <v/>
      </c>
      <c r="U85" s="53">
        <f>T84*rescue_coupon</f>
        <v/>
      </c>
      <c r="V85" s="53">
        <f>B85+G85+L85+Q85</f>
        <v/>
      </c>
      <c r="W85" s="53">
        <f>C85+H85+M85+R85</f>
        <v/>
      </c>
      <c r="X85" s="53">
        <f>E85+J85+O85+T85</f>
        <v/>
      </c>
      <c r="Y85" s="53">
        <f>F85+K85+P85+U85</f>
        <v/>
      </c>
    </row>
    <row r="86">
      <c r="A86" s="58" t="n">
        <v>1926</v>
      </c>
      <c r="B86" s="53">
        <f>SUMPRODUCT((Events!$B$6:$B$158&lt;=$A86)*(Events!$C$6:$C$158&gt;=$A86)*(Events!$E$6:$E$158="Loan")*(Events!$F$6:$F$158="Continental")*Events!$H$6:$H$158)</f>
        <v/>
      </c>
      <c r="C86" s="53">
        <f>E85*cont_repay</f>
        <v/>
      </c>
      <c r="D86" s="53">
        <f>0</f>
        <v/>
      </c>
      <c r="E86" s="53">
        <f>E85+B86-C86-D86</f>
        <v/>
      </c>
      <c r="F86" s="53">
        <f>E85*cont_coupon</f>
        <v/>
      </c>
      <c r="G86" s="53">
        <f>SUMPRODUCT((Events!$B$6:$B$158&lt;=$A86)*(Events!$C$6:$C$158&gt;=$A86)*(Events!$E$6:$E$158="Loan")*(Events!$F$6:$F$158="Asia")*Events!$H$6:$H$158)</f>
        <v/>
      </c>
      <c r="H86" s="53">
        <f>J85*asia_repay</f>
        <v/>
      </c>
      <c r="I86" s="53">
        <f>0</f>
        <v/>
      </c>
      <c r="J86" s="53">
        <f>J85+G86-H86-I86</f>
        <v/>
      </c>
      <c r="K86" s="53">
        <f>J85*asia_coupon</f>
        <v/>
      </c>
      <c r="L86" s="53">
        <f>SUMPRODUCT((Events!$B$6:$B$158&lt;=$A86)*(Events!$C$6:$C$158&gt;=$A86)*(Events!$E$6:$E$158="Loan")*(Events!$F$6:$F$158="Europe")*Events!$H$6:$H$158)</f>
        <v/>
      </c>
      <c r="M86" s="53">
        <f>O85*Paths!AA86</f>
        <v/>
      </c>
      <c r="N86" s="53">
        <f>IF($A86=1918,russia_writeoff*(O85+L86),0)</f>
        <v/>
      </c>
      <c r="O86" s="53">
        <f>O85+L86-M86-N86</f>
        <v/>
      </c>
      <c r="P86" s="53">
        <f>O85*Paths!Z86*Paths!AB86</f>
        <v/>
      </c>
      <c r="Q86" s="53">
        <f>SUMPRODUCT((Events!$B$6:$B$158&lt;=$A86)*(Events!$C$6:$C$158&gt;=$A86)*(Events!$E$6:$E$158="Loan")*(Events!$F$6:$F$158="Rescue")*Events!$H$6:$H$158)</f>
        <v/>
      </c>
      <c r="R86" s="53">
        <f>0</f>
        <v/>
      </c>
      <c r="S86" s="53">
        <f>0</f>
        <v/>
      </c>
      <c r="T86" s="53">
        <f>T85+Q86-R86-S86</f>
        <v/>
      </c>
      <c r="U86" s="53">
        <f>T85*rescue_coupon</f>
        <v/>
      </c>
      <c r="V86" s="53">
        <f>B86+G86+L86+Q86</f>
        <v/>
      </c>
      <c r="W86" s="53">
        <f>C86+H86+M86+R86</f>
        <v/>
      </c>
      <c r="X86" s="53">
        <f>E86+J86+O86+T86</f>
        <v/>
      </c>
      <c r="Y86" s="53">
        <f>F86+K86+P86+U86</f>
        <v/>
      </c>
    </row>
    <row r="87">
      <c r="A87" s="58" t="n">
        <v>1927</v>
      </c>
      <c r="B87" s="53">
        <f>SUMPRODUCT((Events!$B$6:$B$158&lt;=$A87)*(Events!$C$6:$C$158&gt;=$A87)*(Events!$E$6:$E$158="Loan")*(Events!$F$6:$F$158="Continental")*Events!$H$6:$H$158)</f>
        <v/>
      </c>
      <c r="C87" s="53">
        <f>E86*cont_repay</f>
        <v/>
      </c>
      <c r="D87" s="53">
        <f>0</f>
        <v/>
      </c>
      <c r="E87" s="53">
        <f>E86+B87-C87-D87</f>
        <v/>
      </c>
      <c r="F87" s="53">
        <f>E86*cont_coupon</f>
        <v/>
      </c>
      <c r="G87" s="53">
        <f>SUMPRODUCT((Events!$B$6:$B$158&lt;=$A87)*(Events!$C$6:$C$158&gt;=$A87)*(Events!$E$6:$E$158="Loan")*(Events!$F$6:$F$158="Asia")*Events!$H$6:$H$158)</f>
        <v/>
      </c>
      <c r="H87" s="53">
        <f>J86*asia_repay</f>
        <v/>
      </c>
      <c r="I87" s="53">
        <f>0</f>
        <v/>
      </c>
      <c r="J87" s="53">
        <f>J86+G87-H87-I87</f>
        <v/>
      </c>
      <c r="K87" s="53">
        <f>J86*asia_coupon</f>
        <v/>
      </c>
      <c r="L87" s="53">
        <f>SUMPRODUCT((Events!$B$6:$B$158&lt;=$A87)*(Events!$C$6:$C$158&gt;=$A87)*(Events!$E$6:$E$158="Loan")*(Events!$F$6:$F$158="Europe")*Events!$H$6:$H$158)</f>
        <v/>
      </c>
      <c r="M87" s="53">
        <f>O86*Paths!AA87</f>
        <v/>
      </c>
      <c r="N87" s="53">
        <f>IF($A87=1918,russia_writeoff*(O86+L87),0)</f>
        <v/>
      </c>
      <c r="O87" s="53">
        <f>O86+L87-M87-N87</f>
        <v/>
      </c>
      <c r="P87" s="53">
        <f>O86*Paths!Z87*Paths!AB87</f>
        <v/>
      </c>
      <c r="Q87" s="53">
        <f>SUMPRODUCT((Events!$B$6:$B$158&lt;=$A87)*(Events!$C$6:$C$158&gt;=$A87)*(Events!$E$6:$E$158="Loan")*(Events!$F$6:$F$158="Rescue")*Events!$H$6:$H$158)</f>
        <v/>
      </c>
      <c r="R87" s="53">
        <f>0</f>
        <v/>
      </c>
      <c r="S87" s="53">
        <f>0</f>
        <v/>
      </c>
      <c r="T87" s="53">
        <f>T86+Q87-R87-S87</f>
        <v/>
      </c>
      <c r="U87" s="53">
        <f>T86*rescue_coupon</f>
        <v/>
      </c>
      <c r="V87" s="53">
        <f>B87+G87+L87+Q87</f>
        <v/>
      </c>
      <c r="W87" s="53">
        <f>C87+H87+M87+R87</f>
        <v/>
      </c>
      <c r="X87" s="53">
        <f>E87+J87+O87+T87</f>
        <v/>
      </c>
      <c r="Y87" s="53">
        <f>F87+K87+P87+U87</f>
        <v/>
      </c>
    </row>
    <row r="88">
      <c r="A88" s="58" t="n">
        <v>1928</v>
      </c>
      <c r="B88" s="53">
        <f>SUMPRODUCT((Events!$B$6:$B$158&lt;=$A88)*(Events!$C$6:$C$158&gt;=$A88)*(Events!$E$6:$E$158="Loan")*(Events!$F$6:$F$158="Continental")*Events!$H$6:$H$158)</f>
        <v/>
      </c>
      <c r="C88" s="53">
        <f>E87*cont_repay</f>
        <v/>
      </c>
      <c r="D88" s="53">
        <f>0</f>
        <v/>
      </c>
      <c r="E88" s="53">
        <f>E87+B88-C88-D88</f>
        <v/>
      </c>
      <c r="F88" s="53">
        <f>E87*cont_coupon</f>
        <v/>
      </c>
      <c r="G88" s="53">
        <f>SUMPRODUCT((Events!$B$6:$B$158&lt;=$A88)*(Events!$C$6:$C$158&gt;=$A88)*(Events!$E$6:$E$158="Loan")*(Events!$F$6:$F$158="Asia")*Events!$H$6:$H$158)</f>
        <v/>
      </c>
      <c r="H88" s="53">
        <f>J87*asia_repay</f>
        <v/>
      </c>
      <c r="I88" s="53">
        <f>0</f>
        <v/>
      </c>
      <c r="J88" s="53">
        <f>J87+G88-H88-I88</f>
        <v/>
      </c>
      <c r="K88" s="53">
        <f>J87*asia_coupon</f>
        <v/>
      </c>
      <c r="L88" s="53">
        <f>SUMPRODUCT((Events!$B$6:$B$158&lt;=$A88)*(Events!$C$6:$C$158&gt;=$A88)*(Events!$E$6:$E$158="Loan")*(Events!$F$6:$F$158="Europe")*Events!$H$6:$H$158)</f>
        <v/>
      </c>
      <c r="M88" s="53">
        <f>O87*Paths!AA88</f>
        <v/>
      </c>
      <c r="N88" s="53">
        <f>IF($A88=1918,russia_writeoff*(O87+L88),0)</f>
        <v/>
      </c>
      <c r="O88" s="53">
        <f>O87+L88-M88-N88</f>
        <v/>
      </c>
      <c r="P88" s="53">
        <f>O87*Paths!Z88*Paths!AB88</f>
        <v/>
      </c>
      <c r="Q88" s="53">
        <f>SUMPRODUCT((Events!$B$6:$B$158&lt;=$A88)*(Events!$C$6:$C$158&gt;=$A88)*(Events!$E$6:$E$158="Loan")*(Events!$F$6:$F$158="Rescue")*Events!$H$6:$H$158)</f>
        <v/>
      </c>
      <c r="R88" s="53">
        <f>0</f>
        <v/>
      </c>
      <c r="S88" s="53">
        <f>0</f>
        <v/>
      </c>
      <c r="T88" s="53">
        <f>T87+Q88-R88-S88</f>
        <v/>
      </c>
      <c r="U88" s="53">
        <f>T87*rescue_coupon</f>
        <v/>
      </c>
      <c r="V88" s="53">
        <f>B88+G88+L88+Q88</f>
        <v/>
      </c>
      <c r="W88" s="53">
        <f>C88+H88+M88+R88</f>
        <v/>
      </c>
      <c r="X88" s="53">
        <f>E88+J88+O88+T88</f>
        <v/>
      </c>
      <c r="Y88" s="53">
        <f>F88+K88+P88+U88</f>
        <v/>
      </c>
    </row>
    <row r="89">
      <c r="A89" s="58" t="n">
        <v>1929</v>
      </c>
      <c r="B89" s="53">
        <f>SUMPRODUCT((Events!$B$6:$B$158&lt;=$A89)*(Events!$C$6:$C$158&gt;=$A89)*(Events!$E$6:$E$158="Loan")*(Events!$F$6:$F$158="Continental")*Events!$H$6:$H$158)</f>
        <v/>
      </c>
      <c r="C89" s="53">
        <f>E88*cont_repay</f>
        <v/>
      </c>
      <c r="D89" s="53">
        <f>0</f>
        <v/>
      </c>
      <c r="E89" s="53">
        <f>E88+B89-C89-D89</f>
        <v/>
      </c>
      <c r="F89" s="53">
        <f>E88*cont_coupon</f>
        <v/>
      </c>
      <c r="G89" s="53">
        <f>SUMPRODUCT((Events!$B$6:$B$158&lt;=$A89)*(Events!$C$6:$C$158&gt;=$A89)*(Events!$E$6:$E$158="Loan")*(Events!$F$6:$F$158="Asia")*Events!$H$6:$H$158)</f>
        <v/>
      </c>
      <c r="H89" s="53">
        <f>J88*asia_repay</f>
        <v/>
      </c>
      <c r="I89" s="53">
        <f>0</f>
        <v/>
      </c>
      <c r="J89" s="53">
        <f>J88+G89-H89-I89</f>
        <v/>
      </c>
      <c r="K89" s="53">
        <f>J88*asia_coupon</f>
        <v/>
      </c>
      <c r="L89" s="53">
        <f>SUMPRODUCT((Events!$B$6:$B$158&lt;=$A89)*(Events!$C$6:$C$158&gt;=$A89)*(Events!$E$6:$E$158="Loan")*(Events!$F$6:$F$158="Europe")*Events!$H$6:$H$158)</f>
        <v/>
      </c>
      <c r="M89" s="53">
        <f>O88*Paths!AA89</f>
        <v/>
      </c>
      <c r="N89" s="53">
        <f>IF($A89=1918,russia_writeoff*(O88+L89),0)</f>
        <v/>
      </c>
      <c r="O89" s="53">
        <f>O88+L89-M89-N89</f>
        <v/>
      </c>
      <c r="P89" s="53">
        <f>O88*Paths!Z89*Paths!AB89</f>
        <v/>
      </c>
      <c r="Q89" s="53">
        <f>SUMPRODUCT((Events!$B$6:$B$158&lt;=$A89)*(Events!$C$6:$C$158&gt;=$A89)*(Events!$E$6:$E$158="Loan")*(Events!$F$6:$F$158="Rescue")*Events!$H$6:$H$158)</f>
        <v/>
      </c>
      <c r="R89" s="53">
        <f>0</f>
        <v/>
      </c>
      <c r="S89" s="53">
        <f>0</f>
        <v/>
      </c>
      <c r="T89" s="53">
        <f>T88+Q89-R89-S89</f>
        <v/>
      </c>
      <c r="U89" s="53">
        <f>T88*rescue_coupon</f>
        <v/>
      </c>
      <c r="V89" s="53">
        <f>B89+G89+L89+Q89</f>
        <v/>
      </c>
      <c r="W89" s="53">
        <f>C89+H89+M89+R89</f>
        <v/>
      </c>
      <c r="X89" s="53">
        <f>E89+J89+O89+T89</f>
        <v/>
      </c>
      <c r="Y89" s="53">
        <f>F89+K89+P89+U89</f>
        <v/>
      </c>
    </row>
    <row r="90">
      <c r="A90" s="58" t="n">
        <v>1930</v>
      </c>
      <c r="B90" s="53">
        <f>SUMPRODUCT((Events!$B$6:$B$158&lt;=$A90)*(Events!$C$6:$C$158&gt;=$A90)*(Events!$E$6:$E$158="Loan")*(Events!$F$6:$F$158="Continental")*Events!$H$6:$H$158)</f>
        <v/>
      </c>
      <c r="C90" s="53">
        <f>E89*cont_repay</f>
        <v/>
      </c>
      <c r="D90" s="53">
        <f>0</f>
        <v/>
      </c>
      <c r="E90" s="53">
        <f>E89+B90-C90-D90</f>
        <v/>
      </c>
      <c r="F90" s="53">
        <f>E89*cont_coupon</f>
        <v/>
      </c>
      <c r="G90" s="53">
        <f>SUMPRODUCT((Events!$B$6:$B$158&lt;=$A90)*(Events!$C$6:$C$158&gt;=$A90)*(Events!$E$6:$E$158="Loan")*(Events!$F$6:$F$158="Asia")*Events!$H$6:$H$158)</f>
        <v/>
      </c>
      <c r="H90" s="53">
        <f>J89*asia_repay</f>
        <v/>
      </c>
      <c r="I90" s="53">
        <f>0</f>
        <v/>
      </c>
      <c r="J90" s="53">
        <f>J89+G90-H90-I90</f>
        <v/>
      </c>
      <c r="K90" s="53">
        <f>J89*asia_coupon</f>
        <v/>
      </c>
      <c r="L90" s="53">
        <f>SUMPRODUCT((Events!$B$6:$B$158&lt;=$A90)*(Events!$C$6:$C$158&gt;=$A90)*(Events!$E$6:$E$158="Loan")*(Events!$F$6:$F$158="Europe")*Events!$H$6:$H$158)</f>
        <v/>
      </c>
      <c r="M90" s="53">
        <f>O89*Paths!AA90</f>
        <v/>
      </c>
      <c r="N90" s="53">
        <f>IF($A90=1918,russia_writeoff*(O89+L90),0)</f>
        <v/>
      </c>
      <c r="O90" s="53">
        <f>O89+L90-M90-N90</f>
        <v/>
      </c>
      <c r="P90" s="53">
        <f>O89*Paths!Z90*Paths!AB90</f>
        <v/>
      </c>
      <c r="Q90" s="53">
        <f>SUMPRODUCT((Events!$B$6:$B$158&lt;=$A90)*(Events!$C$6:$C$158&gt;=$A90)*(Events!$E$6:$E$158="Loan")*(Events!$F$6:$F$158="Rescue")*Events!$H$6:$H$158)</f>
        <v/>
      </c>
      <c r="R90" s="53">
        <f>0</f>
        <v/>
      </c>
      <c r="S90" s="53">
        <f>0</f>
        <v/>
      </c>
      <c r="T90" s="53">
        <f>T89+Q90-R90-S90</f>
        <v/>
      </c>
      <c r="U90" s="53">
        <f>T89*rescue_coupon</f>
        <v/>
      </c>
      <c r="V90" s="53">
        <f>B90+G90+L90+Q90</f>
        <v/>
      </c>
      <c r="W90" s="53">
        <f>C90+H90+M90+R90</f>
        <v/>
      </c>
      <c r="X90" s="53">
        <f>E90+J90+O90+T90</f>
        <v/>
      </c>
      <c r="Y90" s="53">
        <f>F90+K90+P90+U90</f>
        <v/>
      </c>
    </row>
    <row r="91">
      <c r="A91" s="58" t="n">
        <v>1931</v>
      </c>
      <c r="B91" s="53">
        <f>SUMPRODUCT((Events!$B$6:$B$158&lt;=$A91)*(Events!$C$6:$C$158&gt;=$A91)*(Events!$E$6:$E$158="Loan")*(Events!$F$6:$F$158="Continental")*Events!$H$6:$H$158)</f>
        <v/>
      </c>
      <c r="C91" s="53">
        <f>E90*cont_repay</f>
        <v/>
      </c>
      <c r="D91" s="53">
        <f>0</f>
        <v/>
      </c>
      <c r="E91" s="53">
        <f>E90+B91-C91-D91</f>
        <v/>
      </c>
      <c r="F91" s="53">
        <f>E90*cont_coupon</f>
        <v/>
      </c>
      <c r="G91" s="53">
        <f>SUMPRODUCT((Events!$B$6:$B$158&lt;=$A91)*(Events!$C$6:$C$158&gt;=$A91)*(Events!$E$6:$E$158="Loan")*(Events!$F$6:$F$158="Asia")*Events!$H$6:$H$158)</f>
        <v/>
      </c>
      <c r="H91" s="53">
        <f>J90*asia_repay</f>
        <v/>
      </c>
      <c r="I91" s="53">
        <f>0</f>
        <v/>
      </c>
      <c r="J91" s="53">
        <f>J90+G91-H91-I91</f>
        <v/>
      </c>
      <c r="K91" s="53">
        <f>J90*asia_coupon</f>
        <v/>
      </c>
      <c r="L91" s="53">
        <f>SUMPRODUCT((Events!$B$6:$B$158&lt;=$A91)*(Events!$C$6:$C$158&gt;=$A91)*(Events!$E$6:$E$158="Loan")*(Events!$F$6:$F$158="Europe")*Events!$H$6:$H$158)</f>
        <v/>
      </c>
      <c r="M91" s="53">
        <f>O90*Paths!AA91</f>
        <v/>
      </c>
      <c r="N91" s="53">
        <f>IF($A91=1918,russia_writeoff*(O90+L91),0)</f>
        <v/>
      </c>
      <c r="O91" s="53">
        <f>O90+L91-M91-N91</f>
        <v/>
      </c>
      <c r="P91" s="53">
        <f>O90*Paths!Z91*Paths!AB91</f>
        <v/>
      </c>
      <c r="Q91" s="53">
        <f>SUMPRODUCT((Events!$B$6:$B$158&lt;=$A91)*(Events!$C$6:$C$158&gt;=$A91)*(Events!$E$6:$E$158="Loan")*(Events!$F$6:$F$158="Rescue")*Events!$H$6:$H$158)</f>
        <v/>
      </c>
      <c r="R91" s="53">
        <f>0</f>
        <v/>
      </c>
      <c r="S91" s="53">
        <f>0</f>
        <v/>
      </c>
      <c r="T91" s="53">
        <f>T90+Q91-R91-S91</f>
        <v/>
      </c>
      <c r="U91" s="53">
        <f>T90*rescue_coupon</f>
        <v/>
      </c>
      <c r="V91" s="53">
        <f>B91+G91+L91+Q91</f>
        <v/>
      </c>
      <c r="W91" s="53">
        <f>C91+H91+M91+R91</f>
        <v/>
      </c>
      <c r="X91" s="53">
        <f>E91+J91+O91+T91</f>
        <v/>
      </c>
      <c r="Y91" s="53">
        <f>F91+K91+P91+U91</f>
        <v/>
      </c>
    </row>
    <row r="92">
      <c r="A92" s="58" t="n">
        <v>1932</v>
      </c>
      <c r="B92" s="53">
        <f>SUMPRODUCT((Events!$B$6:$B$158&lt;=$A92)*(Events!$C$6:$C$158&gt;=$A92)*(Events!$E$6:$E$158="Loan")*(Events!$F$6:$F$158="Continental")*Events!$H$6:$H$158)</f>
        <v/>
      </c>
      <c r="C92" s="53">
        <f>E91*cont_repay</f>
        <v/>
      </c>
      <c r="D92" s="53">
        <f>0</f>
        <v/>
      </c>
      <c r="E92" s="53">
        <f>E91+B92-C92-D92</f>
        <v/>
      </c>
      <c r="F92" s="53">
        <f>E91*cont_coupon</f>
        <v/>
      </c>
      <c r="G92" s="53">
        <f>SUMPRODUCT((Events!$B$6:$B$158&lt;=$A92)*(Events!$C$6:$C$158&gt;=$A92)*(Events!$E$6:$E$158="Loan")*(Events!$F$6:$F$158="Asia")*Events!$H$6:$H$158)</f>
        <v/>
      </c>
      <c r="H92" s="53">
        <f>J91*asia_repay</f>
        <v/>
      </c>
      <c r="I92" s="53">
        <f>0</f>
        <v/>
      </c>
      <c r="J92" s="53">
        <f>J91+G92-H92-I92</f>
        <v/>
      </c>
      <c r="K92" s="53">
        <f>J91*asia_coupon</f>
        <v/>
      </c>
      <c r="L92" s="53">
        <f>SUMPRODUCT((Events!$B$6:$B$158&lt;=$A92)*(Events!$C$6:$C$158&gt;=$A92)*(Events!$E$6:$E$158="Loan")*(Events!$F$6:$F$158="Europe")*Events!$H$6:$H$158)</f>
        <v/>
      </c>
      <c r="M92" s="53">
        <f>O91*Paths!AA92</f>
        <v/>
      </c>
      <c r="N92" s="53">
        <f>IF($A92=1918,russia_writeoff*(O91+L92),0)</f>
        <v/>
      </c>
      <c r="O92" s="53">
        <f>O91+L92-M92-N92</f>
        <v/>
      </c>
      <c r="P92" s="53">
        <f>O91*Paths!Z92*Paths!AB92</f>
        <v/>
      </c>
      <c r="Q92" s="53">
        <f>SUMPRODUCT((Events!$B$6:$B$158&lt;=$A92)*(Events!$C$6:$C$158&gt;=$A92)*(Events!$E$6:$E$158="Loan")*(Events!$F$6:$F$158="Rescue")*Events!$H$6:$H$158)</f>
        <v/>
      </c>
      <c r="R92" s="53">
        <f>0</f>
        <v/>
      </c>
      <c r="S92" s="53">
        <f>0</f>
        <v/>
      </c>
      <c r="T92" s="53">
        <f>T91+Q92-R92-S92</f>
        <v/>
      </c>
      <c r="U92" s="53">
        <f>T91*rescue_coupon</f>
        <v/>
      </c>
      <c r="V92" s="53">
        <f>B92+G92+L92+Q92</f>
        <v/>
      </c>
      <c r="W92" s="53">
        <f>C92+H92+M92+R92</f>
        <v/>
      </c>
      <c r="X92" s="53">
        <f>E92+J92+O92+T92</f>
        <v/>
      </c>
      <c r="Y92" s="53">
        <f>F92+K92+P92+U92</f>
        <v/>
      </c>
    </row>
  </sheetData>
  <mergeCells count="5">
    <mergeCell ref="B4:F4"/>
    <mergeCell ref="L4:P4"/>
    <mergeCell ref="V4:Y4"/>
    <mergeCell ref="Q4:U4"/>
    <mergeCell ref="G4:K4"/>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BF8F00"/>
    <outlinePr summaryBelow="1" summaryRight="1"/>
    <pageSetUpPr fitToPage="1"/>
  </sheetPr>
  <dimension ref="A1:M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s>
  <sheetData>
    <row r="1">
      <c r="A1" s="18" t="inlineStr">
        <is>
          <t>Gold and money</t>
        </is>
      </c>
    </row>
    <row r="2">
      <c r="A2" s="2" t="inlineStr">
        <is>
          <t>Monetary gold against the 40% cover rule, including the 1931-32 rescue and any Reserve Bank bond purchases.</t>
        </is>
      </c>
    </row>
    <row r="3">
      <c r="A3" s="19" t="inlineStr">
        <is>
          <t>Years run down the page. Blue = input you can change · black = formula · green = link to another sheet. Hover a column heading for its definition.</t>
        </is>
      </c>
    </row>
    <row r="4">
      <c r="B4" s="56" t="inlineStr">
        <is>
          <t>Monetary gold, $m</t>
        </is>
      </c>
      <c r="G4" s="56" t="inlineStr">
        <is>
          <t>Money, $m</t>
        </is>
      </c>
    </row>
    <row r="5" ht="54" customHeight="1">
      <c r="A5" s="57" t="inlineStr">
        <is>
          <t>Year</t>
        </is>
      </c>
      <c r="B5" s="6" t="inlineStr">
        <is>
          <t>Gold at start of year</t>
        </is>
      </c>
      <c r="C5" s="6" t="inlineStr">
        <is>
          <t>From new gold output</t>
        </is>
      </c>
      <c r="D5" s="6" t="inlineStr">
        <is>
          <t>From the external surplus</t>
        </is>
      </c>
      <c r="E5" s="6" t="inlineStr">
        <is>
          <t>Paid out in gold (purchases &amp; rescues)</t>
        </is>
      </c>
      <c r="F5" s="6" t="inlineStr">
        <is>
          <t>Gold at end of year</t>
        </is>
      </c>
      <c r="G5" s="6" t="inlineStr">
        <is>
          <t>Reserve Bank buys Treasury bonds</t>
        </is>
      </c>
      <c r="H5" s="6" t="inlineStr">
        <is>
          <t>Reserve Bank holdings of bonds</t>
        </is>
      </c>
      <c r="I5" s="6" t="inlineStr">
        <is>
          <t>Notes and bank reserves</t>
        </is>
      </c>
      <c r="J5" s="6" t="inlineStr">
        <is>
          <t>Gold required as cover</t>
        </is>
      </c>
      <c r="K5" s="6" t="inlineStr">
        <is>
          <t>Gold above requirement</t>
        </is>
      </c>
      <c r="L5" s="6" t="inlineStr">
        <is>
          <t>Gold cover</t>
        </is>
      </c>
      <c r="M5" s="6" t="inlineStr">
        <is>
          <t>Share of world monetary gold</t>
        </is>
      </c>
    </row>
    <row r="6">
      <c r="A6" s="58" t="n">
        <v>1846</v>
      </c>
      <c r="B6" s="53">
        <f>0</f>
        <v/>
      </c>
      <c r="C6" s="69">
        <f>Resources!R6</f>
        <v/>
      </c>
      <c r="D6" s="53">
        <f>IF($A6&gt;=1850,Economy!O6*ext_gold,0)</f>
        <v/>
      </c>
      <c r="E6" s="53">
        <f>SUMPRODUCT((Events!$B$6:$B$158&lt;=$A6)*(Events!$C$6:$C$158&gt;=$A6)*(Events!$E$6:$E$158="Loan")*(Events!$J$6:$J$158="Yes")*Events!$H$6:$H$158)+SUMPRODUCT((Events!$B$6:$B$158&lt;=$A6)*(Events!$C$6:$C$158&gt;=$A6)*(Events!$E$6:$E$158="Purchase")*(Events!$J$6:$J$158="Yes")*Events!$H$6:$H$158)</f>
        <v/>
      </c>
      <c r="F6" s="53">
        <f>MAX(0,B6+C6+D6-E6)</f>
        <v/>
      </c>
      <c r="G6" s="53">
        <f>IF(OR($A6=1931,$A6=1932),cb_buy/2,0)</f>
        <v/>
      </c>
      <c r="H6" s="53">
        <f>0</f>
        <v/>
      </c>
      <c r="I6" s="53">
        <f>Economy!O6*money_ratio+H6</f>
        <v/>
      </c>
      <c r="J6" s="53">
        <f>I6*gold_cover</f>
        <v/>
      </c>
      <c r="K6" s="53">
        <f>F6-J6</f>
        <v/>
      </c>
      <c r="L6" s="63">
        <f>IF(I6&gt;0,F6/I6,0)</f>
        <v/>
      </c>
      <c r="M6" s="63">
        <f>IF(Paths!AD6&gt;0,F6/Paths!AD6,0)</f>
        <v/>
      </c>
    </row>
    <row r="7">
      <c r="A7" s="58" t="n">
        <v>1847</v>
      </c>
      <c r="B7" s="53">
        <f>F6</f>
        <v/>
      </c>
      <c r="C7" s="69">
        <f>Resources!R7</f>
        <v/>
      </c>
      <c r="D7" s="53">
        <f>IF($A7&gt;=1850,Economy!O7*ext_gold,0)</f>
        <v/>
      </c>
      <c r="E7" s="53">
        <f>SUMPRODUCT((Events!$B$6:$B$158&lt;=$A7)*(Events!$C$6:$C$158&gt;=$A7)*(Events!$E$6:$E$158="Loan")*(Events!$J$6:$J$158="Yes")*Events!$H$6:$H$158)+SUMPRODUCT((Events!$B$6:$B$158&lt;=$A7)*(Events!$C$6:$C$158&gt;=$A7)*(Events!$E$6:$E$158="Purchase")*(Events!$J$6:$J$158="Yes")*Events!$H$6:$H$158)</f>
        <v/>
      </c>
      <c r="F7" s="53">
        <f>MAX(0,B7+C7+D7-E7)</f>
        <v/>
      </c>
      <c r="G7" s="53">
        <f>IF(OR($A7=1931,$A7=1932),cb_buy/2,0)</f>
        <v/>
      </c>
      <c r="H7" s="53">
        <f>H6+G7</f>
        <v/>
      </c>
      <c r="I7" s="53">
        <f>Economy!O7*money_ratio+H7</f>
        <v/>
      </c>
      <c r="J7" s="53">
        <f>I7*gold_cover</f>
        <v/>
      </c>
      <c r="K7" s="53">
        <f>F7-J7</f>
        <v/>
      </c>
      <c r="L7" s="63">
        <f>IF(I7&gt;0,F7/I7,0)</f>
        <v/>
      </c>
      <c r="M7" s="63">
        <f>IF(Paths!AD7&gt;0,F7/Paths!AD7,0)</f>
        <v/>
      </c>
    </row>
    <row r="8">
      <c r="A8" s="58" t="n">
        <v>1848</v>
      </c>
      <c r="B8" s="53">
        <f>F7</f>
        <v/>
      </c>
      <c r="C8" s="69">
        <f>Resources!R8</f>
        <v/>
      </c>
      <c r="D8" s="53">
        <f>IF($A8&gt;=1850,Economy!O8*ext_gold,0)</f>
        <v/>
      </c>
      <c r="E8" s="53">
        <f>SUMPRODUCT((Events!$B$6:$B$158&lt;=$A8)*(Events!$C$6:$C$158&gt;=$A8)*(Events!$E$6:$E$158="Loan")*(Events!$J$6:$J$158="Yes")*Events!$H$6:$H$158)+SUMPRODUCT((Events!$B$6:$B$158&lt;=$A8)*(Events!$C$6:$C$158&gt;=$A8)*(Events!$E$6:$E$158="Purchase")*(Events!$J$6:$J$158="Yes")*Events!$H$6:$H$158)</f>
        <v/>
      </c>
      <c r="F8" s="53">
        <f>MAX(0,B8+C8+D8-E8)</f>
        <v/>
      </c>
      <c r="G8" s="53">
        <f>IF(OR($A8=1931,$A8=1932),cb_buy/2,0)</f>
        <v/>
      </c>
      <c r="H8" s="53">
        <f>H7+G8</f>
        <v/>
      </c>
      <c r="I8" s="53">
        <f>Economy!O8*money_ratio+H8</f>
        <v/>
      </c>
      <c r="J8" s="53">
        <f>I8*gold_cover</f>
        <v/>
      </c>
      <c r="K8" s="53">
        <f>F8-J8</f>
        <v/>
      </c>
      <c r="L8" s="63">
        <f>IF(I8&gt;0,F8/I8,0)</f>
        <v/>
      </c>
      <c r="M8" s="63">
        <f>IF(Paths!AD8&gt;0,F8/Paths!AD8,0)</f>
        <v/>
      </c>
    </row>
    <row r="9">
      <c r="A9" s="58" t="n">
        <v>1849</v>
      </c>
      <c r="B9" s="53">
        <f>F8</f>
        <v/>
      </c>
      <c r="C9" s="69">
        <f>Resources!R9</f>
        <v/>
      </c>
      <c r="D9" s="53">
        <f>IF($A9&gt;=1850,Economy!O9*ext_gold,0)</f>
        <v/>
      </c>
      <c r="E9" s="53">
        <f>SUMPRODUCT((Events!$B$6:$B$158&lt;=$A9)*(Events!$C$6:$C$158&gt;=$A9)*(Events!$E$6:$E$158="Loan")*(Events!$J$6:$J$158="Yes")*Events!$H$6:$H$158)+SUMPRODUCT((Events!$B$6:$B$158&lt;=$A9)*(Events!$C$6:$C$158&gt;=$A9)*(Events!$E$6:$E$158="Purchase")*(Events!$J$6:$J$158="Yes")*Events!$H$6:$H$158)</f>
        <v/>
      </c>
      <c r="F9" s="53">
        <f>MAX(0,B9+C9+D9-E9)</f>
        <v/>
      </c>
      <c r="G9" s="53">
        <f>IF(OR($A9=1931,$A9=1932),cb_buy/2,0)</f>
        <v/>
      </c>
      <c r="H9" s="53">
        <f>H8+G9</f>
        <v/>
      </c>
      <c r="I9" s="53">
        <f>Economy!O9*money_ratio+H9</f>
        <v/>
      </c>
      <c r="J9" s="53">
        <f>I9*gold_cover</f>
        <v/>
      </c>
      <c r="K9" s="53">
        <f>F9-J9</f>
        <v/>
      </c>
      <c r="L9" s="63">
        <f>IF(I9&gt;0,F9/I9,0)</f>
        <v/>
      </c>
      <c r="M9" s="63">
        <f>IF(Paths!AD9&gt;0,F9/Paths!AD9,0)</f>
        <v/>
      </c>
    </row>
    <row r="10">
      <c r="A10" s="58" t="n">
        <v>1850</v>
      </c>
      <c r="B10" s="53">
        <f>F9</f>
        <v/>
      </c>
      <c r="C10" s="69">
        <f>Resources!R10</f>
        <v/>
      </c>
      <c r="D10" s="53">
        <f>IF($A10&gt;=1850,Economy!O10*ext_gold,0)</f>
        <v/>
      </c>
      <c r="E10" s="53">
        <f>SUMPRODUCT((Events!$B$6:$B$158&lt;=$A10)*(Events!$C$6:$C$158&gt;=$A10)*(Events!$E$6:$E$158="Loan")*(Events!$J$6:$J$158="Yes")*Events!$H$6:$H$158)+SUMPRODUCT((Events!$B$6:$B$158&lt;=$A10)*(Events!$C$6:$C$158&gt;=$A10)*(Events!$E$6:$E$158="Purchase")*(Events!$J$6:$J$158="Yes")*Events!$H$6:$H$158)</f>
        <v/>
      </c>
      <c r="F10" s="53">
        <f>MAX(0,B10+C10+D10-E10)</f>
        <v/>
      </c>
      <c r="G10" s="53">
        <f>IF(OR($A10=1931,$A10=1932),cb_buy/2,0)</f>
        <v/>
      </c>
      <c r="H10" s="53">
        <f>H9+G10</f>
        <v/>
      </c>
      <c r="I10" s="53">
        <f>Economy!O10*money_ratio+H10</f>
        <v/>
      </c>
      <c r="J10" s="53">
        <f>I10*gold_cover</f>
        <v/>
      </c>
      <c r="K10" s="53">
        <f>F10-J10</f>
        <v/>
      </c>
      <c r="L10" s="63">
        <f>IF(I10&gt;0,F10/I10,0)</f>
        <v/>
      </c>
      <c r="M10" s="63">
        <f>IF(Paths!AD10&gt;0,F10/Paths!AD10,0)</f>
        <v/>
      </c>
    </row>
    <row r="11">
      <c r="A11" s="58" t="n">
        <v>1851</v>
      </c>
      <c r="B11" s="53">
        <f>F10</f>
        <v/>
      </c>
      <c r="C11" s="69">
        <f>Resources!R11</f>
        <v/>
      </c>
      <c r="D11" s="53">
        <f>IF($A11&gt;=1850,Economy!O11*ext_gold,0)</f>
        <v/>
      </c>
      <c r="E11" s="53">
        <f>SUMPRODUCT((Events!$B$6:$B$158&lt;=$A11)*(Events!$C$6:$C$158&gt;=$A11)*(Events!$E$6:$E$158="Loan")*(Events!$J$6:$J$158="Yes")*Events!$H$6:$H$158)+SUMPRODUCT((Events!$B$6:$B$158&lt;=$A11)*(Events!$C$6:$C$158&gt;=$A11)*(Events!$E$6:$E$158="Purchase")*(Events!$J$6:$J$158="Yes")*Events!$H$6:$H$158)</f>
        <v/>
      </c>
      <c r="F11" s="53">
        <f>MAX(0,B11+C11+D11-E11)</f>
        <v/>
      </c>
      <c r="G11" s="53">
        <f>IF(OR($A11=1931,$A11=1932),cb_buy/2,0)</f>
        <v/>
      </c>
      <c r="H11" s="53">
        <f>H10+G11</f>
        <v/>
      </c>
      <c r="I11" s="53">
        <f>Economy!O11*money_ratio+H11</f>
        <v/>
      </c>
      <c r="J11" s="53">
        <f>I11*gold_cover</f>
        <v/>
      </c>
      <c r="K11" s="53">
        <f>F11-J11</f>
        <v/>
      </c>
      <c r="L11" s="63">
        <f>IF(I11&gt;0,F11/I11,0)</f>
        <v/>
      </c>
      <c r="M11" s="63">
        <f>IF(Paths!AD11&gt;0,F11/Paths!AD11,0)</f>
        <v/>
      </c>
    </row>
    <row r="12">
      <c r="A12" s="58" t="n">
        <v>1852</v>
      </c>
      <c r="B12" s="53">
        <f>F11</f>
        <v/>
      </c>
      <c r="C12" s="69">
        <f>Resources!R12</f>
        <v/>
      </c>
      <c r="D12" s="53">
        <f>IF($A12&gt;=1850,Economy!O12*ext_gold,0)</f>
        <v/>
      </c>
      <c r="E12" s="53">
        <f>SUMPRODUCT((Events!$B$6:$B$158&lt;=$A12)*(Events!$C$6:$C$158&gt;=$A12)*(Events!$E$6:$E$158="Loan")*(Events!$J$6:$J$158="Yes")*Events!$H$6:$H$158)+SUMPRODUCT((Events!$B$6:$B$158&lt;=$A12)*(Events!$C$6:$C$158&gt;=$A12)*(Events!$E$6:$E$158="Purchase")*(Events!$J$6:$J$158="Yes")*Events!$H$6:$H$158)</f>
        <v/>
      </c>
      <c r="F12" s="53">
        <f>MAX(0,B12+C12+D12-E12)</f>
        <v/>
      </c>
      <c r="G12" s="53">
        <f>IF(OR($A12=1931,$A12=1932),cb_buy/2,0)</f>
        <v/>
      </c>
      <c r="H12" s="53">
        <f>H11+G12</f>
        <v/>
      </c>
      <c r="I12" s="53">
        <f>Economy!O12*money_ratio+H12</f>
        <v/>
      </c>
      <c r="J12" s="53">
        <f>I12*gold_cover</f>
        <v/>
      </c>
      <c r="K12" s="53">
        <f>F12-J12</f>
        <v/>
      </c>
      <c r="L12" s="63">
        <f>IF(I12&gt;0,F12/I12,0)</f>
        <v/>
      </c>
      <c r="M12" s="63">
        <f>IF(Paths!AD12&gt;0,F12/Paths!AD12,0)</f>
        <v/>
      </c>
    </row>
    <row r="13">
      <c r="A13" s="58" t="n">
        <v>1853</v>
      </c>
      <c r="B13" s="53">
        <f>F12</f>
        <v/>
      </c>
      <c r="C13" s="69">
        <f>Resources!R13</f>
        <v/>
      </c>
      <c r="D13" s="53">
        <f>IF($A13&gt;=1850,Economy!O13*ext_gold,0)</f>
        <v/>
      </c>
      <c r="E13" s="53">
        <f>SUMPRODUCT((Events!$B$6:$B$158&lt;=$A13)*(Events!$C$6:$C$158&gt;=$A13)*(Events!$E$6:$E$158="Loan")*(Events!$J$6:$J$158="Yes")*Events!$H$6:$H$158)+SUMPRODUCT((Events!$B$6:$B$158&lt;=$A13)*(Events!$C$6:$C$158&gt;=$A13)*(Events!$E$6:$E$158="Purchase")*(Events!$J$6:$J$158="Yes")*Events!$H$6:$H$158)</f>
        <v/>
      </c>
      <c r="F13" s="53">
        <f>MAX(0,B13+C13+D13-E13)</f>
        <v/>
      </c>
      <c r="G13" s="53">
        <f>IF(OR($A13=1931,$A13=1932),cb_buy/2,0)</f>
        <v/>
      </c>
      <c r="H13" s="53">
        <f>H12+G13</f>
        <v/>
      </c>
      <c r="I13" s="53">
        <f>Economy!O13*money_ratio+H13</f>
        <v/>
      </c>
      <c r="J13" s="53">
        <f>I13*gold_cover</f>
        <v/>
      </c>
      <c r="K13" s="53">
        <f>F13-J13</f>
        <v/>
      </c>
      <c r="L13" s="63">
        <f>IF(I13&gt;0,F13/I13,0)</f>
        <v/>
      </c>
      <c r="M13" s="63">
        <f>IF(Paths!AD13&gt;0,F13/Paths!AD13,0)</f>
        <v/>
      </c>
    </row>
    <row r="14">
      <c r="A14" s="58" t="n">
        <v>1854</v>
      </c>
      <c r="B14" s="53">
        <f>F13</f>
        <v/>
      </c>
      <c r="C14" s="69">
        <f>Resources!R14</f>
        <v/>
      </c>
      <c r="D14" s="53">
        <f>IF($A14&gt;=1850,Economy!O14*ext_gold,0)</f>
        <v/>
      </c>
      <c r="E14" s="53">
        <f>SUMPRODUCT((Events!$B$6:$B$158&lt;=$A14)*(Events!$C$6:$C$158&gt;=$A14)*(Events!$E$6:$E$158="Loan")*(Events!$J$6:$J$158="Yes")*Events!$H$6:$H$158)+SUMPRODUCT((Events!$B$6:$B$158&lt;=$A14)*(Events!$C$6:$C$158&gt;=$A14)*(Events!$E$6:$E$158="Purchase")*(Events!$J$6:$J$158="Yes")*Events!$H$6:$H$158)</f>
        <v/>
      </c>
      <c r="F14" s="53">
        <f>MAX(0,B14+C14+D14-E14)</f>
        <v/>
      </c>
      <c r="G14" s="53">
        <f>IF(OR($A14=1931,$A14=1932),cb_buy/2,0)</f>
        <v/>
      </c>
      <c r="H14" s="53">
        <f>H13+G14</f>
        <v/>
      </c>
      <c r="I14" s="53">
        <f>Economy!O14*money_ratio+H14</f>
        <v/>
      </c>
      <c r="J14" s="53">
        <f>I14*gold_cover</f>
        <v/>
      </c>
      <c r="K14" s="53">
        <f>F14-J14</f>
        <v/>
      </c>
      <c r="L14" s="63">
        <f>IF(I14&gt;0,F14/I14,0)</f>
        <v/>
      </c>
      <c r="M14" s="63">
        <f>IF(Paths!AD14&gt;0,F14/Paths!AD14,0)</f>
        <v/>
      </c>
    </row>
    <row r="15">
      <c r="A15" s="58" t="n">
        <v>1855</v>
      </c>
      <c r="B15" s="53">
        <f>F14</f>
        <v/>
      </c>
      <c r="C15" s="69">
        <f>Resources!R15</f>
        <v/>
      </c>
      <c r="D15" s="53">
        <f>IF($A15&gt;=1850,Economy!O15*ext_gold,0)</f>
        <v/>
      </c>
      <c r="E15" s="53">
        <f>SUMPRODUCT((Events!$B$6:$B$158&lt;=$A15)*(Events!$C$6:$C$158&gt;=$A15)*(Events!$E$6:$E$158="Loan")*(Events!$J$6:$J$158="Yes")*Events!$H$6:$H$158)+SUMPRODUCT((Events!$B$6:$B$158&lt;=$A15)*(Events!$C$6:$C$158&gt;=$A15)*(Events!$E$6:$E$158="Purchase")*(Events!$J$6:$J$158="Yes")*Events!$H$6:$H$158)</f>
        <v/>
      </c>
      <c r="F15" s="53">
        <f>MAX(0,B15+C15+D15-E15)</f>
        <v/>
      </c>
      <c r="G15" s="53">
        <f>IF(OR($A15=1931,$A15=1932),cb_buy/2,0)</f>
        <v/>
      </c>
      <c r="H15" s="53">
        <f>H14+G15</f>
        <v/>
      </c>
      <c r="I15" s="53">
        <f>Economy!O15*money_ratio+H15</f>
        <v/>
      </c>
      <c r="J15" s="53">
        <f>I15*gold_cover</f>
        <v/>
      </c>
      <c r="K15" s="53">
        <f>F15-J15</f>
        <v/>
      </c>
      <c r="L15" s="63">
        <f>IF(I15&gt;0,F15/I15,0)</f>
        <v/>
      </c>
      <c r="M15" s="63">
        <f>IF(Paths!AD15&gt;0,F15/Paths!AD15,0)</f>
        <v/>
      </c>
    </row>
    <row r="16">
      <c r="A16" s="58" t="n">
        <v>1856</v>
      </c>
      <c r="B16" s="53">
        <f>F15</f>
        <v/>
      </c>
      <c r="C16" s="69">
        <f>Resources!R16</f>
        <v/>
      </c>
      <c r="D16" s="53">
        <f>IF($A16&gt;=1850,Economy!O16*ext_gold,0)</f>
        <v/>
      </c>
      <c r="E16" s="53">
        <f>SUMPRODUCT((Events!$B$6:$B$158&lt;=$A16)*(Events!$C$6:$C$158&gt;=$A16)*(Events!$E$6:$E$158="Loan")*(Events!$J$6:$J$158="Yes")*Events!$H$6:$H$158)+SUMPRODUCT((Events!$B$6:$B$158&lt;=$A16)*(Events!$C$6:$C$158&gt;=$A16)*(Events!$E$6:$E$158="Purchase")*(Events!$J$6:$J$158="Yes")*Events!$H$6:$H$158)</f>
        <v/>
      </c>
      <c r="F16" s="53">
        <f>MAX(0,B16+C16+D16-E16)</f>
        <v/>
      </c>
      <c r="G16" s="53">
        <f>IF(OR($A16=1931,$A16=1932),cb_buy/2,0)</f>
        <v/>
      </c>
      <c r="H16" s="53">
        <f>H15+G16</f>
        <v/>
      </c>
      <c r="I16" s="53">
        <f>Economy!O16*money_ratio+H16</f>
        <v/>
      </c>
      <c r="J16" s="53">
        <f>I16*gold_cover</f>
        <v/>
      </c>
      <c r="K16" s="53">
        <f>F16-J16</f>
        <v/>
      </c>
      <c r="L16" s="63">
        <f>IF(I16&gt;0,F16/I16,0)</f>
        <v/>
      </c>
      <c r="M16" s="63">
        <f>IF(Paths!AD16&gt;0,F16/Paths!AD16,0)</f>
        <v/>
      </c>
    </row>
    <row r="17">
      <c r="A17" s="58" t="n">
        <v>1857</v>
      </c>
      <c r="B17" s="53">
        <f>F16</f>
        <v/>
      </c>
      <c r="C17" s="69">
        <f>Resources!R17</f>
        <v/>
      </c>
      <c r="D17" s="53">
        <f>IF($A17&gt;=1850,Economy!O17*ext_gold,0)</f>
        <v/>
      </c>
      <c r="E17" s="53">
        <f>SUMPRODUCT((Events!$B$6:$B$158&lt;=$A17)*(Events!$C$6:$C$158&gt;=$A17)*(Events!$E$6:$E$158="Loan")*(Events!$J$6:$J$158="Yes")*Events!$H$6:$H$158)+SUMPRODUCT((Events!$B$6:$B$158&lt;=$A17)*(Events!$C$6:$C$158&gt;=$A17)*(Events!$E$6:$E$158="Purchase")*(Events!$J$6:$J$158="Yes")*Events!$H$6:$H$158)</f>
        <v/>
      </c>
      <c r="F17" s="53">
        <f>MAX(0,B17+C17+D17-E17)</f>
        <v/>
      </c>
      <c r="G17" s="53">
        <f>IF(OR($A17=1931,$A17=1932),cb_buy/2,0)</f>
        <v/>
      </c>
      <c r="H17" s="53">
        <f>H16+G17</f>
        <v/>
      </c>
      <c r="I17" s="53">
        <f>Economy!O17*money_ratio+H17</f>
        <v/>
      </c>
      <c r="J17" s="53">
        <f>I17*gold_cover</f>
        <v/>
      </c>
      <c r="K17" s="53">
        <f>F17-J17</f>
        <v/>
      </c>
      <c r="L17" s="63">
        <f>IF(I17&gt;0,F17/I17,0)</f>
        <v/>
      </c>
      <c r="M17" s="63">
        <f>IF(Paths!AD17&gt;0,F17/Paths!AD17,0)</f>
        <v/>
      </c>
    </row>
    <row r="18">
      <c r="A18" s="58" t="n">
        <v>1858</v>
      </c>
      <c r="B18" s="53">
        <f>F17</f>
        <v/>
      </c>
      <c r="C18" s="69">
        <f>Resources!R18</f>
        <v/>
      </c>
      <c r="D18" s="53">
        <f>IF($A18&gt;=1850,Economy!O18*ext_gold,0)</f>
        <v/>
      </c>
      <c r="E18" s="53">
        <f>SUMPRODUCT((Events!$B$6:$B$158&lt;=$A18)*(Events!$C$6:$C$158&gt;=$A18)*(Events!$E$6:$E$158="Loan")*(Events!$J$6:$J$158="Yes")*Events!$H$6:$H$158)+SUMPRODUCT((Events!$B$6:$B$158&lt;=$A18)*(Events!$C$6:$C$158&gt;=$A18)*(Events!$E$6:$E$158="Purchase")*(Events!$J$6:$J$158="Yes")*Events!$H$6:$H$158)</f>
        <v/>
      </c>
      <c r="F18" s="53">
        <f>MAX(0,B18+C18+D18-E18)</f>
        <v/>
      </c>
      <c r="G18" s="53">
        <f>IF(OR($A18=1931,$A18=1932),cb_buy/2,0)</f>
        <v/>
      </c>
      <c r="H18" s="53">
        <f>H17+G18</f>
        <v/>
      </c>
      <c r="I18" s="53">
        <f>Economy!O18*money_ratio+H18</f>
        <v/>
      </c>
      <c r="J18" s="53">
        <f>I18*gold_cover</f>
        <v/>
      </c>
      <c r="K18" s="53">
        <f>F18-J18</f>
        <v/>
      </c>
      <c r="L18" s="63">
        <f>IF(I18&gt;0,F18/I18,0)</f>
        <v/>
      </c>
      <c r="M18" s="63">
        <f>IF(Paths!AD18&gt;0,F18/Paths!AD18,0)</f>
        <v/>
      </c>
    </row>
    <row r="19">
      <c r="A19" s="58" t="n">
        <v>1859</v>
      </c>
      <c r="B19" s="53">
        <f>F18</f>
        <v/>
      </c>
      <c r="C19" s="69">
        <f>Resources!R19</f>
        <v/>
      </c>
      <c r="D19" s="53">
        <f>IF($A19&gt;=1850,Economy!O19*ext_gold,0)</f>
        <v/>
      </c>
      <c r="E19" s="53">
        <f>SUMPRODUCT((Events!$B$6:$B$158&lt;=$A19)*(Events!$C$6:$C$158&gt;=$A19)*(Events!$E$6:$E$158="Loan")*(Events!$J$6:$J$158="Yes")*Events!$H$6:$H$158)+SUMPRODUCT((Events!$B$6:$B$158&lt;=$A19)*(Events!$C$6:$C$158&gt;=$A19)*(Events!$E$6:$E$158="Purchase")*(Events!$J$6:$J$158="Yes")*Events!$H$6:$H$158)</f>
        <v/>
      </c>
      <c r="F19" s="53">
        <f>MAX(0,B19+C19+D19-E19)</f>
        <v/>
      </c>
      <c r="G19" s="53">
        <f>IF(OR($A19=1931,$A19=1932),cb_buy/2,0)</f>
        <v/>
      </c>
      <c r="H19" s="53">
        <f>H18+G19</f>
        <v/>
      </c>
      <c r="I19" s="53">
        <f>Economy!O19*money_ratio+H19</f>
        <v/>
      </c>
      <c r="J19" s="53">
        <f>I19*gold_cover</f>
        <v/>
      </c>
      <c r="K19" s="53">
        <f>F19-J19</f>
        <v/>
      </c>
      <c r="L19" s="63">
        <f>IF(I19&gt;0,F19/I19,0)</f>
        <v/>
      </c>
      <c r="M19" s="63">
        <f>IF(Paths!AD19&gt;0,F19/Paths!AD19,0)</f>
        <v/>
      </c>
    </row>
    <row r="20">
      <c r="A20" s="58" t="n">
        <v>1860</v>
      </c>
      <c r="B20" s="53">
        <f>F19</f>
        <v/>
      </c>
      <c r="C20" s="69">
        <f>Resources!R20</f>
        <v/>
      </c>
      <c r="D20" s="53">
        <f>IF($A20&gt;=1850,Economy!O20*ext_gold,0)</f>
        <v/>
      </c>
      <c r="E20" s="53">
        <f>SUMPRODUCT((Events!$B$6:$B$158&lt;=$A20)*(Events!$C$6:$C$158&gt;=$A20)*(Events!$E$6:$E$158="Loan")*(Events!$J$6:$J$158="Yes")*Events!$H$6:$H$158)+SUMPRODUCT((Events!$B$6:$B$158&lt;=$A20)*(Events!$C$6:$C$158&gt;=$A20)*(Events!$E$6:$E$158="Purchase")*(Events!$J$6:$J$158="Yes")*Events!$H$6:$H$158)</f>
        <v/>
      </c>
      <c r="F20" s="53">
        <f>MAX(0,B20+C20+D20-E20)</f>
        <v/>
      </c>
      <c r="G20" s="53">
        <f>IF(OR($A20=1931,$A20=1932),cb_buy/2,0)</f>
        <v/>
      </c>
      <c r="H20" s="53">
        <f>H19+G20</f>
        <v/>
      </c>
      <c r="I20" s="53">
        <f>Economy!O20*money_ratio+H20</f>
        <v/>
      </c>
      <c r="J20" s="53">
        <f>I20*gold_cover</f>
        <v/>
      </c>
      <c r="K20" s="53">
        <f>F20-J20</f>
        <v/>
      </c>
      <c r="L20" s="63">
        <f>IF(I20&gt;0,F20/I20,0)</f>
        <v/>
      </c>
      <c r="M20" s="63">
        <f>IF(Paths!AD20&gt;0,F20/Paths!AD20,0)</f>
        <v/>
      </c>
    </row>
    <row r="21">
      <c r="A21" s="61" t="n">
        <v>1861</v>
      </c>
      <c r="B21" s="53">
        <f>F20</f>
        <v/>
      </c>
      <c r="C21" s="69">
        <f>Resources!R21</f>
        <v/>
      </c>
      <c r="D21" s="53">
        <f>IF($A21&gt;=1850,Economy!O21*ext_gold,0)</f>
        <v/>
      </c>
      <c r="E21" s="53">
        <f>SUMPRODUCT((Events!$B$6:$B$158&lt;=$A21)*(Events!$C$6:$C$158&gt;=$A21)*(Events!$E$6:$E$158="Loan")*(Events!$J$6:$J$158="Yes")*Events!$H$6:$H$158)+SUMPRODUCT((Events!$B$6:$B$158&lt;=$A21)*(Events!$C$6:$C$158&gt;=$A21)*(Events!$E$6:$E$158="Purchase")*(Events!$J$6:$J$158="Yes")*Events!$H$6:$H$158)</f>
        <v/>
      </c>
      <c r="F21" s="53">
        <f>MAX(0,B21+C21+D21-E21)</f>
        <v/>
      </c>
      <c r="G21" s="53">
        <f>IF(OR($A21=1931,$A21=1932),cb_buy/2,0)</f>
        <v/>
      </c>
      <c r="H21" s="53">
        <f>H20+G21</f>
        <v/>
      </c>
      <c r="I21" s="53">
        <f>Economy!O21*money_ratio+H21</f>
        <v/>
      </c>
      <c r="J21" s="53">
        <f>I21*gold_cover</f>
        <v/>
      </c>
      <c r="K21" s="53">
        <f>F21-J21</f>
        <v/>
      </c>
      <c r="L21" s="63">
        <f>IF(I21&gt;0,F21/I21,0)</f>
        <v/>
      </c>
      <c r="M21" s="63">
        <f>IF(Paths!AD21&gt;0,F21/Paths!AD21,0)</f>
        <v/>
      </c>
    </row>
    <row r="22">
      <c r="A22" s="61" t="n">
        <v>1862</v>
      </c>
      <c r="B22" s="53">
        <f>F21</f>
        <v/>
      </c>
      <c r="C22" s="69">
        <f>Resources!R22</f>
        <v/>
      </c>
      <c r="D22" s="53">
        <f>IF($A22&gt;=1850,Economy!O22*ext_gold,0)</f>
        <v/>
      </c>
      <c r="E22" s="53">
        <f>SUMPRODUCT((Events!$B$6:$B$158&lt;=$A22)*(Events!$C$6:$C$158&gt;=$A22)*(Events!$E$6:$E$158="Loan")*(Events!$J$6:$J$158="Yes")*Events!$H$6:$H$158)+SUMPRODUCT((Events!$B$6:$B$158&lt;=$A22)*(Events!$C$6:$C$158&gt;=$A22)*(Events!$E$6:$E$158="Purchase")*(Events!$J$6:$J$158="Yes")*Events!$H$6:$H$158)</f>
        <v/>
      </c>
      <c r="F22" s="53">
        <f>MAX(0,B22+C22+D22-E22)</f>
        <v/>
      </c>
      <c r="G22" s="53">
        <f>IF(OR($A22=1931,$A22=1932),cb_buy/2,0)</f>
        <v/>
      </c>
      <c r="H22" s="53">
        <f>H21+G22</f>
        <v/>
      </c>
      <c r="I22" s="53">
        <f>Economy!O22*money_ratio+H22</f>
        <v/>
      </c>
      <c r="J22" s="53">
        <f>I22*gold_cover</f>
        <v/>
      </c>
      <c r="K22" s="53">
        <f>F22-J22</f>
        <v/>
      </c>
      <c r="L22" s="63">
        <f>IF(I22&gt;0,F22/I22,0)</f>
        <v/>
      </c>
      <c r="M22" s="63">
        <f>IF(Paths!AD22&gt;0,F22/Paths!AD22,0)</f>
        <v/>
      </c>
    </row>
    <row r="23">
      <c r="A23" s="61" t="n">
        <v>1863</v>
      </c>
      <c r="B23" s="53">
        <f>F22</f>
        <v/>
      </c>
      <c r="C23" s="69">
        <f>Resources!R23</f>
        <v/>
      </c>
      <c r="D23" s="53">
        <f>IF($A23&gt;=1850,Economy!O23*ext_gold,0)</f>
        <v/>
      </c>
      <c r="E23" s="53">
        <f>SUMPRODUCT((Events!$B$6:$B$158&lt;=$A23)*(Events!$C$6:$C$158&gt;=$A23)*(Events!$E$6:$E$158="Loan")*(Events!$J$6:$J$158="Yes")*Events!$H$6:$H$158)+SUMPRODUCT((Events!$B$6:$B$158&lt;=$A23)*(Events!$C$6:$C$158&gt;=$A23)*(Events!$E$6:$E$158="Purchase")*(Events!$J$6:$J$158="Yes")*Events!$H$6:$H$158)</f>
        <v/>
      </c>
      <c r="F23" s="53">
        <f>MAX(0,B23+C23+D23-E23)</f>
        <v/>
      </c>
      <c r="G23" s="53">
        <f>IF(OR($A23=1931,$A23=1932),cb_buy/2,0)</f>
        <v/>
      </c>
      <c r="H23" s="53">
        <f>H22+G23</f>
        <v/>
      </c>
      <c r="I23" s="53">
        <f>Economy!O23*money_ratio+H23</f>
        <v/>
      </c>
      <c r="J23" s="53">
        <f>I23*gold_cover</f>
        <v/>
      </c>
      <c r="K23" s="53">
        <f>F23-J23</f>
        <v/>
      </c>
      <c r="L23" s="63">
        <f>IF(I23&gt;0,F23/I23,0)</f>
        <v/>
      </c>
      <c r="M23" s="63">
        <f>IF(Paths!AD23&gt;0,F23/Paths!AD23,0)</f>
        <v/>
      </c>
    </row>
    <row r="24">
      <c r="A24" s="61" t="n">
        <v>1864</v>
      </c>
      <c r="B24" s="53">
        <f>F23</f>
        <v/>
      </c>
      <c r="C24" s="69">
        <f>Resources!R24</f>
        <v/>
      </c>
      <c r="D24" s="53">
        <f>IF($A24&gt;=1850,Economy!O24*ext_gold,0)</f>
        <v/>
      </c>
      <c r="E24" s="53">
        <f>SUMPRODUCT((Events!$B$6:$B$158&lt;=$A24)*(Events!$C$6:$C$158&gt;=$A24)*(Events!$E$6:$E$158="Loan")*(Events!$J$6:$J$158="Yes")*Events!$H$6:$H$158)+SUMPRODUCT((Events!$B$6:$B$158&lt;=$A24)*(Events!$C$6:$C$158&gt;=$A24)*(Events!$E$6:$E$158="Purchase")*(Events!$J$6:$J$158="Yes")*Events!$H$6:$H$158)</f>
        <v/>
      </c>
      <c r="F24" s="53">
        <f>MAX(0,B24+C24+D24-E24)</f>
        <v/>
      </c>
      <c r="G24" s="53">
        <f>IF(OR($A24=1931,$A24=1932),cb_buy/2,0)</f>
        <v/>
      </c>
      <c r="H24" s="53">
        <f>H23+G24</f>
        <v/>
      </c>
      <c r="I24" s="53">
        <f>Economy!O24*money_ratio+H24</f>
        <v/>
      </c>
      <c r="J24" s="53">
        <f>I24*gold_cover</f>
        <v/>
      </c>
      <c r="K24" s="53">
        <f>F24-J24</f>
        <v/>
      </c>
      <c r="L24" s="63">
        <f>IF(I24&gt;0,F24/I24,0)</f>
        <v/>
      </c>
      <c r="M24" s="63">
        <f>IF(Paths!AD24&gt;0,F24/Paths!AD24,0)</f>
        <v/>
      </c>
    </row>
    <row r="25">
      <c r="A25" s="61" t="n">
        <v>1865</v>
      </c>
      <c r="B25" s="53">
        <f>F24</f>
        <v/>
      </c>
      <c r="C25" s="69">
        <f>Resources!R25</f>
        <v/>
      </c>
      <c r="D25" s="53">
        <f>IF($A25&gt;=1850,Economy!O25*ext_gold,0)</f>
        <v/>
      </c>
      <c r="E25" s="53">
        <f>SUMPRODUCT((Events!$B$6:$B$158&lt;=$A25)*(Events!$C$6:$C$158&gt;=$A25)*(Events!$E$6:$E$158="Loan")*(Events!$J$6:$J$158="Yes")*Events!$H$6:$H$158)+SUMPRODUCT((Events!$B$6:$B$158&lt;=$A25)*(Events!$C$6:$C$158&gt;=$A25)*(Events!$E$6:$E$158="Purchase")*(Events!$J$6:$J$158="Yes")*Events!$H$6:$H$158)</f>
        <v/>
      </c>
      <c r="F25" s="53">
        <f>MAX(0,B25+C25+D25-E25)</f>
        <v/>
      </c>
      <c r="G25" s="53">
        <f>IF(OR($A25=1931,$A25=1932),cb_buy/2,0)</f>
        <v/>
      </c>
      <c r="H25" s="53">
        <f>H24+G25</f>
        <v/>
      </c>
      <c r="I25" s="53">
        <f>Economy!O25*money_ratio+H25</f>
        <v/>
      </c>
      <c r="J25" s="53">
        <f>I25*gold_cover</f>
        <v/>
      </c>
      <c r="K25" s="53">
        <f>F25-J25</f>
        <v/>
      </c>
      <c r="L25" s="63">
        <f>IF(I25&gt;0,F25/I25,0)</f>
        <v/>
      </c>
      <c r="M25" s="63">
        <f>IF(Paths!AD25&gt;0,F25/Paths!AD25,0)</f>
        <v/>
      </c>
    </row>
    <row r="26">
      <c r="A26" s="58" t="n">
        <v>1866</v>
      </c>
      <c r="B26" s="53">
        <f>F25</f>
        <v/>
      </c>
      <c r="C26" s="69">
        <f>Resources!R26</f>
        <v/>
      </c>
      <c r="D26" s="53">
        <f>IF($A26&gt;=1850,Economy!O26*ext_gold,0)</f>
        <v/>
      </c>
      <c r="E26" s="53">
        <f>SUMPRODUCT((Events!$B$6:$B$158&lt;=$A26)*(Events!$C$6:$C$158&gt;=$A26)*(Events!$E$6:$E$158="Loan")*(Events!$J$6:$J$158="Yes")*Events!$H$6:$H$158)+SUMPRODUCT((Events!$B$6:$B$158&lt;=$A26)*(Events!$C$6:$C$158&gt;=$A26)*(Events!$E$6:$E$158="Purchase")*(Events!$J$6:$J$158="Yes")*Events!$H$6:$H$158)</f>
        <v/>
      </c>
      <c r="F26" s="53">
        <f>MAX(0,B26+C26+D26-E26)</f>
        <v/>
      </c>
      <c r="G26" s="53">
        <f>IF(OR($A26=1931,$A26=1932),cb_buy/2,0)</f>
        <v/>
      </c>
      <c r="H26" s="53">
        <f>H25+G26</f>
        <v/>
      </c>
      <c r="I26" s="53">
        <f>Economy!O26*money_ratio+H26</f>
        <v/>
      </c>
      <c r="J26" s="53">
        <f>I26*gold_cover</f>
        <v/>
      </c>
      <c r="K26" s="53">
        <f>F26-J26</f>
        <v/>
      </c>
      <c r="L26" s="63">
        <f>IF(I26&gt;0,F26/I26,0)</f>
        <v/>
      </c>
      <c r="M26" s="63">
        <f>IF(Paths!AD26&gt;0,F26/Paths!AD26,0)</f>
        <v/>
      </c>
    </row>
    <row r="27">
      <c r="A27" s="58" t="n">
        <v>1867</v>
      </c>
      <c r="B27" s="53">
        <f>F26</f>
        <v/>
      </c>
      <c r="C27" s="69">
        <f>Resources!R27</f>
        <v/>
      </c>
      <c r="D27" s="53">
        <f>IF($A27&gt;=1850,Economy!O27*ext_gold,0)</f>
        <v/>
      </c>
      <c r="E27" s="53">
        <f>SUMPRODUCT((Events!$B$6:$B$158&lt;=$A27)*(Events!$C$6:$C$158&gt;=$A27)*(Events!$E$6:$E$158="Loan")*(Events!$J$6:$J$158="Yes")*Events!$H$6:$H$158)+SUMPRODUCT((Events!$B$6:$B$158&lt;=$A27)*(Events!$C$6:$C$158&gt;=$A27)*(Events!$E$6:$E$158="Purchase")*(Events!$J$6:$J$158="Yes")*Events!$H$6:$H$158)</f>
        <v/>
      </c>
      <c r="F27" s="53">
        <f>MAX(0,B27+C27+D27-E27)</f>
        <v/>
      </c>
      <c r="G27" s="53">
        <f>IF(OR($A27=1931,$A27=1932),cb_buy/2,0)</f>
        <v/>
      </c>
      <c r="H27" s="53">
        <f>H26+G27</f>
        <v/>
      </c>
      <c r="I27" s="53">
        <f>Economy!O27*money_ratio+H27</f>
        <v/>
      </c>
      <c r="J27" s="53">
        <f>I27*gold_cover</f>
        <v/>
      </c>
      <c r="K27" s="53">
        <f>F27-J27</f>
        <v/>
      </c>
      <c r="L27" s="63">
        <f>IF(I27&gt;0,F27/I27,0)</f>
        <v/>
      </c>
      <c r="M27" s="63">
        <f>IF(Paths!AD27&gt;0,F27/Paths!AD27,0)</f>
        <v/>
      </c>
    </row>
    <row r="28">
      <c r="A28" s="58" t="n">
        <v>1868</v>
      </c>
      <c r="B28" s="53">
        <f>F27</f>
        <v/>
      </c>
      <c r="C28" s="69">
        <f>Resources!R28</f>
        <v/>
      </c>
      <c r="D28" s="53">
        <f>IF($A28&gt;=1850,Economy!O28*ext_gold,0)</f>
        <v/>
      </c>
      <c r="E28" s="53">
        <f>SUMPRODUCT((Events!$B$6:$B$158&lt;=$A28)*(Events!$C$6:$C$158&gt;=$A28)*(Events!$E$6:$E$158="Loan")*(Events!$J$6:$J$158="Yes")*Events!$H$6:$H$158)+SUMPRODUCT((Events!$B$6:$B$158&lt;=$A28)*(Events!$C$6:$C$158&gt;=$A28)*(Events!$E$6:$E$158="Purchase")*(Events!$J$6:$J$158="Yes")*Events!$H$6:$H$158)</f>
        <v/>
      </c>
      <c r="F28" s="53">
        <f>MAX(0,B28+C28+D28-E28)</f>
        <v/>
      </c>
      <c r="G28" s="53">
        <f>IF(OR($A28=1931,$A28=1932),cb_buy/2,0)</f>
        <v/>
      </c>
      <c r="H28" s="53">
        <f>H27+G28</f>
        <v/>
      </c>
      <c r="I28" s="53">
        <f>Economy!O28*money_ratio+H28</f>
        <v/>
      </c>
      <c r="J28" s="53">
        <f>I28*gold_cover</f>
        <v/>
      </c>
      <c r="K28" s="53">
        <f>F28-J28</f>
        <v/>
      </c>
      <c r="L28" s="63">
        <f>IF(I28&gt;0,F28/I28,0)</f>
        <v/>
      </c>
      <c r="M28" s="63">
        <f>IF(Paths!AD28&gt;0,F28/Paths!AD28,0)</f>
        <v/>
      </c>
    </row>
    <row r="29">
      <c r="A29" s="58" t="n">
        <v>1869</v>
      </c>
      <c r="B29" s="53">
        <f>F28</f>
        <v/>
      </c>
      <c r="C29" s="69">
        <f>Resources!R29</f>
        <v/>
      </c>
      <c r="D29" s="53">
        <f>IF($A29&gt;=1850,Economy!O29*ext_gold,0)</f>
        <v/>
      </c>
      <c r="E29" s="53">
        <f>SUMPRODUCT((Events!$B$6:$B$158&lt;=$A29)*(Events!$C$6:$C$158&gt;=$A29)*(Events!$E$6:$E$158="Loan")*(Events!$J$6:$J$158="Yes")*Events!$H$6:$H$158)+SUMPRODUCT((Events!$B$6:$B$158&lt;=$A29)*(Events!$C$6:$C$158&gt;=$A29)*(Events!$E$6:$E$158="Purchase")*(Events!$J$6:$J$158="Yes")*Events!$H$6:$H$158)</f>
        <v/>
      </c>
      <c r="F29" s="53">
        <f>MAX(0,B29+C29+D29-E29)</f>
        <v/>
      </c>
      <c r="G29" s="53">
        <f>IF(OR($A29=1931,$A29=1932),cb_buy/2,0)</f>
        <v/>
      </c>
      <c r="H29" s="53">
        <f>H28+G29</f>
        <v/>
      </c>
      <c r="I29" s="53">
        <f>Economy!O29*money_ratio+H29</f>
        <v/>
      </c>
      <c r="J29" s="53">
        <f>I29*gold_cover</f>
        <v/>
      </c>
      <c r="K29" s="53">
        <f>F29-J29</f>
        <v/>
      </c>
      <c r="L29" s="63">
        <f>IF(I29&gt;0,F29/I29,0)</f>
        <v/>
      </c>
      <c r="M29" s="63">
        <f>IF(Paths!AD29&gt;0,F29/Paths!AD29,0)</f>
        <v/>
      </c>
    </row>
    <row r="30">
      <c r="A30" s="61" t="n">
        <v>1870</v>
      </c>
      <c r="B30" s="53">
        <f>F29</f>
        <v/>
      </c>
      <c r="C30" s="69">
        <f>Resources!R30</f>
        <v/>
      </c>
      <c r="D30" s="53">
        <f>IF($A30&gt;=1850,Economy!O30*ext_gold,0)</f>
        <v/>
      </c>
      <c r="E30" s="53">
        <f>SUMPRODUCT((Events!$B$6:$B$158&lt;=$A30)*(Events!$C$6:$C$158&gt;=$A30)*(Events!$E$6:$E$158="Loan")*(Events!$J$6:$J$158="Yes")*Events!$H$6:$H$158)+SUMPRODUCT((Events!$B$6:$B$158&lt;=$A30)*(Events!$C$6:$C$158&gt;=$A30)*(Events!$E$6:$E$158="Purchase")*(Events!$J$6:$J$158="Yes")*Events!$H$6:$H$158)</f>
        <v/>
      </c>
      <c r="F30" s="53">
        <f>MAX(0,B30+C30+D30-E30)</f>
        <v/>
      </c>
      <c r="G30" s="53">
        <f>IF(OR($A30=1931,$A30=1932),cb_buy/2,0)</f>
        <v/>
      </c>
      <c r="H30" s="53">
        <f>H29+G30</f>
        <v/>
      </c>
      <c r="I30" s="53">
        <f>Economy!O30*money_ratio+H30</f>
        <v/>
      </c>
      <c r="J30" s="53">
        <f>I30*gold_cover</f>
        <v/>
      </c>
      <c r="K30" s="53">
        <f>F30-J30</f>
        <v/>
      </c>
      <c r="L30" s="63">
        <f>IF(I30&gt;0,F30/I30,0)</f>
        <v/>
      </c>
      <c r="M30" s="63">
        <f>IF(Paths!AD30&gt;0,F30/Paths!AD30,0)</f>
        <v/>
      </c>
    </row>
    <row r="31">
      <c r="A31" s="61" t="n">
        <v>1871</v>
      </c>
      <c r="B31" s="53">
        <f>F30</f>
        <v/>
      </c>
      <c r="C31" s="69">
        <f>Resources!R31</f>
        <v/>
      </c>
      <c r="D31" s="53">
        <f>IF($A31&gt;=1850,Economy!O31*ext_gold,0)</f>
        <v/>
      </c>
      <c r="E31" s="53">
        <f>SUMPRODUCT((Events!$B$6:$B$158&lt;=$A31)*(Events!$C$6:$C$158&gt;=$A31)*(Events!$E$6:$E$158="Loan")*(Events!$J$6:$J$158="Yes")*Events!$H$6:$H$158)+SUMPRODUCT((Events!$B$6:$B$158&lt;=$A31)*(Events!$C$6:$C$158&gt;=$A31)*(Events!$E$6:$E$158="Purchase")*(Events!$J$6:$J$158="Yes")*Events!$H$6:$H$158)</f>
        <v/>
      </c>
      <c r="F31" s="53">
        <f>MAX(0,B31+C31+D31-E31)</f>
        <v/>
      </c>
      <c r="G31" s="53">
        <f>IF(OR($A31=1931,$A31=1932),cb_buy/2,0)</f>
        <v/>
      </c>
      <c r="H31" s="53">
        <f>H30+G31</f>
        <v/>
      </c>
      <c r="I31" s="53">
        <f>Economy!O31*money_ratio+H31</f>
        <v/>
      </c>
      <c r="J31" s="53">
        <f>I31*gold_cover</f>
        <v/>
      </c>
      <c r="K31" s="53">
        <f>F31-J31</f>
        <v/>
      </c>
      <c r="L31" s="63">
        <f>IF(I31&gt;0,F31/I31,0)</f>
        <v/>
      </c>
      <c r="M31" s="63">
        <f>IF(Paths!AD31&gt;0,F31/Paths!AD31,0)</f>
        <v/>
      </c>
    </row>
    <row r="32">
      <c r="A32" s="58" t="n">
        <v>1872</v>
      </c>
      <c r="B32" s="53">
        <f>F31</f>
        <v/>
      </c>
      <c r="C32" s="69">
        <f>Resources!R32</f>
        <v/>
      </c>
      <c r="D32" s="53">
        <f>IF($A32&gt;=1850,Economy!O32*ext_gold,0)</f>
        <v/>
      </c>
      <c r="E32" s="53">
        <f>SUMPRODUCT((Events!$B$6:$B$158&lt;=$A32)*(Events!$C$6:$C$158&gt;=$A32)*(Events!$E$6:$E$158="Loan")*(Events!$J$6:$J$158="Yes")*Events!$H$6:$H$158)+SUMPRODUCT((Events!$B$6:$B$158&lt;=$A32)*(Events!$C$6:$C$158&gt;=$A32)*(Events!$E$6:$E$158="Purchase")*(Events!$J$6:$J$158="Yes")*Events!$H$6:$H$158)</f>
        <v/>
      </c>
      <c r="F32" s="53">
        <f>MAX(0,B32+C32+D32-E32)</f>
        <v/>
      </c>
      <c r="G32" s="53">
        <f>IF(OR($A32=1931,$A32=1932),cb_buy/2,0)</f>
        <v/>
      </c>
      <c r="H32" s="53">
        <f>H31+G32</f>
        <v/>
      </c>
      <c r="I32" s="53">
        <f>Economy!O32*money_ratio+H32</f>
        <v/>
      </c>
      <c r="J32" s="53">
        <f>I32*gold_cover</f>
        <v/>
      </c>
      <c r="K32" s="53">
        <f>F32-J32</f>
        <v/>
      </c>
      <c r="L32" s="63">
        <f>IF(I32&gt;0,F32/I32,0)</f>
        <v/>
      </c>
      <c r="M32" s="63">
        <f>IF(Paths!AD32&gt;0,F32/Paths!AD32,0)</f>
        <v/>
      </c>
    </row>
    <row r="33">
      <c r="A33" s="58" t="n">
        <v>1873</v>
      </c>
      <c r="B33" s="53">
        <f>F32</f>
        <v/>
      </c>
      <c r="C33" s="69">
        <f>Resources!R33</f>
        <v/>
      </c>
      <c r="D33" s="53">
        <f>IF($A33&gt;=1850,Economy!O33*ext_gold,0)</f>
        <v/>
      </c>
      <c r="E33" s="53">
        <f>SUMPRODUCT((Events!$B$6:$B$158&lt;=$A33)*(Events!$C$6:$C$158&gt;=$A33)*(Events!$E$6:$E$158="Loan")*(Events!$J$6:$J$158="Yes")*Events!$H$6:$H$158)+SUMPRODUCT((Events!$B$6:$B$158&lt;=$A33)*(Events!$C$6:$C$158&gt;=$A33)*(Events!$E$6:$E$158="Purchase")*(Events!$J$6:$J$158="Yes")*Events!$H$6:$H$158)</f>
        <v/>
      </c>
      <c r="F33" s="53">
        <f>MAX(0,B33+C33+D33-E33)</f>
        <v/>
      </c>
      <c r="G33" s="53">
        <f>IF(OR($A33=1931,$A33=1932),cb_buy/2,0)</f>
        <v/>
      </c>
      <c r="H33" s="53">
        <f>H32+G33</f>
        <v/>
      </c>
      <c r="I33" s="53">
        <f>Economy!O33*money_ratio+H33</f>
        <v/>
      </c>
      <c r="J33" s="53">
        <f>I33*gold_cover</f>
        <v/>
      </c>
      <c r="K33" s="53">
        <f>F33-J33</f>
        <v/>
      </c>
      <c r="L33" s="63">
        <f>IF(I33&gt;0,F33/I33,0)</f>
        <v/>
      </c>
      <c r="M33" s="63">
        <f>IF(Paths!AD33&gt;0,F33/Paths!AD33,0)</f>
        <v/>
      </c>
    </row>
    <row r="34">
      <c r="A34" s="58" t="n">
        <v>1874</v>
      </c>
      <c r="B34" s="53">
        <f>F33</f>
        <v/>
      </c>
      <c r="C34" s="69">
        <f>Resources!R34</f>
        <v/>
      </c>
      <c r="D34" s="53">
        <f>IF($A34&gt;=1850,Economy!O34*ext_gold,0)</f>
        <v/>
      </c>
      <c r="E34" s="53">
        <f>SUMPRODUCT((Events!$B$6:$B$158&lt;=$A34)*(Events!$C$6:$C$158&gt;=$A34)*(Events!$E$6:$E$158="Loan")*(Events!$J$6:$J$158="Yes")*Events!$H$6:$H$158)+SUMPRODUCT((Events!$B$6:$B$158&lt;=$A34)*(Events!$C$6:$C$158&gt;=$A34)*(Events!$E$6:$E$158="Purchase")*(Events!$J$6:$J$158="Yes")*Events!$H$6:$H$158)</f>
        <v/>
      </c>
      <c r="F34" s="53">
        <f>MAX(0,B34+C34+D34-E34)</f>
        <v/>
      </c>
      <c r="G34" s="53">
        <f>IF(OR($A34=1931,$A34=1932),cb_buy/2,0)</f>
        <v/>
      </c>
      <c r="H34" s="53">
        <f>H33+G34</f>
        <v/>
      </c>
      <c r="I34" s="53">
        <f>Economy!O34*money_ratio+H34</f>
        <v/>
      </c>
      <c r="J34" s="53">
        <f>I34*gold_cover</f>
        <v/>
      </c>
      <c r="K34" s="53">
        <f>F34-J34</f>
        <v/>
      </c>
      <c r="L34" s="63">
        <f>IF(I34&gt;0,F34/I34,0)</f>
        <v/>
      </c>
      <c r="M34" s="63">
        <f>IF(Paths!AD34&gt;0,F34/Paths!AD34,0)</f>
        <v/>
      </c>
    </row>
    <row r="35">
      <c r="A35" s="58" t="n">
        <v>1875</v>
      </c>
      <c r="B35" s="53">
        <f>F34</f>
        <v/>
      </c>
      <c r="C35" s="69">
        <f>Resources!R35</f>
        <v/>
      </c>
      <c r="D35" s="53">
        <f>IF($A35&gt;=1850,Economy!O35*ext_gold,0)</f>
        <v/>
      </c>
      <c r="E35" s="53">
        <f>SUMPRODUCT((Events!$B$6:$B$158&lt;=$A35)*(Events!$C$6:$C$158&gt;=$A35)*(Events!$E$6:$E$158="Loan")*(Events!$J$6:$J$158="Yes")*Events!$H$6:$H$158)+SUMPRODUCT((Events!$B$6:$B$158&lt;=$A35)*(Events!$C$6:$C$158&gt;=$A35)*(Events!$E$6:$E$158="Purchase")*(Events!$J$6:$J$158="Yes")*Events!$H$6:$H$158)</f>
        <v/>
      </c>
      <c r="F35" s="53">
        <f>MAX(0,B35+C35+D35-E35)</f>
        <v/>
      </c>
      <c r="G35" s="53">
        <f>IF(OR($A35=1931,$A35=1932),cb_buy/2,0)</f>
        <v/>
      </c>
      <c r="H35" s="53">
        <f>H34+G35</f>
        <v/>
      </c>
      <c r="I35" s="53">
        <f>Economy!O35*money_ratio+H35</f>
        <v/>
      </c>
      <c r="J35" s="53">
        <f>I35*gold_cover</f>
        <v/>
      </c>
      <c r="K35" s="53">
        <f>F35-J35</f>
        <v/>
      </c>
      <c r="L35" s="63">
        <f>IF(I35&gt;0,F35/I35,0)</f>
        <v/>
      </c>
      <c r="M35" s="63">
        <f>IF(Paths!AD35&gt;0,F35/Paths!AD35,0)</f>
        <v/>
      </c>
    </row>
    <row r="36">
      <c r="A36" s="58" t="n">
        <v>1876</v>
      </c>
      <c r="B36" s="53">
        <f>F35</f>
        <v/>
      </c>
      <c r="C36" s="69">
        <f>Resources!R36</f>
        <v/>
      </c>
      <c r="D36" s="53">
        <f>IF($A36&gt;=1850,Economy!O36*ext_gold,0)</f>
        <v/>
      </c>
      <c r="E36" s="53">
        <f>SUMPRODUCT((Events!$B$6:$B$158&lt;=$A36)*(Events!$C$6:$C$158&gt;=$A36)*(Events!$E$6:$E$158="Loan")*(Events!$J$6:$J$158="Yes")*Events!$H$6:$H$158)+SUMPRODUCT((Events!$B$6:$B$158&lt;=$A36)*(Events!$C$6:$C$158&gt;=$A36)*(Events!$E$6:$E$158="Purchase")*(Events!$J$6:$J$158="Yes")*Events!$H$6:$H$158)</f>
        <v/>
      </c>
      <c r="F36" s="53">
        <f>MAX(0,B36+C36+D36-E36)</f>
        <v/>
      </c>
      <c r="G36" s="53">
        <f>IF(OR($A36=1931,$A36=1932),cb_buy/2,0)</f>
        <v/>
      </c>
      <c r="H36" s="53">
        <f>H35+G36</f>
        <v/>
      </c>
      <c r="I36" s="53">
        <f>Economy!O36*money_ratio+H36</f>
        <v/>
      </c>
      <c r="J36" s="53">
        <f>I36*gold_cover</f>
        <v/>
      </c>
      <c r="K36" s="53">
        <f>F36-J36</f>
        <v/>
      </c>
      <c r="L36" s="63">
        <f>IF(I36&gt;0,F36/I36,0)</f>
        <v/>
      </c>
      <c r="M36" s="63">
        <f>IF(Paths!AD36&gt;0,F36/Paths!AD36,0)</f>
        <v/>
      </c>
    </row>
    <row r="37">
      <c r="A37" s="58" t="n">
        <v>1877</v>
      </c>
      <c r="B37" s="53">
        <f>F36</f>
        <v/>
      </c>
      <c r="C37" s="69">
        <f>Resources!R37</f>
        <v/>
      </c>
      <c r="D37" s="53">
        <f>IF($A37&gt;=1850,Economy!O37*ext_gold,0)</f>
        <v/>
      </c>
      <c r="E37" s="53">
        <f>SUMPRODUCT((Events!$B$6:$B$158&lt;=$A37)*(Events!$C$6:$C$158&gt;=$A37)*(Events!$E$6:$E$158="Loan")*(Events!$J$6:$J$158="Yes")*Events!$H$6:$H$158)+SUMPRODUCT((Events!$B$6:$B$158&lt;=$A37)*(Events!$C$6:$C$158&gt;=$A37)*(Events!$E$6:$E$158="Purchase")*(Events!$J$6:$J$158="Yes")*Events!$H$6:$H$158)</f>
        <v/>
      </c>
      <c r="F37" s="53">
        <f>MAX(0,B37+C37+D37-E37)</f>
        <v/>
      </c>
      <c r="G37" s="53">
        <f>IF(OR($A37=1931,$A37=1932),cb_buy/2,0)</f>
        <v/>
      </c>
      <c r="H37" s="53">
        <f>H36+G37</f>
        <v/>
      </c>
      <c r="I37" s="53">
        <f>Economy!O37*money_ratio+H37</f>
        <v/>
      </c>
      <c r="J37" s="53">
        <f>I37*gold_cover</f>
        <v/>
      </c>
      <c r="K37" s="53">
        <f>F37-J37</f>
        <v/>
      </c>
      <c r="L37" s="63">
        <f>IF(I37&gt;0,F37/I37,0)</f>
        <v/>
      </c>
      <c r="M37" s="63">
        <f>IF(Paths!AD37&gt;0,F37/Paths!AD37,0)</f>
        <v/>
      </c>
    </row>
    <row r="38">
      <c r="A38" s="58" t="n">
        <v>1878</v>
      </c>
      <c r="B38" s="53">
        <f>F37</f>
        <v/>
      </c>
      <c r="C38" s="69">
        <f>Resources!R38</f>
        <v/>
      </c>
      <c r="D38" s="53">
        <f>IF($A38&gt;=1850,Economy!O38*ext_gold,0)</f>
        <v/>
      </c>
      <c r="E38" s="53">
        <f>SUMPRODUCT((Events!$B$6:$B$158&lt;=$A38)*(Events!$C$6:$C$158&gt;=$A38)*(Events!$E$6:$E$158="Loan")*(Events!$J$6:$J$158="Yes")*Events!$H$6:$H$158)+SUMPRODUCT((Events!$B$6:$B$158&lt;=$A38)*(Events!$C$6:$C$158&gt;=$A38)*(Events!$E$6:$E$158="Purchase")*(Events!$J$6:$J$158="Yes")*Events!$H$6:$H$158)</f>
        <v/>
      </c>
      <c r="F38" s="53">
        <f>MAX(0,B38+C38+D38-E38)</f>
        <v/>
      </c>
      <c r="G38" s="53">
        <f>IF(OR($A38=1931,$A38=1932),cb_buy/2,0)</f>
        <v/>
      </c>
      <c r="H38" s="53">
        <f>H37+G38</f>
        <v/>
      </c>
      <c r="I38" s="53">
        <f>Economy!O38*money_ratio+H38</f>
        <v/>
      </c>
      <c r="J38" s="53">
        <f>I38*gold_cover</f>
        <v/>
      </c>
      <c r="K38" s="53">
        <f>F38-J38</f>
        <v/>
      </c>
      <c r="L38" s="63">
        <f>IF(I38&gt;0,F38/I38,0)</f>
        <v/>
      </c>
      <c r="M38" s="63">
        <f>IF(Paths!AD38&gt;0,F38/Paths!AD38,0)</f>
        <v/>
      </c>
    </row>
    <row r="39">
      <c r="A39" s="58" t="n">
        <v>1879</v>
      </c>
      <c r="B39" s="53">
        <f>F38</f>
        <v/>
      </c>
      <c r="C39" s="69">
        <f>Resources!R39</f>
        <v/>
      </c>
      <c r="D39" s="53">
        <f>IF($A39&gt;=1850,Economy!O39*ext_gold,0)</f>
        <v/>
      </c>
      <c r="E39" s="53">
        <f>SUMPRODUCT((Events!$B$6:$B$158&lt;=$A39)*(Events!$C$6:$C$158&gt;=$A39)*(Events!$E$6:$E$158="Loan")*(Events!$J$6:$J$158="Yes")*Events!$H$6:$H$158)+SUMPRODUCT((Events!$B$6:$B$158&lt;=$A39)*(Events!$C$6:$C$158&gt;=$A39)*(Events!$E$6:$E$158="Purchase")*(Events!$J$6:$J$158="Yes")*Events!$H$6:$H$158)</f>
        <v/>
      </c>
      <c r="F39" s="53">
        <f>MAX(0,B39+C39+D39-E39)</f>
        <v/>
      </c>
      <c r="G39" s="53">
        <f>IF(OR($A39=1931,$A39=1932),cb_buy/2,0)</f>
        <v/>
      </c>
      <c r="H39" s="53">
        <f>H38+G39</f>
        <v/>
      </c>
      <c r="I39" s="53">
        <f>Economy!O39*money_ratio+H39</f>
        <v/>
      </c>
      <c r="J39" s="53">
        <f>I39*gold_cover</f>
        <v/>
      </c>
      <c r="K39" s="53">
        <f>F39-J39</f>
        <v/>
      </c>
      <c r="L39" s="63">
        <f>IF(I39&gt;0,F39/I39,0)</f>
        <v/>
      </c>
      <c r="M39" s="63">
        <f>IF(Paths!AD39&gt;0,F39/Paths!AD39,0)</f>
        <v/>
      </c>
    </row>
    <row r="40">
      <c r="A40" s="58" t="n">
        <v>1880</v>
      </c>
      <c r="B40" s="53">
        <f>F39</f>
        <v/>
      </c>
      <c r="C40" s="69">
        <f>Resources!R40</f>
        <v/>
      </c>
      <c r="D40" s="53">
        <f>IF($A40&gt;=1850,Economy!O40*ext_gold,0)</f>
        <v/>
      </c>
      <c r="E40" s="53">
        <f>SUMPRODUCT((Events!$B$6:$B$158&lt;=$A40)*(Events!$C$6:$C$158&gt;=$A40)*(Events!$E$6:$E$158="Loan")*(Events!$J$6:$J$158="Yes")*Events!$H$6:$H$158)+SUMPRODUCT((Events!$B$6:$B$158&lt;=$A40)*(Events!$C$6:$C$158&gt;=$A40)*(Events!$E$6:$E$158="Purchase")*(Events!$J$6:$J$158="Yes")*Events!$H$6:$H$158)</f>
        <v/>
      </c>
      <c r="F40" s="53">
        <f>MAX(0,B40+C40+D40-E40)</f>
        <v/>
      </c>
      <c r="G40" s="53">
        <f>IF(OR($A40=1931,$A40=1932),cb_buy/2,0)</f>
        <v/>
      </c>
      <c r="H40" s="53">
        <f>H39+G40</f>
        <v/>
      </c>
      <c r="I40" s="53">
        <f>Economy!O40*money_ratio+H40</f>
        <v/>
      </c>
      <c r="J40" s="53">
        <f>I40*gold_cover</f>
        <v/>
      </c>
      <c r="K40" s="53">
        <f>F40-J40</f>
        <v/>
      </c>
      <c r="L40" s="63">
        <f>IF(I40&gt;0,F40/I40,0)</f>
        <v/>
      </c>
      <c r="M40" s="63">
        <f>IF(Paths!AD40&gt;0,F40/Paths!AD40,0)</f>
        <v/>
      </c>
    </row>
    <row r="41">
      <c r="A41" s="58" t="n">
        <v>1881</v>
      </c>
      <c r="B41" s="53">
        <f>F40</f>
        <v/>
      </c>
      <c r="C41" s="69">
        <f>Resources!R41</f>
        <v/>
      </c>
      <c r="D41" s="53">
        <f>IF($A41&gt;=1850,Economy!O41*ext_gold,0)</f>
        <v/>
      </c>
      <c r="E41" s="53">
        <f>SUMPRODUCT((Events!$B$6:$B$158&lt;=$A41)*(Events!$C$6:$C$158&gt;=$A41)*(Events!$E$6:$E$158="Loan")*(Events!$J$6:$J$158="Yes")*Events!$H$6:$H$158)+SUMPRODUCT((Events!$B$6:$B$158&lt;=$A41)*(Events!$C$6:$C$158&gt;=$A41)*(Events!$E$6:$E$158="Purchase")*(Events!$J$6:$J$158="Yes")*Events!$H$6:$H$158)</f>
        <v/>
      </c>
      <c r="F41" s="53">
        <f>MAX(0,B41+C41+D41-E41)</f>
        <v/>
      </c>
      <c r="G41" s="53">
        <f>IF(OR($A41=1931,$A41=1932),cb_buy/2,0)</f>
        <v/>
      </c>
      <c r="H41" s="53">
        <f>H40+G41</f>
        <v/>
      </c>
      <c r="I41" s="53">
        <f>Economy!O41*money_ratio+H41</f>
        <v/>
      </c>
      <c r="J41" s="53">
        <f>I41*gold_cover</f>
        <v/>
      </c>
      <c r="K41" s="53">
        <f>F41-J41</f>
        <v/>
      </c>
      <c r="L41" s="63">
        <f>IF(I41&gt;0,F41/I41,0)</f>
        <v/>
      </c>
      <c r="M41" s="63">
        <f>IF(Paths!AD41&gt;0,F41/Paths!AD41,0)</f>
        <v/>
      </c>
    </row>
    <row r="42">
      <c r="A42" s="58" t="n">
        <v>1882</v>
      </c>
      <c r="B42" s="53">
        <f>F41</f>
        <v/>
      </c>
      <c r="C42" s="69">
        <f>Resources!R42</f>
        <v/>
      </c>
      <c r="D42" s="53">
        <f>IF($A42&gt;=1850,Economy!O42*ext_gold,0)</f>
        <v/>
      </c>
      <c r="E42" s="53">
        <f>SUMPRODUCT((Events!$B$6:$B$158&lt;=$A42)*(Events!$C$6:$C$158&gt;=$A42)*(Events!$E$6:$E$158="Loan")*(Events!$J$6:$J$158="Yes")*Events!$H$6:$H$158)+SUMPRODUCT((Events!$B$6:$B$158&lt;=$A42)*(Events!$C$6:$C$158&gt;=$A42)*(Events!$E$6:$E$158="Purchase")*(Events!$J$6:$J$158="Yes")*Events!$H$6:$H$158)</f>
        <v/>
      </c>
      <c r="F42" s="53">
        <f>MAX(0,B42+C42+D42-E42)</f>
        <v/>
      </c>
      <c r="G42" s="53">
        <f>IF(OR($A42=1931,$A42=1932),cb_buy/2,0)</f>
        <v/>
      </c>
      <c r="H42" s="53">
        <f>H41+G42</f>
        <v/>
      </c>
      <c r="I42" s="53">
        <f>Economy!O42*money_ratio+H42</f>
        <v/>
      </c>
      <c r="J42" s="53">
        <f>I42*gold_cover</f>
        <v/>
      </c>
      <c r="K42" s="53">
        <f>F42-J42</f>
        <v/>
      </c>
      <c r="L42" s="63">
        <f>IF(I42&gt;0,F42/I42,0)</f>
        <v/>
      </c>
      <c r="M42" s="63">
        <f>IF(Paths!AD42&gt;0,F42/Paths!AD42,0)</f>
        <v/>
      </c>
    </row>
    <row r="43">
      <c r="A43" s="58" t="n">
        <v>1883</v>
      </c>
      <c r="B43" s="53">
        <f>F42</f>
        <v/>
      </c>
      <c r="C43" s="69">
        <f>Resources!R43</f>
        <v/>
      </c>
      <c r="D43" s="53">
        <f>IF($A43&gt;=1850,Economy!O43*ext_gold,0)</f>
        <v/>
      </c>
      <c r="E43" s="53">
        <f>SUMPRODUCT((Events!$B$6:$B$158&lt;=$A43)*(Events!$C$6:$C$158&gt;=$A43)*(Events!$E$6:$E$158="Loan")*(Events!$J$6:$J$158="Yes")*Events!$H$6:$H$158)+SUMPRODUCT((Events!$B$6:$B$158&lt;=$A43)*(Events!$C$6:$C$158&gt;=$A43)*(Events!$E$6:$E$158="Purchase")*(Events!$J$6:$J$158="Yes")*Events!$H$6:$H$158)</f>
        <v/>
      </c>
      <c r="F43" s="53">
        <f>MAX(0,B43+C43+D43-E43)</f>
        <v/>
      </c>
      <c r="G43" s="53">
        <f>IF(OR($A43=1931,$A43=1932),cb_buy/2,0)</f>
        <v/>
      </c>
      <c r="H43" s="53">
        <f>H42+G43</f>
        <v/>
      </c>
      <c r="I43" s="53">
        <f>Economy!O43*money_ratio+H43</f>
        <v/>
      </c>
      <c r="J43" s="53">
        <f>I43*gold_cover</f>
        <v/>
      </c>
      <c r="K43" s="53">
        <f>F43-J43</f>
        <v/>
      </c>
      <c r="L43" s="63">
        <f>IF(I43&gt;0,F43/I43,0)</f>
        <v/>
      </c>
      <c r="M43" s="63">
        <f>IF(Paths!AD43&gt;0,F43/Paths!AD43,0)</f>
        <v/>
      </c>
    </row>
    <row r="44">
      <c r="A44" s="58" t="n">
        <v>1884</v>
      </c>
      <c r="B44" s="53">
        <f>F43</f>
        <v/>
      </c>
      <c r="C44" s="69">
        <f>Resources!R44</f>
        <v/>
      </c>
      <c r="D44" s="53">
        <f>IF($A44&gt;=1850,Economy!O44*ext_gold,0)</f>
        <v/>
      </c>
      <c r="E44" s="53">
        <f>SUMPRODUCT((Events!$B$6:$B$158&lt;=$A44)*(Events!$C$6:$C$158&gt;=$A44)*(Events!$E$6:$E$158="Loan")*(Events!$J$6:$J$158="Yes")*Events!$H$6:$H$158)+SUMPRODUCT((Events!$B$6:$B$158&lt;=$A44)*(Events!$C$6:$C$158&gt;=$A44)*(Events!$E$6:$E$158="Purchase")*(Events!$J$6:$J$158="Yes")*Events!$H$6:$H$158)</f>
        <v/>
      </c>
      <c r="F44" s="53">
        <f>MAX(0,B44+C44+D44-E44)</f>
        <v/>
      </c>
      <c r="G44" s="53">
        <f>IF(OR($A44=1931,$A44=1932),cb_buy/2,0)</f>
        <v/>
      </c>
      <c r="H44" s="53">
        <f>H43+G44</f>
        <v/>
      </c>
      <c r="I44" s="53">
        <f>Economy!O44*money_ratio+H44</f>
        <v/>
      </c>
      <c r="J44" s="53">
        <f>I44*gold_cover</f>
        <v/>
      </c>
      <c r="K44" s="53">
        <f>F44-J44</f>
        <v/>
      </c>
      <c r="L44" s="63">
        <f>IF(I44&gt;0,F44/I44,0)</f>
        <v/>
      </c>
      <c r="M44" s="63">
        <f>IF(Paths!AD44&gt;0,F44/Paths!AD44,0)</f>
        <v/>
      </c>
    </row>
    <row r="45">
      <c r="A45" s="58" t="n">
        <v>1885</v>
      </c>
      <c r="B45" s="53">
        <f>F44</f>
        <v/>
      </c>
      <c r="C45" s="69">
        <f>Resources!R45</f>
        <v/>
      </c>
      <c r="D45" s="53">
        <f>IF($A45&gt;=1850,Economy!O45*ext_gold,0)</f>
        <v/>
      </c>
      <c r="E45" s="53">
        <f>SUMPRODUCT((Events!$B$6:$B$158&lt;=$A45)*(Events!$C$6:$C$158&gt;=$A45)*(Events!$E$6:$E$158="Loan")*(Events!$J$6:$J$158="Yes")*Events!$H$6:$H$158)+SUMPRODUCT((Events!$B$6:$B$158&lt;=$A45)*(Events!$C$6:$C$158&gt;=$A45)*(Events!$E$6:$E$158="Purchase")*(Events!$J$6:$J$158="Yes")*Events!$H$6:$H$158)</f>
        <v/>
      </c>
      <c r="F45" s="53">
        <f>MAX(0,B45+C45+D45-E45)</f>
        <v/>
      </c>
      <c r="G45" s="53">
        <f>IF(OR($A45=1931,$A45=1932),cb_buy/2,0)</f>
        <v/>
      </c>
      <c r="H45" s="53">
        <f>H44+G45</f>
        <v/>
      </c>
      <c r="I45" s="53">
        <f>Economy!O45*money_ratio+H45</f>
        <v/>
      </c>
      <c r="J45" s="53">
        <f>I45*gold_cover</f>
        <v/>
      </c>
      <c r="K45" s="53">
        <f>F45-J45</f>
        <v/>
      </c>
      <c r="L45" s="63">
        <f>IF(I45&gt;0,F45/I45,0)</f>
        <v/>
      </c>
      <c r="M45" s="63">
        <f>IF(Paths!AD45&gt;0,F45/Paths!AD45,0)</f>
        <v/>
      </c>
    </row>
    <row r="46">
      <c r="A46" s="58" t="n">
        <v>1886</v>
      </c>
      <c r="B46" s="53">
        <f>F45</f>
        <v/>
      </c>
      <c r="C46" s="69">
        <f>Resources!R46</f>
        <v/>
      </c>
      <c r="D46" s="53">
        <f>IF($A46&gt;=1850,Economy!O46*ext_gold,0)</f>
        <v/>
      </c>
      <c r="E46" s="53">
        <f>SUMPRODUCT((Events!$B$6:$B$158&lt;=$A46)*(Events!$C$6:$C$158&gt;=$A46)*(Events!$E$6:$E$158="Loan")*(Events!$J$6:$J$158="Yes")*Events!$H$6:$H$158)+SUMPRODUCT((Events!$B$6:$B$158&lt;=$A46)*(Events!$C$6:$C$158&gt;=$A46)*(Events!$E$6:$E$158="Purchase")*(Events!$J$6:$J$158="Yes")*Events!$H$6:$H$158)</f>
        <v/>
      </c>
      <c r="F46" s="53">
        <f>MAX(0,B46+C46+D46-E46)</f>
        <v/>
      </c>
      <c r="G46" s="53">
        <f>IF(OR($A46=1931,$A46=1932),cb_buy/2,0)</f>
        <v/>
      </c>
      <c r="H46" s="53">
        <f>H45+G46</f>
        <v/>
      </c>
      <c r="I46" s="53">
        <f>Economy!O46*money_ratio+H46</f>
        <v/>
      </c>
      <c r="J46" s="53">
        <f>I46*gold_cover</f>
        <v/>
      </c>
      <c r="K46" s="53">
        <f>F46-J46</f>
        <v/>
      </c>
      <c r="L46" s="63">
        <f>IF(I46&gt;0,F46/I46,0)</f>
        <v/>
      </c>
      <c r="M46" s="63">
        <f>IF(Paths!AD46&gt;0,F46/Paths!AD46,0)</f>
        <v/>
      </c>
    </row>
    <row r="47">
      <c r="A47" s="58" t="n">
        <v>1887</v>
      </c>
      <c r="B47" s="53">
        <f>F46</f>
        <v/>
      </c>
      <c r="C47" s="69">
        <f>Resources!R47</f>
        <v/>
      </c>
      <c r="D47" s="53">
        <f>IF($A47&gt;=1850,Economy!O47*ext_gold,0)</f>
        <v/>
      </c>
      <c r="E47" s="53">
        <f>SUMPRODUCT((Events!$B$6:$B$158&lt;=$A47)*(Events!$C$6:$C$158&gt;=$A47)*(Events!$E$6:$E$158="Loan")*(Events!$J$6:$J$158="Yes")*Events!$H$6:$H$158)+SUMPRODUCT((Events!$B$6:$B$158&lt;=$A47)*(Events!$C$6:$C$158&gt;=$A47)*(Events!$E$6:$E$158="Purchase")*(Events!$J$6:$J$158="Yes")*Events!$H$6:$H$158)</f>
        <v/>
      </c>
      <c r="F47" s="53">
        <f>MAX(0,B47+C47+D47-E47)</f>
        <v/>
      </c>
      <c r="G47" s="53">
        <f>IF(OR($A47=1931,$A47=1932),cb_buy/2,0)</f>
        <v/>
      </c>
      <c r="H47" s="53">
        <f>H46+G47</f>
        <v/>
      </c>
      <c r="I47" s="53">
        <f>Economy!O47*money_ratio+H47</f>
        <v/>
      </c>
      <c r="J47" s="53">
        <f>I47*gold_cover</f>
        <v/>
      </c>
      <c r="K47" s="53">
        <f>F47-J47</f>
        <v/>
      </c>
      <c r="L47" s="63">
        <f>IF(I47&gt;0,F47/I47,0)</f>
        <v/>
      </c>
      <c r="M47" s="63">
        <f>IF(Paths!AD47&gt;0,F47/Paths!AD47,0)</f>
        <v/>
      </c>
    </row>
    <row r="48">
      <c r="A48" s="58" t="n">
        <v>1888</v>
      </c>
      <c r="B48" s="53">
        <f>F47</f>
        <v/>
      </c>
      <c r="C48" s="69">
        <f>Resources!R48</f>
        <v/>
      </c>
      <c r="D48" s="53">
        <f>IF($A48&gt;=1850,Economy!O48*ext_gold,0)</f>
        <v/>
      </c>
      <c r="E48" s="53">
        <f>SUMPRODUCT((Events!$B$6:$B$158&lt;=$A48)*(Events!$C$6:$C$158&gt;=$A48)*(Events!$E$6:$E$158="Loan")*(Events!$J$6:$J$158="Yes")*Events!$H$6:$H$158)+SUMPRODUCT((Events!$B$6:$B$158&lt;=$A48)*(Events!$C$6:$C$158&gt;=$A48)*(Events!$E$6:$E$158="Purchase")*(Events!$J$6:$J$158="Yes")*Events!$H$6:$H$158)</f>
        <v/>
      </c>
      <c r="F48" s="53">
        <f>MAX(0,B48+C48+D48-E48)</f>
        <v/>
      </c>
      <c r="G48" s="53">
        <f>IF(OR($A48=1931,$A48=1932),cb_buy/2,0)</f>
        <v/>
      </c>
      <c r="H48" s="53">
        <f>H47+G48</f>
        <v/>
      </c>
      <c r="I48" s="53">
        <f>Economy!O48*money_ratio+H48</f>
        <v/>
      </c>
      <c r="J48" s="53">
        <f>I48*gold_cover</f>
        <v/>
      </c>
      <c r="K48" s="53">
        <f>F48-J48</f>
        <v/>
      </c>
      <c r="L48" s="63">
        <f>IF(I48&gt;0,F48/I48,0)</f>
        <v/>
      </c>
      <c r="M48" s="63">
        <f>IF(Paths!AD48&gt;0,F48/Paths!AD48,0)</f>
        <v/>
      </c>
    </row>
    <row r="49">
      <c r="A49" s="58" t="n">
        <v>1889</v>
      </c>
      <c r="B49" s="53">
        <f>F48</f>
        <v/>
      </c>
      <c r="C49" s="69">
        <f>Resources!R49</f>
        <v/>
      </c>
      <c r="D49" s="53">
        <f>IF($A49&gt;=1850,Economy!O49*ext_gold,0)</f>
        <v/>
      </c>
      <c r="E49" s="53">
        <f>SUMPRODUCT((Events!$B$6:$B$158&lt;=$A49)*(Events!$C$6:$C$158&gt;=$A49)*(Events!$E$6:$E$158="Loan")*(Events!$J$6:$J$158="Yes")*Events!$H$6:$H$158)+SUMPRODUCT((Events!$B$6:$B$158&lt;=$A49)*(Events!$C$6:$C$158&gt;=$A49)*(Events!$E$6:$E$158="Purchase")*(Events!$J$6:$J$158="Yes")*Events!$H$6:$H$158)</f>
        <v/>
      </c>
      <c r="F49" s="53">
        <f>MAX(0,B49+C49+D49-E49)</f>
        <v/>
      </c>
      <c r="G49" s="53">
        <f>IF(OR($A49=1931,$A49=1932),cb_buy/2,0)</f>
        <v/>
      </c>
      <c r="H49" s="53">
        <f>H48+G49</f>
        <v/>
      </c>
      <c r="I49" s="53">
        <f>Economy!O49*money_ratio+H49</f>
        <v/>
      </c>
      <c r="J49" s="53">
        <f>I49*gold_cover</f>
        <v/>
      </c>
      <c r="K49" s="53">
        <f>F49-J49</f>
        <v/>
      </c>
      <c r="L49" s="63">
        <f>IF(I49&gt;0,F49/I49,0)</f>
        <v/>
      </c>
      <c r="M49" s="63">
        <f>IF(Paths!AD49&gt;0,F49/Paths!AD49,0)</f>
        <v/>
      </c>
    </row>
    <row r="50">
      <c r="A50" s="58" t="n">
        <v>1890</v>
      </c>
      <c r="B50" s="53">
        <f>F49</f>
        <v/>
      </c>
      <c r="C50" s="69">
        <f>Resources!R50</f>
        <v/>
      </c>
      <c r="D50" s="53">
        <f>IF($A50&gt;=1850,Economy!O50*ext_gold,0)</f>
        <v/>
      </c>
      <c r="E50" s="53">
        <f>SUMPRODUCT((Events!$B$6:$B$158&lt;=$A50)*(Events!$C$6:$C$158&gt;=$A50)*(Events!$E$6:$E$158="Loan")*(Events!$J$6:$J$158="Yes")*Events!$H$6:$H$158)+SUMPRODUCT((Events!$B$6:$B$158&lt;=$A50)*(Events!$C$6:$C$158&gt;=$A50)*(Events!$E$6:$E$158="Purchase")*(Events!$J$6:$J$158="Yes")*Events!$H$6:$H$158)</f>
        <v/>
      </c>
      <c r="F50" s="53">
        <f>MAX(0,B50+C50+D50-E50)</f>
        <v/>
      </c>
      <c r="G50" s="53">
        <f>IF(OR($A50=1931,$A50=1932),cb_buy/2,0)</f>
        <v/>
      </c>
      <c r="H50" s="53">
        <f>H49+G50</f>
        <v/>
      </c>
      <c r="I50" s="53">
        <f>Economy!O50*money_ratio+H50</f>
        <v/>
      </c>
      <c r="J50" s="53">
        <f>I50*gold_cover</f>
        <v/>
      </c>
      <c r="K50" s="53">
        <f>F50-J50</f>
        <v/>
      </c>
      <c r="L50" s="63">
        <f>IF(I50&gt;0,F50/I50,0)</f>
        <v/>
      </c>
      <c r="M50" s="63">
        <f>IF(Paths!AD50&gt;0,F50/Paths!AD50,0)</f>
        <v/>
      </c>
    </row>
    <row r="51">
      <c r="A51" s="58" t="n">
        <v>1891</v>
      </c>
      <c r="B51" s="53">
        <f>F50</f>
        <v/>
      </c>
      <c r="C51" s="69">
        <f>Resources!R51</f>
        <v/>
      </c>
      <c r="D51" s="53">
        <f>IF($A51&gt;=1850,Economy!O51*ext_gold,0)</f>
        <v/>
      </c>
      <c r="E51" s="53">
        <f>SUMPRODUCT((Events!$B$6:$B$158&lt;=$A51)*(Events!$C$6:$C$158&gt;=$A51)*(Events!$E$6:$E$158="Loan")*(Events!$J$6:$J$158="Yes")*Events!$H$6:$H$158)+SUMPRODUCT((Events!$B$6:$B$158&lt;=$A51)*(Events!$C$6:$C$158&gt;=$A51)*(Events!$E$6:$E$158="Purchase")*(Events!$J$6:$J$158="Yes")*Events!$H$6:$H$158)</f>
        <v/>
      </c>
      <c r="F51" s="53">
        <f>MAX(0,B51+C51+D51-E51)</f>
        <v/>
      </c>
      <c r="G51" s="53">
        <f>IF(OR($A51=1931,$A51=1932),cb_buy/2,0)</f>
        <v/>
      </c>
      <c r="H51" s="53">
        <f>H50+G51</f>
        <v/>
      </c>
      <c r="I51" s="53">
        <f>Economy!O51*money_ratio+H51</f>
        <v/>
      </c>
      <c r="J51" s="53">
        <f>I51*gold_cover</f>
        <v/>
      </c>
      <c r="K51" s="53">
        <f>F51-J51</f>
        <v/>
      </c>
      <c r="L51" s="63">
        <f>IF(I51&gt;0,F51/I51,0)</f>
        <v/>
      </c>
      <c r="M51" s="63">
        <f>IF(Paths!AD51&gt;0,F51/Paths!AD51,0)</f>
        <v/>
      </c>
    </row>
    <row r="52">
      <c r="A52" s="58" t="n">
        <v>1892</v>
      </c>
      <c r="B52" s="53">
        <f>F51</f>
        <v/>
      </c>
      <c r="C52" s="69">
        <f>Resources!R52</f>
        <v/>
      </c>
      <c r="D52" s="53">
        <f>IF($A52&gt;=1850,Economy!O52*ext_gold,0)</f>
        <v/>
      </c>
      <c r="E52" s="53">
        <f>SUMPRODUCT((Events!$B$6:$B$158&lt;=$A52)*(Events!$C$6:$C$158&gt;=$A52)*(Events!$E$6:$E$158="Loan")*(Events!$J$6:$J$158="Yes")*Events!$H$6:$H$158)+SUMPRODUCT((Events!$B$6:$B$158&lt;=$A52)*(Events!$C$6:$C$158&gt;=$A52)*(Events!$E$6:$E$158="Purchase")*(Events!$J$6:$J$158="Yes")*Events!$H$6:$H$158)</f>
        <v/>
      </c>
      <c r="F52" s="53">
        <f>MAX(0,B52+C52+D52-E52)</f>
        <v/>
      </c>
      <c r="G52" s="53">
        <f>IF(OR($A52=1931,$A52=1932),cb_buy/2,0)</f>
        <v/>
      </c>
      <c r="H52" s="53">
        <f>H51+G52</f>
        <v/>
      </c>
      <c r="I52" s="53">
        <f>Economy!O52*money_ratio+H52</f>
        <v/>
      </c>
      <c r="J52" s="53">
        <f>I52*gold_cover</f>
        <v/>
      </c>
      <c r="K52" s="53">
        <f>F52-J52</f>
        <v/>
      </c>
      <c r="L52" s="63">
        <f>IF(I52&gt;0,F52/I52,0)</f>
        <v/>
      </c>
      <c r="M52" s="63">
        <f>IF(Paths!AD52&gt;0,F52/Paths!AD52,0)</f>
        <v/>
      </c>
    </row>
    <row r="53">
      <c r="A53" s="58" t="n">
        <v>1893</v>
      </c>
      <c r="B53" s="53">
        <f>F52</f>
        <v/>
      </c>
      <c r="C53" s="69">
        <f>Resources!R53</f>
        <v/>
      </c>
      <c r="D53" s="53">
        <f>IF($A53&gt;=1850,Economy!O53*ext_gold,0)</f>
        <v/>
      </c>
      <c r="E53" s="53">
        <f>SUMPRODUCT((Events!$B$6:$B$158&lt;=$A53)*(Events!$C$6:$C$158&gt;=$A53)*(Events!$E$6:$E$158="Loan")*(Events!$J$6:$J$158="Yes")*Events!$H$6:$H$158)+SUMPRODUCT((Events!$B$6:$B$158&lt;=$A53)*(Events!$C$6:$C$158&gt;=$A53)*(Events!$E$6:$E$158="Purchase")*(Events!$J$6:$J$158="Yes")*Events!$H$6:$H$158)</f>
        <v/>
      </c>
      <c r="F53" s="53">
        <f>MAX(0,B53+C53+D53-E53)</f>
        <v/>
      </c>
      <c r="G53" s="53">
        <f>IF(OR($A53=1931,$A53=1932),cb_buy/2,0)</f>
        <v/>
      </c>
      <c r="H53" s="53">
        <f>H52+G53</f>
        <v/>
      </c>
      <c r="I53" s="53">
        <f>Economy!O53*money_ratio+H53</f>
        <v/>
      </c>
      <c r="J53" s="53">
        <f>I53*gold_cover</f>
        <v/>
      </c>
      <c r="K53" s="53">
        <f>F53-J53</f>
        <v/>
      </c>
      <c r="L53" s="63">
        <f>IF(I53&gt;0,F53/I53,0)</f>
        <v/>
      </c>
      <c r="M53" s="63">
        <f>IF(Paths!AD53&gt;0,F53/Paths!AD53,0)</f>
        <v/>
      </c>
    </row>
    <row r="54">
      <c r="A54" s="58" t="n">
        <v>1894</v>
      </c>
      <c r="B54" s="53">
        <f>F53</f>
        <v/>
      </c>
      <c r="C54" s="69">
        <f>Resources!R54</f>
        <v/>
      </c>
      <c r="D54" s="53">
        <f>IF($A54&gt;=1850,Economy!O54*ext_gold,0)</f>
        <v/>
      </c>
      <c r="E54" s="53">
        <f>SUMPRODUCT((Events!$B$6:$B$158&lt;=$A54)*(Events!$C$6:$C$158&gt;=$A54)*(Events!$E$6:$E$158="Loan")*(Events!$J$6:$J$158="Yes")*Events!$H$6:$H$158)+SUMPRODUCT((Events!$B$6:$B$158&lt;=$A54)*(Events!$C$6:$C$158&gt;=$A54)*(Events!$E$6:$E$158="Purchase")*(Events!$J$6:$J$158="Yes")*Events!$H$6:$H$158)</f>
        <v/>
      </c>
      <c r="F54" s="53">
        <f>MAX(0,B54+C54+D54-E54)</f>
        <v/>
      </c>
      <c r="G54" s="53">
        <f>IF(OR($A54=1931,$A54=1932),cb_buy/2,0)</f>
        <v/>
      </c>
      <c r="H54" s="53">
        <f>H53+G54</f>
        <v/>
      </c>
      <c r="I54" s="53">
        <f>Economy!O54*money_ratio+H54</f>
        <v/>
      </c>
      <c r="J54" s="53">
        <f>I54*gold_cover</f>
        <v/>
      </c>
      <c r="K54" s="53">
        <f>F54-J54</f>
        <v/>
      </c>
      <c r="L54" s="63">
        <f>IF(I54&gt;0,F54/I54,0)</f>
        <v/>
      </c>
      <c r="M54" s="63">
        <f>IF(Paths!AD54&gt;0,F54/Paths!AD54,0)</f>
        <v/>
      </c>
    </row>
    <row r="55">
      <c r="A55" s="58" t="n">
        <v>1895</v>
      </c>
      <c r="B55" s="53">
        <f>F54</f>
        <v/>
      </c>
      <c r="C55" s="69">
        <f>Resources!R55</f>
        <v/>
      </c>
      <c r="D55" s="53">
        <f>IF($A55&gt;=1850,Economy!O55*ext_gold,0)</f>
        <v/>
      </c>
      <c r="E55" s="53">
        <f>SUMPRODUCT((Events!$B$6:$B$158&lt;=$A55)*(Events!$C$6:$C$158&gt;=$A55)*(Events!$E$6:$E$158="Loan")*(Events!$J$6:$J$158="Yes")*Events!$H$6:$H$158)+SUMPRODUCT((Events!$B$6:$B$158&lt;=$A55)*(Events!$C$6:$C$158&gt;=$A55)*(Events!$E$6:$E$158="Purchase")*(Events!$J$6:$J$158="Yes")*Events!$H$6:$H$158)</f>
        <v/>
      </c>
      <c r="F55" s="53">
        <f>MAX(0,B55+C55+D55-E55)</f>
        <v/>
      </c>
      <c r="G55" s="53">
        <f>IF(OR($A55=1931,$A55=1932),cb_buy/2,0)</f>
        <v/>
      </c>
      <c r="H55" s="53">
        <f>H54+G55</f>
        <v/>
      </c>
      <c r="I55" s="53">
        <f>Economy!O55*money_ratio+H55</f>
        <v/>
      </c>
      <c r="J55" s="53">
        <f>I55*gold_cover</f>
        <v/>
      </c>
      <c r="K55" s="53">
        <f>F55-J55</f>
        <v/>
      </c>
      <c r="L55" s="63">
        <f>IF(I55&gt;0,F55/I55,0)</f>
        <v/>
      </c>
      <c r="M55" s="63">
        <f>IF(Paths!AD55&gt;0,F55/Paths!AD55,0)</f>
        <v/>
      </c>
    </row>
    <row r="56">
      <c r="A56" s="58" t="n">
        <v>1896</v>
      </c>
      <c r="B56" s="53">
        <f>F55</f>
        <v/>
      </c>
      <c r="C56" s="69">
        <f>Resources!R56</f>
        <v/>
      </c>
      <c r="D56" s="53">
        <f>IF($A56&gt;=1850,Economy!O56*ext_gold,0)</f>
        <v/>
      </c>
      <c r="E56" s="53">
        <f>SUMPRODUCT((Events!$B$6:$B$158&lt;=$A56)*(Events!$C$6:$C$158&gt;=$A56)*(Events!$E$6:$E$158="Loan")*(Events!$J$6:$J$158="Yes")*Events!$H$6:$H$158)+SUMPRODUCT((Events!$B$6:$B$158&lt;=$A56)*(Events!$C$6:$C$158&gt;=$A56)*(Events!$E$6:$E$158="Purchase")*(Events!$J$6:$J$158="Yes")*Events!$H$6:$H$158)</f>
        <v/>
      </c>
      <c r="F56" s="53">
        <f>MAX(0,B56+C56+D56-E56)</f>
        <v/>
      </c>
      <c r="G56" s="53">
        <f>IF(OR($A56=1931,$A56=1932),cb_buy/2,0)</f>
        <v/>
      </c>
      <c r="H56" s="53">
        <f>H55+G56</f>
        <v/>
      </c>
      <c r="I56" s="53">
        <f>Economy!O56*money_ratio+H56</f>
        <v/>
      </c>
      <c r="J56" s="53">
        <f>I56*gold_cover</f>
        <v/>
      </c>
      <c r="K56" s="53">
        <f>F56-J56</f>
        <v/>
      </c>
      <c r="L56" s="63">
        <f>IF(I56&gt;0,F56/I56,0)</f>
        <v/>
      </c>
      <c r="M56" s="63">
        <f>IF(Paths!AD56&gt;0,F56/Paths!AD56,0)</f>
        <v/>
      </c>
    </row>
    <row r="57">
      <c r="A57" s="58" t="n">
        <v>1897</v>
      </c>
      <c r="B57" s="53">
        <f>F56</f>
        <v/>
      </c>
      <c r="C57" s="69">
        <f>Resources!R57</f>
        <v/>
      </c>
      <c r="D57" s="53">
        <f>IF($A57&gt;=1850,Economy!O57*ext_gold,0)</f>
        <v/>
      </c>
      <c r="E57" s="53">
        <f>SUMPRODUCT((Events!$B$6:$B$158&lt;=$A57)*(Events!$C$6:$C$158&gt;=$A57)*(Events!$E$6:$E$158="Loan")*(Events!$J$6:$J$158="Yes")*Events!$H$6:$H$158)+SUMPRODUCT((Events!$B$6:$B$158&lt;=$A57)*(Events!$C$6:$C$158&gt;=$A57)*(Events!$E$6:$E$158="Purchase")*(Events!$J$6:$J$158="Yes")*Events!$H$6:$H$158)</f>
        <v/>
      </c>
      <c r="F57" s="53">
        <f>MAX(0,B57+C57+D57-E57)</f>
        <v/>
      </c>
      <c r="G57" s="53">
        <f>IF(OR($A57=1931,$A57=1932),cb_buy/2,0)</f>
        <v/>
      </c>
      <c r="H57" s="53">
        <f>H56+G57</f>
        <v/>
      </c>
      <c r="I57" s="53">
        <f>Economy!O57*money_ratio+H57</f>
        <v/>
      </c>
      <c r="J57" s="53">
        <f>I57*gold_cover</f>
        <v/>
      </c>
      <c r="K57" s="53">
        <f>F57-J57</f>
        <v/>
      </c>
      <c r="L57" s="63">
        <f>IF(I57&gt;0,F57/I57,0)</f>
        <v/>
      </c>
      <c r="M57" s="63">
        <f>IF(Paths!AD57&gt;0,F57/Paths!AD57,0)</f>
        <v/>
      </c>
    </row>
    <row r="58">
      <c r="A58" s="58" t="n">
        <v>1898</v>
      </c>
      <c r="B58" s="53">
        <f>F57</f>
        <v/>
      </c>
      <c r="C58" s="69">
        <f>Resources!R58</f>
        <v/>
      </c>
      <c r="D58" s="53">
        <f>IF($A58&gt;=1850,Economy!O58*ext_gold,0)</f>
        <v/>
      </c>
      <c r="E58" s="53">
        <f>SUMPRODUCT((Events!$B$6:$B$158&lt;=$A58)*(Events!$C$6:$C$158&gt;=$A58)*(Events!$E$6:$E$158="Loan")*(Events!$J$6:$J$158="Yes")*Events!$H$6:$H$158)+SUMPRODUCT((Events!$B$6:$B$158&lt;=$A58)*(Events!$C$6:$C$158&gt;=$A58)*(Events!$E$6:$E$158="Purchase")*(Events!$J$6:$J$158="Yes")*Events!$H$6:$H$158)</f>
        <v/>
      </c>
      <c r="F58" s="53">
        <f>MAX(0,B58+C58+D58-E58)</f>
        <v/>
      </c>
      <c r="G58" s="53">
        <f>IF(OR($A58=1931,$A58=1932),cb_buy/2,0)</f>
        <v/>
      </c>
      <c r="H58" s="53">
        <f>H57+G58</f>
        <v/>
      </c>
      <c r="I58" s="53">
        <f>Economy!O58*money_ratio+H58</f>
        <v/>
      </c>
      <c r="J58" s="53">
        <f>I58*gold_cover</f>
        <v/>
      </c>
      <c r="K58" s="53">
        <f>F58-J58</f>
        <v/>
      </c>
      <c r="L58" s="63">
        <f>IF(I58&gt;0,F58/I58,0)</f>
        <v/>
      </c>
      <c r="M58" s="63">
        <f>IF(Paths!AD58&gt;0,F58/Paths!AD58,0)</f>
        <v/>
      </c>
    </row>
    <row r="59">
      <c r="A59" s="58" t="n">
        <v>1899</v>
      </c>
      <c r="B59" s="53">
        <f>F58</f>
        <v/>
      </c>
      <c r="C59" s="69">
        <f>Resources!R59</f>
        <v/>
      </c>
      <c r="D59" s="53">
        <f>IF($A59&gt;=1850,Economy!O59*ext_gold,0)</f>
        <v/>
      </c>
      <c r="E59" s="53">
        <f>SUMPRODUCT((Events!$B$6:$B$158&lt;=$A59)*(Events!$C$6:$C$158&gt;=$A59)*(Events!$E$6:$E$158="Loan")*(Events!$J$6:$J$158="Yes")*Events!$H$6:$H$158)+SUMPRODUCT((Events!$B$6:$B$158&lt;=$A59)*(Events!$C$6:$C$158&gt;=$A59)*(Events!$E$6:$E$158="Purchase")*(Events!$J$6:$J$158="Yes")*Events!$H$6:$H$158)</f>
        <v/>
      </c>
      <c r="F59" s="53">
        <f>MAX(0,B59+C59+D59-E59)</f>
        <v/>
      </c>
      <c r="G59" s="53">
        <f>IF(OR($A59=1931,$A59=1932),cb_buy/2,0)</f>
        <v/>
      </c>
      <c r="H59" s="53">
        <f>H58+G59</f>
        <v/>
      </c>
      <c r="I59" s="53">
        <f>Economy!O59*money_ratio+H59</f>
        <v/>
      </c>
      <c r="J59" s="53">
        <f>I59*gold_cover</f>
        <v/>
      </c>
      <c r="K59" s="53">
        <f>F59-J59</f>
        <v/>
      </c>
      <c r="L59" s="63">
        <f>IF(I59&gt;0,F59/I59,0)</f>
        <v/>
      </c>
      <c r="M59" s="63">
        <f>IF(Paths!AD59&gt;0,F59/Paths!AD59,0)</f>
        <v/>
      </c>
    </row>
    <row r="60">
      <c r="A60" s="58" t="n">
        <v>1900</v>
      </c>
      <c r="B60" s="53">
        <f>F59</f>
        <v/>
      </c>
      <c r="C60" s="69">
        <f>Resources!R60</f>
        <v/>
      </c>
      <c r="D60" s="53">
        <f>IF($A60&gt;=1850,Economy!O60*ext_gold,0)</f>
        <v/>
      </c>
      <c r="E60" s="53">
        <f>SUMPRODUCT((Events!$B$6:$B$158&lt;=$A60)*(Events!$C$6:$C$158&gt;=$A60)*(Events!$E$6:$E$158="Loan")*(Events!$J$6:$J$158="Yes")*Events!$H$6:$H$158)+SUMPRODUCT((Events!$B$6:$B$158&lt;=$A60)*(Events!$C$6:$C$158&gt;=$A60)*(Events!$E$6:$E$158="Purchase")*(Events!$J$6:$J$158="Yes")*Events!$H$6:$H$158)</f>
        <v/>
      </c>
      <c r="F60" s="53">
        <f>MAX(0,B60+C60+D60-E60)</f>
        <v/>
      </c>
      <c r="G60" s="53">
        <f>IF(OR($A60=1931,$A60=1932),cb_buy/2,0)</f>
        <v/>
      </c>
      <c r="H60" s="53">
        <f>H59+G60</f>
        <v/>
      </c>
      <c r="I60" s="53">
        <f>Economy!O60*money_ratio+H60</f>
        <v/>
      </c>
      <c r="J60" s="53">
        <f>I60*gold_cover</f>
        <v/>
      </c>
      <c r="K60" s="53">
        <f>F60-J60</f>
        <v/>
      </c>
      <c r="L60" s="63">
        <f>IF(I60&gt;0,F60/I60,0)</f>
        <v/>
      </c>
      <c r="M60" s="63">
        <f>IF(Paths!AD60&gt;0,F60/Paths!AD60,0)</f>
        <v/>
      </c>
    </row>
    <row r="61">
      <c r="A61" s="58" t="n">
        <v>1901</v>
      </c>
      <c r="B61" s="53">
        <f>F60</f>
        <v/>
      </c>
      <c r="C61" s="69">
        <f>Resources!R61</f>
        <v/>
      </c>
      <c r="D61" s="53">
        <f>IF($A61&gt;=1850,Economy!O61*ext_gold,0)</f>
        <v/>
      </c>
      <c r="E61" s="53">
        <f>SUMPRODUCT((Events!$B$6:$B$158&lt;=$A61)*(Events!$C$6:$C$158&gt;=$A61)*(Events!$E$6:$E$158="Loan")*(Events!$J$6:$J$158="Yes")*Events!$H$6:$H$158)+SUMPRODUCT((Events!$B$6:$B$158&lt;=$A61)*(Events!$C$6:$C$158&gt;=$A61)*(Events!$E$6:$E$158="Purchase")*(Events!$J$6:$J$158="Yes")*Events!$H$6:$H$158)</f>
        <v/>
      </c>
      <c r="F61" s="53">
        <f>MAX(0,B61+C61+D61-E61)</f>
        <v/>
      </c>
      <c r="G61" s="53">
        <f>IF(OR($A61=1931,$A61=1932),cb_buy/2,0)</f>
        <v/>
      </c>
      <c r="H61" s="53">
        <f>H60+G61</f>
        <v/>
      </c>
      <c r="I61" s="53">
        <f>Economy!O61*money_ratio+H61</f>
        <v/>
      </c>
      <c r="J61" s="53">
        <f>I61*gold_cover</f>
        <v/>
      </c>
      <c r="K61" s="53">
        <f>F61-J61</f>
        <v/>
      </c>
      <c r="L61" s="63">
        <f>IF(I61&gt;0,F61/I61,0)</f>
        <v/>
      </c>
      <c r="M61" s="63">
        <f>IF(Paths!AD61&gt;0,F61/Paths!AD61,0)</f>
        <v/>
      </c>
    </row>
    <row r="62">
      <c r="A62" s="58" t="n">
        <v>1902</v>
      </c>
      <c r="B62" s="53">
        <f>F61</f>
        <v/>
      </c>
      <c r="C62" s="69">
        <f>Resources!R62</f>
        <v/>
      </c>
      <c r="D62" s="53">
        <f>IF($A62&gt;=1850,Economy!O62*ext_gold,0)</f>
        <v/>
      </c>
      <c r="E62" s="53">
        <f>SUMPRODUCT((Events!$B$6:$B$158&lt;=$A62)*(Events!$C$6:$C$158&gt;=$A62)*(Events!$E$6:$E$158="Loan")*(Events!$J$6:$J$158="Yes")*Events!$H$6:$H$158)+SUMPRODUCT((Events!$B$6:$B$158&lt;=$A62)*(Events!$C$6:$C$158&gt;=$A62)*(Events!$E$6:$E$158="Purchase")*(Events!$J$6:$J$158="Yes")*Events!$H$6:$H$158)</f>
        <v/>
      </c>
      <c r="F62" s="53">
        <f>MAX(0,B62+C62+D62-E62)</f>
        <v/>
      </c>
      <c r="G62" s="53">
        <f>IF(OR($A62=1931,$A62=1932),cb_buy/2,0)</f>
        <v/>
      </c>
      <c r="H62" s="53">
        <f>H61+G62</f>
        <v/>
      </c>
      <c r="I62" s="53">
        <f>Economy!O62*money_ratio+H62</f>
        <v/>
      </c>
      <c r="J62" s="53">
        <f>I62*gold_cover</f>
        <v/>
      </c>
      <c r="K62" s="53">
        <f>F62-J62</f>
        <v/>
      </c>
      <c r="L62" s="63">
        <f>IF(I62&gt;0,F62/I62,0)</f>
        <v/>
      </c>
      <c r="M62" s="63">
        <f>IF(Paths!AD62&gt;0,F62/Paths!AD62,0)</f>
        <v/>
      </c>
    </row>
    <row r="63">
      <c r="A63" s="58" t="n">
        <v>1903</v>
      </c>
      <c r="B63" s="53">
        <f>F62</f>
        <v/>
      </c>
      <c r="C63" s="69">
        <f>Resources!R63</f>
        <v/>
      </c>
      <c r="D63" s="53">
        <f>IF($A63&gt;=1850,Economy!O63*ext_gold,0)</f>
        <v/>
      </c>
      <c r="E63" s="53">
        <f>SUMPRODUCT((Events!$B$6:$B$158&lt;=$A63)*(Events!$C$6:$C$158&gt;=$A63)*(Events!$E$6:$E$158="Loan")*(Events!$J$6:$J$158="Yes")*Events!$H$6:$H$158)+SUMPRODUCT((Events!$B$6:$B$158&lt;=$A63)*(Events!$C$6:$C$158&gt;=$A63)*(Events!$E$6:$E$158="Purchase")*(Events!$J$6:$J$158="Yes")*Events!$H$6:$H$158)</f>
        <v/>
      </c>
      <c r="F63" s="53">
        <f>MAX(0,B63+C63+D63-E63)</f>
        <v/>
      </c>
      <c r="G63" s="53">
        <f>IF(OR($A63=1931,$A63=1932),cb_buy/2,0)</f>
        <v/>
      </c>
      <c r="H63" s="53">
        <f>H62+G63</f>
        <v/>
      </c>
      <c r="I63" s="53">
        <f>Economy!O63*money_ratio+H63</f>
        <v/>
      </c>
      <c r="J63" s="53">
        <f>I63*gold_cover</f>
        <v/>
      </c>
      <c r="K63" s="53">
        <f>F63-J63</f>
        <v/>
      </c>
      <c r="L63" s="63">
        <f>IF(I63&gt;0,F63/I63,0)</f>
        <v/>
      </c>
      <c r="M63" s="63">
        <f>IF(Paths!AD63&gt;0,F63/Paths!AD63,0)</f>
        <v/>
      </c>
    </row>
    <row r="64">
      <c r="A64" s="58" t="n">
        <v>1904</v>
      </c>
      <c r="B64" s="53">
        <f>F63</f>
        <v/>
      </c>
      <c r="C64" s="69">
        <f>Resources!R64</f>
        <v/>
      </c>
      <c r="D64" s="53">
        <f>IF($A64&gt;=1850,Economy!O64*ext_gold,0)</f>
        <v/>
      </c>
      <c r="E64" s="53">
        <f>SUMPRODUCT((Events!$B$6:$B$158&lt;=$A64)*(Events!$C$6:$C$158&gt;=$A64)*(Events!$E$6:$E$158="Loan")*(Events!$J$6:$J$158="Yes")*Events!$H$6:$H$158)+SUMPRODUCT((Events!$B$6:$B$158&lt;=$A64)*(Events!$C$6:$C$158&gt;=$A64)*(Events!$E$6:$E$158="Purchase")*(Events!$J$6:$J$158="Yes")*Events!$H$6:$H$158)</f>
        <v/>
      </c>
      <c r="F64" s="53">
        <f>MAX(0,B64+C64+D64-E64)</f>
        <v/>
      </c>
      <c r="G64" s="53">
        <f>IF(OR($A64=1931,$A64=1932),cb_buy/2,0)</f>
        <v/>
      </c>
      <c r="H64" s="53">
        <f>H63+G64</f>
        <v/>
      </c>
      <c r="I64" s="53">
        <f>Economy!O64*money_ratio+H64</f>
        <v/>
      </c>
      <c r="J64" s="53">
        <f>I64*gold_cover</f>
        <v/>
      </c>
      <c r="K64" s="53">
        <f>F64-J64</f>
        <v/>
      </c>
      <c r="L64" s="63">
        <f>IF(I64&gt;0,F64/I64,0)</f>
        <v/>
      </c>
      <c r="M64" s="63">
        <f>IF(Paths!AD64&gt;0,F64/Paths!AD64,0)</f>
        <v/>
      </c>
    </row>
    <row r="65">
      <c r="A65" s="58" t="n">
        <v>1905</v>
      </c>
      <c r="B65" s="53">
        <f>F64</f>
        <v/>
      </c>
      <c r="C65" s="69">
        <f>Resources!R65</f>
        <v/>
      </c>
      <c r="D65" s="53">
        <f>IF($A65&gt;=1850,Economy!O65*ext_gold,0)</f>
        <v/>
      </c>
      <c r="E65" s="53">
        <f>SUMPRODUCT((Events!$B$6:$B$158&lt;=$A65)*(Events!$C$6:$C$158&gt;=$A65)*(Events!$E$6:$E$158="Loan")*(Events!$J$6:$J$158="Yes")*Events!$H$6:$H$158)+SUMPRODUCT((Events!$B$6:$B$158&lt;=$A65)*(Events!$C$6:$C$158&gt;=$A65)*(Events!$E$6:$E$158="Purchase")*(Events!$J$6:$J$158="Yes")*Events!$H$6:$H$158)</f>
        <v/>
      </c>
      <c r="F65" s="53">
        <f>MAX(0,B65+C65+D65-E65)</f>
        <v/>
      </c>
      <c r="G65" s="53">
        <f>IF(OR($A65=1931,$A65=1932),cb_buy/2,0)</f>
        <v/>
      </c>
      <c r="H65" s="53">
        <f>H64+G65</f>
        <v/>
      </c>
      <c r="I65" s="53">
        <f>Economy!O65*money_ratio+H65</f>
        <v/>
      </c>
      <c r="J65" s="53">
        <f>I65*gold_cover</f>
        <v/>
      </c>
      <c r="K65" s="53">
        <f>F65-J65</f>
        <v/>
      </c>
      <c r="L65" s="63">
        <f>IF(I65&gt;0,F65/I65,0)</f>
        <v/>
      </c>
      <c r="M65" s="63">
        <f>IF(Paths!AD65&gt;0,F65/Paths!AD65,0)</f>
        <v/>
      </c>
    </row>
    <row r="66">
      <c r="A66" s="58" t="n">
        <v>1906</v>
      </c>
      <c r="B66" s="53">
        <f>F65</f>
        <v/>
      </c>
      <c r="C66" s="69">
        <f>Resources!R66</f>
        <v/>
      </c>
      <c r="D66" s="53">
        <f>IF($A66&gt;=1850,Economy!O66*ext_gold,0)</f>
        <v/>
      </c>
      <c r="E66" s="53">
        <f>SUMPRODUCT((Events!$B$6:$B$158&lt;=$A66)*(Events!$C$6:$C$158&gt;=$A66)*(Events!$E$6:$E$158="Loan")*(Events!$J$6:$J$158="Yes")*Events!$H$6:$H$158)+SUMPRODUCT((Events!$B$6:$B$158&lt;=$A66)*(Events!$C$6:$C$158&gt;=$A66)*(Events!$E$6:$E$158="Purchase")*(Events!$J$6:$J$158="Yes")*Events!$H$6:$H$158)</f>
        <v/>
      </c>
      <c r="F66" s="53">
        <f>MAX(0,B66+C66+D66-E66)</f>
        <v/>
      </c>
      <c r="G66" s="53">
        <f>IF(OR($A66=1931,$A66=1932),cb_buy/2,0)</f>
        <v/>
      </c>
      <c r="H66" s="53">
        <f>H65+G66</f>
        <v/>
      </c>
      <c r="I66" s="53">
        <f>Economy!O66*money_ratio+H66</f>
        <v/>
      </c>
      <c r="J66" s="53">
        <f>I66*gold_cover</f>
        <v/>
      </c>
      <c r="K66" s="53">
        <f>F66-J66</f>
        <v/>
      </c>
      <c r="L66" s="63">
        <f>IF(I66&gt;0,F66/I66,0)</f>
        <v/>
      </c>
      <c r="M66" s="63">
        <f>IF(Paths!AD66&gt;0,F66/Paths!AD66,0)</f>
        <v/>
      </c>
    </row>
    <row r="67">
      <c r="A67" s="58" t="n">
        <v>1907</v>
      </c>
      <c r="B67" s="53">
        <f>F66</f>
        <v/>
      </c>
      <c r="C67" s="69">
        <f>Resources!R67</f>
        <v/>
      </c>
      <c r="D67" s="53">
        <f>IF($A67&gt;=1850,Economy!O67*ext_gold,0)</f>
        <v/>
      </c>
      <c r="E67" s="53">
        <f>SUMPRODUCT((Events!$B$6:$B$158&lt;=$A67)*(Events!$C$6:$C$158&gt;=$A67)*(Events!$E$6:$E$158="Loan")*(Events!$J$6:$J$158="Yes")*Events!$H$6:$H$158)+SUMPRODUCT((Events!$B$6:$B$158&lt;=$A67)*(Events!$C$6:$C$158&gt;=$A67)*(Events!$E$6:$E$158="Purchase")*(Events!$J$6:$J$158="Yes")*Events!$H$6:$H$158)</f>
        <v/>
      </c>
      <c r="F67" s="53">
        <f>MAX(0,B67+C67+D67-E67)</f>
        <v/>
      </c>
      <c r="G67" s="53">
        <f>IF(OR($A67=1931,$A67=1932),cb_buy/2,0)</f>
        <v/>
      </c>
      <c r="H67" s="53">
        <f>H66+G67</f>
        <v/>
      </c>
      <c r="I67" s="53">
        <f>Economy!O67*money_ratio+H67</f>
        <v/>
      </c>
      <c r="J67" s="53">
        <f>I67*gold_cover</f>
        <v/>
      </c>
      <c r="K67" s="53">
        <f>F67-J67</f>
        <v/>
      </c>
      <c r="L67" s="63">
        <f>IF(I67&gt;0,F67/I67,0)</f>
        <v/>
      </c>
      <c r="M67" s="63">
        <f>IF(Paths!AD67&gt;0,F67/Paths!AD67,0)</f>
        <v/>
      </c>
    </row>
    <row r="68">
      <c r="A68" s="58" t="n">
        <v>1908</v>
      </c>
      <c r="B68" s="53">
        <f>F67</f>
        <v/>
      </c>
      <c r="C68" s="69">
        <f>Resources!R68</f>
        <v/>
      </c>
      <c r="D68" s="53">
        <f>IF($A68&gt;=1850,Economy!O68*ext_gold,0)</f>
        <v/>
      </c>
      <c r="E68" s="53">
        <f>SUMPRODUCT((Events!$B$6:$B$158&lt;=$A68)*(Events!$C$6:$C$158&gt;=$A68)*(Events!$E$6:$E$158="Loan")*(Events!$J$6:$J$158="Yes")*Events!$H$6:$H$158)+SUMPRODUCT((Events!$B$6:$B$158&lt;=$A68)*(Events!$C$6:$C$158&gt;=$A68)*(Events!$E$6:$E$158="Purchase")*(Events!$J$6:$J$158="Yes")*Events!$H$6:$H$158)</f>
        <v/>
      </c>
      <c r="F68" s="53">
        <f>MAX(0,B68+C68+D68-E68)</f>
        <v/>
      </c>
      <c r="G68" s="53">
        <f>IF(OR($A68=1931,$A68=1932),cb_buy/2,0)</f>
        <v/>
      </c>
      <c r="H68" s="53">
        <f>H67+G68</f>
        <v/>
      </c>
      <c r="I68" s="53">
        <f>Economy!O68*money_ratio+H68</f>
        <v/>
      </c>
      <c r="J68" s="53">
        <f>I68*gold_cover</f>
        <v/>
      </c>
      <c r="K68" s="53">
        <f>F68-J68</f>
        <v/>
      </c>
      <c r="L68" s="63">
        <f>IF(I68&gt;0,F68/I68,0)</f>
        <v/>
      </c>
      <c r="M68" s="63">
        <f>IF(Paths!AD68&gt;0,F68/Paths!AD68,0)</f>
        <v/>
      </c>
    </row>
    <row r="69">
      <c r="A69" s="58" t="n">
        <v>1909</v>
      </c>
      <c r="B69" s="53">
        <f>F68</f>
        <v/>
      </c>
      <c r="C69" s="69">
        <f>Resources!R69</f>
        <v/>
      </c>
      <c r="D69" s="53">
        <f>IF($A69&gt;=1850,Economy!O69*ext_gold,0)</f>
        <v/>
      </c>
      <c r="E69" s="53">
        <f>SUMPRODUCT((Events!$B$6:$B$158&lt;=$A69)*(Events!$C$6:$C$158&gt;=$A69)*(Events!$E$6:$E$158="Loan")*(Events!$J$6:$J$158="Yes")*Events!$H$6:$H$158)+SUMPRODUCT((Events!$B$6:$B$158&lt;=$A69)*(Events!$C$6:$C$158&gt;=$A69)*(Events!$E$6:$E$158="Purchase")*(Events!$J$6:$J$158="Yes")*Events!$H$6:$H$158)</f>
        <v/>
      </c>
      <c r="F69" s="53">
        <f>MAX(0,B69+C69+D69-E69)</f>
        <v/>
      </c>
      <c r="G69" s="53">
        <f>IF(OR($A69=1931,$A69=1932),cb_buy/2,0)</f>
        <v/>
      </c>
      <c r="H69" s="53">
        <f>H68+G69</f>
        <v/>
      </c>
      <c r="I69" s="53">
        <f>Economy!O69*money_ratio+H69</f>
        <v/>
      </c>
      <c r="J69" s="53">
        <f>I69*gold_cover</f>
        <v/>
      </c>
      <c r="K69" s="53">
        <f>F69-J69</f>
        <v/>
      </c>
      <c r="L69" s="63">
        <f>IF(I69&gt;0,F69/I69,0)</f>
        <v/>
      </c>
      <c r="M69" s="63">
        <f>IF(Paths!AD69&gt;0,F69/Paths!AD69,0)</f>
        <v/>
      </c>
    </row>
    <row r="70">
      <c r="A70" s="58" t="n">
        <v>1910</v>
      </c>
      <c r="B70" s="53">
        <f>F69</f>
        <v/>
      </c>
      <c r="C70" s="69">
        <f>Resources!R70</f>
        <v/>
      </c>
      <c r="D70" s="53">
        <f>IF($A70&gt;=1850,Economy!O70*ext_gold,0)</f>
        <v/>
      </c>
      <c r="E70" s="53">
        <f>SUMPRODUCT((Events!$B$6:$B$158&lt;=$A70)*(Events!$C$6:$C$158&gt;=$A70)*(Events!$E$6:$E$158="Loan")*(Events!$J$6:$J$158="Yes")*Events!$H$6:$H$158)+SUMPRODUCT((Events!$B$6:$B$158&lt;=$A70)*(Events!$C$6:$C$158&gt;=$A70)*(Events!$E$6:$E$158="Purchase")*(Events!$J$6:$J$158="Yes")*Events!$H$6:$H$158)</f>
        <v/>
      </c>
      <c r="F70" s="53">
        <f>MAX(0,B70+C70+D70-E70)</f>
        <v/>
      </c>
      <c r="G70" s="53">
        <f>IF(OR($A70=1931,$A70=1932),cb_buy/2,0)</f>
        <v/>
      </c>
      <c r="H70" s="53">
        <f>H69+G70</f>
        <v/>
      </c>
      <c r="I70" s="53">
        <f>Economy!O70*money_ratio+H70</f>
        <v/>
      </c>
      <c r="J70" s="53">
        <f>I70*gold_cover</f>
        <v/>
      </c>
      <c r="K70" s="53">
        <f>F70-J70</f>
        <v/>
      </c>
      <c r="L70" s="63">
        <f>IF(I70&gt;0,F70/I70,0)</f>
        <v/>
      </c>
      <c r="M70" s="63">
        <f>IF(Paths!AD70&gt;0,F70/Paths!AD70,0)</f>
        <v/>
      </c>
    </row>
    <row r="71">
      <c r="A71" s="58" t="n">
        <v>1911</v>
      </c>
      <c r="B71" s="53">
        <f>F70</f>
        <v/>
      </c>
      <c r="C71" s="69">
        <f>Resources!R71</f>
        <v/>
      </c>
      <c r="D71" s="53">
        <f>IF($A71&gt;=1850,Economy!O71*ext_gold,0)</f>
        <v/>
      </c>
      <c r="E71" s="53">
        <f>SUMPRODUCT((Events!$B$6:$B$158&lt;=$A71)*(Events!$C$6:$C$158&gt;=$A71)*(Events!$E$6:$E$158="Loan")*(Events!$J$6:$J$158="Yes")*Events!$H$6:$H$158)+SUMPRODUCT((Events!$B$6:$B$158&lt;=$A71)*(Events!$C$6:$C$158&gt;=$A71)*(Events!$E$6:$E$158="Purchase")*(Events!$J$6:$J$158="Yes")*Events!$H$6:$H$158)</f>
        <v/>
      </c>
      <c r="F71" s="53">
        <f>MAX(0,B71+C71+D71-E71)</f>
        <v/>
      </c>
      <c r="G71" s="53">
        <f>IF(OR($A71=1931,$A71=1932),cb_buy/2,0)</f>
        <v/>
      </c>
      <c r="H71" s="53">
        <f>H70+G71</f>
        <v/>
      </c>
      <c r="I71" s="53">
        <f>Economy!O71*money_ratio+H71</f>
        <v/>
      </c>
      <c r="J71" s="53">
        <f>I71*gold_cover</f>
        <v/>
      </c>
      <c r="K71" s="53">
        <f>F71-J71</f>
        <v/>
      </c>
      <c r="L71" s="63">
        <f>IF(I71&gt;0,F71/I71,0)</f>
        <v/>
      </c>
      <c r="M71" s="63">
        <f>IF(Paths!AD71&gt;0,F71/Paths!AD71,0)</f>
        <v/>
      </c>
    </row>
    <row r="72">
      <c r="A72" s="58" t="n">
        <v>1912</v>
      </c>
      <c r="B72" s="53">
        <f>F71</f>
        <v/>
      </c>
      <c r="C72" s="69">
        <f>Resources!R72</f>
        <v/>
      </c>
      <c r="D72" s="53">
        <f>IF($A72&gt;=1850,Economy!O72*ext_gold,0)</f>
        <v/>
      </c>
      <c r="E72" s="53">
        <f>SUMPRODUCT((Events!$B$6:$B$158&lt;=$A72)*(Events!$C$6:$C$158&gt;=$A72)*(Events!$E$6:$E$158="Loan")*(Events!$J$6:$J$158="Yes")*Events!$H$6:$H$158)+SUMPRODUCT((Events!$B$6:$B$158&lt;=$A72)*(Events!$C$6:$C$158&gt;=$A72)*(Events!$E$6:$E$158="Purchase")*(Events!$J$6:$J$158="Yes")*Events!$H$6:$H$158)</f>
        <v/>
      </c>
      <c r="F72" s="53">
        <f>MAX(0,B72+C72+D72-E72)</f>
        <v/>
      </c>
      <c r="G72" s="53">
        <f>IF(OR($A72=1931,$A72=1932),cb_buy/2,0)</f>
        <v/>
      </c>
      <c r="H72" s="53">
        <f>H71+G72</f>
        <v/>
      </c>
      <c r="I72" s="53">
        <f>Economy!O72*money_ratio+H72</f>
        <v/>
      </c>
      <c r="J72" s="53">
        <f>I72*gold_cover</f>
        <v/>
      </c>
      <c r="K72" s="53">
        <f>F72-J72</f>
        <v/>
      </c>
      <c r="L72" s="63">
        <f>IF(I72&gt;0,F72/I72,0)</f>
        <v/>
      </c>
      <c r="M72" s="63">
        <f>IF(Paths!AD72&gt;0,F72/Paths!AD72,0)</f>
        <v/>
      </c>
    </row>
    <row r="73">
      <c r="A73" s="58" t="n">
        <v>1913</v>
      </c>
      <c r="B73" s="53">
        <f>F72</f>
        <v/>
      </c>
      <c r="C73" s="69">
        <f>Resources!R73</f>
        <v/>
      </c>
      <c r="D73" s="53">
        <f>IF($A73&gt;=1850,Economy!O73*ext_gold,0)</f>
        <v/>
      </c>
      <c r="E73" s="53">
        <f>SUMPRODUCT((Events!$B$6:$B$158&lt;=$A73)*(Events!$C$6:$C$158&gt;=$A73)*(Events!$E$6:$E$158="Loan")*(Events!$J$6:$J$158="Yes")*Events!$H$6:$H$158)+SUMPRODUCT((Events!$B$6:$B$158&lt;=$A73)*(Events!$C$6:$C$158&gt;=$A73)*(Events!$E$6:$E$158="Purchase")*(Events!$J$6:$J$158="Yes")*Events!$H$6:$H$158)</f>
        <v/>
      </c>
      <c r="F73" s="53">
        <f>MAX(0,B73+C73+D73-E73)</f>
        <v/>
      </c>
      <c r="G73" s="53">
        <f>IF(OR($A73=1931,$A73=1932),cb_buy/2,0)</f>
        <v/>
      </c>
      <c r="H73" s="53">
        <f>H72+G73</f>
        <v/>
      </c>
      <c r="I73" s="53">
        <f>Economy!O73*money_ratio+H73</f>
        <v/>
      </c>
      <c r="J73" s="53">
        <f>I73*gold_cover</f>
        <v/>
      </c>
      <c r="K73" s="53">
        <f>F73-J73</f>
        <v/>
      </c>
      <c r="L73" s="63">
        <f>IF(I73&gt;0,F73/I73,0)</f>
        <v/>
      </c>
      <c r="M73" s="63">
        <f>IF(Paths!AD73&gt;0,F73/Paths!AD73,0)</f>
        <v/>
      </c>
    </row>
    <row r="74">
      <c r="A74" s="61" t="n">
        <v>1914</v>
      </c>
      <c r="B74" s="53">
        <f>F73</f>
        <v/>
      </c>
      <c r="C74" s="69">
        <f>Resources!R74</f>
        <v/>
      </c>
      <c r="D74" s="53">
        <f>IF($A74&gt;=1850,Economy!O74*ext_gold,0)</f>
        <v/>
      </c>
      <c r="E74" s="53">
        <f>SUMPRODUCT((Events!$B$6:$B$158&lt;=$A74)*(Events!$C$6:$C$158&gt;=$A74)*(Events!$E$6:$E$158="Loan")*(Events!$J$6:$J$158="Yes")*Events!$H$6:$H$158)+SUMPRODUCT((Events!$B$6:$B$158&lt;=$A74)*(Events!$C$6:$C$158&gt;=$A74)*(Events!$E$6:$E$158="Purchase")*(Events!$J$6:$J$158="Yes")*Events!$H$6:$H$158)</f>
        <v/>
      </c>
      <c r="F74" s="53">
        <f>MAX(0,B74+C74+D74-E74)</f>
        <v/>
      </c>
      <c r="G74" s="53">
        <f>IF(OR($A74=1931,$A74=1932),cb_buy/2,0)</f>
        <v/>
      </c>
      <c r="H74" s="53">
        <f>H73+G74</f>
        <v/>
      </c>
      <c r="I74" s="53">
        <f>Economy!O74*money_ratio+H74</f>
        <v/>
      </c>
      <c r="J74" s="53">
        <f>I74*gold_cover</f>
        <v/>
      </c>
      <c r="K74" s="53">
        <f>F74-J74</f>
        <v/>
      </c>
      <c r="L74" s="63">
        <f>IF(I74&gt;0,F74/I74,0)</f>
        <v/>
      </c>
      <c r="M74" s="63">
        <f>IF(Paths!AD74&gt;0,F74/Paths!AD74,0)</f>
        <v/>
      </c>
    </row>
    <row r="75">
      <c r="A75" s="61" t="n">
        <v>1915</v>
      </c>
      <c r="B75" s="53">
        <f>F74</f>
        <v/>
      </c>
      <c r="C75" s="69">
        <f>Resources!R75</f>
        <v/>
      </c>
      <c r="D75" s="53">
        <f>IF($A75&gt;=1850,Economy!O75*ext_gold,0)</f>
        <v/>
      </c>
      <c r="E75" s="53">
        <f>SUMPRODUCT((Events!$B$6:$B$158&lt;=$A75)*(Events!$C$6:$C$158&gt;=$A75)*(Events!$E$6:$E$158="Loan")*(Events!$J$6:$J$158="Yes")*Events!$H$6:$H$158)+SUMPRODUCT((Events!$B$6:$B$158&lt;=$A75)*(Events!$C$6:$C$158&gt;=$A75)*(Events!$E$6:$E$158="Purchase")*(Events!$J$6:$J$158="Yes")*Events!$H$6:$H$158)</f>
        <v/>
      </c>
      <c r="F75" s="53">
        <f>MAX(0,B75+C75+D75-E75)</f>
        <v/>
      </c>
      <c r="G75" s="53">
        <f>IF(OR($A75=1931,$A75=1932),cb_buy/2,0)</f>
        <v/>
      </c>
      <c r="H75" s="53">
        <f>H74+G75</f>
        <v/>
      </c>
      <c r="I75" s="53">
        <f>Economy!O75*money_ratio+H75</f>
        <v/>
      </c>
      <c r="J75" s="53">
        <f>I75*gold_cover</f>
        <v/>
      </c>
      <c r="K75" s="53">
        <f>F75-J75</f>
        <v/>
      </c>
      <c r="L75" s="63">
        <f>IF(I75&gt;0,F75/I75,0)</f>
        <v/>
      </c>
      <c r="M75" s="63">
        <f>IF(Paths!AD75&gt;0,F75/Paths!AD75,0)</f>
        <v/>
      </c>
    </row>
    <row r="76">
      <c r="A76" s="61" t="n">
        <v>1916</v>
      </c>
      <c r="B76" s="53">
        <f>F75</f>
        <v/>
      </c>
      <c r="C76" s="69">
        <f>Resources!R76</f>
        <v/>
      </c>
      <c r="D76" s="53">
        <f>IF($A76&gt;=1850,Economy!O76*ext_gold,0)</f>
        <v/>
      </c>
      <c r="E76" s="53">
        <f>SUMPRODUCT((Events!$B$6:$B$158&lt;=$A76)*(Events!$C$6:$C$158&gt;=$A76)*(Events!$E$6:$E$158="Loan")*(Events!$J$6:$J$158="Yes")*Events!$H$6:$H$158)+SUMPRODUCT((Events!$B$6:$B$158&lt;=$A76)*(Events!$C$6:$C$158&gt;=$A76)*(Events!$E$6:$E$158="Purchase")*(Events!$J$6:$J$158="Yes")*Events!$H$6:$H$158)</f>
        <v/>
      </c>
      <c r="F76" s="53">
        <f>MAX(0,B76+C76+D76-E76)</f>
        <v/>
      </c>
      <c r="G76" s="53">
        <f>IF(OR($A76=1931,$A76=1932),cb_buy/2,0)</f>
        <v/>
      </c>
      <c r="H76" s="53">
        <f>H75+G76</f>
        <v/>
      </c>
      <c r="I76" s="53">
        <f>Economy!O76*money_ratio+H76</f>
        <v/>
      </c>
      <c r="J76" s="53">
        <f>I76*gold_cover</f>
        <v/>
      </c>
      <c r="K76" s="53">
        <f>F76-J76</f>
        <v/>
      </c>
      <c r="L76" s="63">
        <f>IF(I76&gt;0,F76/I76,0)</f>
        <v/>
      </c>
      <c r="M76" s="63">
        <f>IF(Paths!AD76&gt;0,F76/Paths!AD76,0)</f>
        <v/>
      </c>
    </row>
    <row r="77">
      <c r="A77" s="61" t="n">
        <v>1917</v>
      </c>
      <c r="B77" s="53">
        <f>F76</f>
        <v/>
      </c>
      <c r="C77" s="69">
        <f>Resources!R77</f>
        <v/>
      </c>
      <c r="D77" s="53">
        <f>IF($A77&gt;=1850,Economy!O77*ext_gold,0)</f>
        <v/>
      </c>
      <c r="E77" s="53">
        <f>SUMPRODUCT((Events!$B$6:$B$158&lt;=$A77)*(Events!$C$6:$C$158&gt;=$A77)*(Events!$E$6:$E$158="Loan")*(Events!$J$6:$J$158="Yes")*Events!$H$6:$H$158)+SUMPRODUCT((Events!$B$6:$B$158&lt;=$A77)*(Events!$C$6:$C$158&gt;=$A77)*(Events!$E$6:$E$158="Purchase")*(Events!$J$6:$J$158="Yes")*Events!$H$6:$H$158)</f>
        <v/>
      </c>
      <c r="F77" s="53">
        <f>MAX(0,B77+C77+D77-E77)</f>
        <v/>
      </c>
      <c r="G77" s="53">
        <f>IF(OR($A77=1931,$A77=1932),cb_buy/2,0)</f>
        <v/>
      </c>
      <c r="H77" s="53">
        <f>H76+G77</f>
        <v/>
      </c>
      <c r="I77" s="53">
        <f>Economy!O77*money_ratio+H77</f>
        <v/>
      </c>
      <c r="J77" s="53">
        <f>I77*gold_cover</f>
        <v/>
      </c>
      <c r="K77" s="53">
        <f>F77-J77</f>
        <v/>
      </c>
      <c r="L77" s="63">
        <f>IF(I77&gt;0,F77/I77,0)</f>
        <v/>
      </c>
      <c r="M77" s="63">
        <f>IF(Paths!AD77&gt;0,F77/Paths!AD77,0)</f>
        <v/>
      </c>
    </row>
    <row r="78">
      <c r="A78" s="61" t="n">
        <v>1918</v>
      </c>
      <c r="B78" s="53">
        <f>F77</f>
        <v/>
      </c>
      <c r="C78" s="69">
        <f>Resources!R78</f>
        <v/>
      </c>
      <c r="D78" s="53">
        <f>IF($A78&gt;=1850,Economy!O78*ext_gold,0)</f>
        <v/>
      </c>
      <c r="E78" s="53">
        <f>SUMPRODUCT((Events!$B$6:$B$158&lt;=$A78)*(Events!$C$6:$C$158&gt;=$A78)*(Events!$E$6:$E$158="Loan")*(Events!$J$6:$J$158="Yes")*Events!$H$6:$H$158)+SUMPRODUCT((Events!$B$6:$B$158&lt;=$A78)*(Events!$C$6:$C$158&gt;=$A78)*(Events!$E$6:$E$158="Purchase")*(Events!$J$6:$J$158="Yes")*Events!$H$6:$H$158)</f>
        <v/>
      </c>
      <c r="F78" s="53">
        <f>MAX(0,B78+C78+D78-E78)</f>
        <v/>
      </c>
      <c r="G78" s="53">
        <f>IF(OR($A78=1931,$A78=1932),cb_buy/2,0)</f>
        <v/>
      </c>
      <c r="H78" s="53">
        <f>H77+G78</f>
        <v/>
      </c>
      <c r="I78" s="53">
        <f>Economy!O78*money_ratio+H78</f>
        <v/>
      </c>
      <c r="J78" s="53">
        <f>I78*gold_cover</f>
        <v/>
      </c>
      <c r="K78" s="53">
        <f>F78-J78</f>
        <v/>
      </c>
      <c r="L78" s="63">
        <f>IF(I78&gt;0,F78/I78,0)</f>
        <v/>
      </c>
      <c r="M78" s="63">
        <f>IF(Paths!AD78&gt;0,F78/Paths!AD78,0)</f>
        <v/>
      </c>
    </row>
    <row r="79">
      <c r="A79" s="61" t="n">
        <v>1919</v>
      </c>
      <c r="B79" s="53">
        <f>F78</f>
        <v/>
      </c>
      <c r="C79" s="69">
        <f>Resources!R79</f>
        <v/>
      </c>
      <c r="D79" s="53">
        <f>IF($A79&gt;=1850,Economy!O79*ext_gold,0)</f>
        <v/>
      </c>
      <c r="E79" s="53">
        <f>SUMPRODUCT((Events!$B$6:$B$158&lt;=$A79)*(Events!$C$6:$C$158&gt;=$A79)*(Events!$E$6:$E$158="Loan")*(Events!$J$6:$J$158="Yes")*Events!$H$6:$H$158)+SUMPRODUCT((Events!$B$6:$B$158&lt;=$A79)*(Events!$C$6:$C$158&gt;=$A79)*(Events!$E$6:$E$158="Purchase")*(Events!$J$6:$J$158="Yes")*Events!$H$6:$H$158)</f>
        <v/>
      </c>
      <c r="F79" s="53">
        <f>MAX(0,B79+C79+D79-E79)</f>
        <v/>
      </c>
      <c r="G79" s="53">
        <f>IF(OR($A79=1931,$A79=1932),cb_buy/2,0)</f>
        <v/>
      </c>
      <c r="H79" s="53">
        <f>H78+G79</f>
        <v/>
      </c>
      <c r="I79" s="53">
        <f>Economy!O79*money_ratio+H79</f>
        <v/>
      </c>
      <c r="J79" s="53">
        <f>I79*gold_cover</f>
        <v/>
      </c>
      <c r="K79" s="53">
        <f>F79-J79</f>
        <v/>
      </c>
      <c r="L79" s="63">
        <f>IF(I79&gt;0,F79/I79,0)</f>
        <v/>
      </c>
      <c r="M79" s="63">
        <f>IF(Paths!AD79&gt;0,F79/Paths!AD79,0)</f>
        <v/>
      </c>
    </row>
    <row r="80">
      <c r="A80" s="61" t="n">
        <v>1920</v>
      </c>
      <c r="B80" s="53">
        <f>F79</f>
        <v/>
      </c>
      <c r="C80" s="69">
        <f>Resources!R80</f>
        <v/>
      </c>
      <c r="D80" s="53">
        <f>IF($A80&gt;=1850,Economy!O80*ext_gold,0)</f>
        <v/>
      </c>
      <c r="E80" s="53">
        <f>SUMPRODUCT((Events!$B$6:$B$158&lt;=$A80)*(Events!$C$6:$C$158&gt;=$A80)*(Events!$E$6:$E$158="Loan")*(Events!$J$6:$J$158="Yes")*Events!$H$6:$H$158)+SUMPRODUCT((Events!$B$6:$B$158&lt;=$A80)*(Events!$C$6:$C$158&gt;=$A80)*(Events!$E$6:$E$158="Purchase")*(Events!$J$6:$J$158="Yes")*Events!$H$6:$H$158)</f>
        <v/>
      </c>
      <c r="F80" s="53">
        <f>MAX(0,B80+C80+D80-E80)</f>
        <v/>
      </c>
      <c r="G80" s="53">
        <f>IF(OR($A80=1931,$A80=1932),cb_buy/2,0)</f>
        <v/>
      </c>
      <c r="H80" s="53">
        <f>H79+G80</f>
        <v/>
      </c>
      <c r="I80" s="53">
        <f>Economy!O80*money_ratio+H80</f>
        <v/>
      </c>
      <c r="J80" s="53">
        <f>I80*gold_cover</f>
        <v/>
      </c>
      <c r="K80" s="53">
        <f>F80-J80</f>
        <v/>
      </c>
      <c r="L80" s="63">
        <f>IF(I80&gt;0,F80/I80,0)</f>
        <v/>
      </c>
      <c r="M80" s="63">
        <f>IF(Paths!AD80&gt;0,F80/Paths!AD80,0)</f>
        <v/>
      </c>
    </row>
    <row r="81">
      <c r="A81" s="61" t="n">
        <v>1921</v>
      </c>
      <c r="B81" s="53">
        <f>F80</f>
        <v/>
      </c>
      <c r="C81" s="69">
        <f>Resources!R81</f>
        <v/>
      </c>
      <c r="D81" s="53">
        <f>IF($A81&gt;=1850,Economy!O81*ext_gold,0)</f>
        <v/>
      </c>
      <c r="E81" s="53">
        <f>SUMPRODUCT((Events!$B$6:$B$158&lt;=$A81)*(Events!$C$6:$C$158&gt;=$A81)*(Events!$E$6:$E$158="Loan")*(Events!$J$6:$J$158="Yes")*Events!$H$6:$H$158)+SUMPRODUCT((Events!$B$6:$B$158&lt;=$A81)*(Events!$C$6:$C$158&gt;=$A81)*(Events!$E$6:$E$158="Purchase")*(Events!$J$6:$J$158="Yes")*Events!$H$6:$H$158)</f>
        <v/>
      </c>
      <c r="F81" s="53">
        <f>MAX(0,B81+C81+D81-E81)</f>
        <v/>
      </c>
      <c r="G81" s="53">
        <f>IF(OR($A81=1931,$A81=1932),cb_buy/2,0)</f>
        <v/>
      </c>
      <c r="H81" s="53">
        <f>H80+G81</f>
        <v/>
      </c>
      <c r="I81" s="53">
        <f>Economy!O81*money_ratio+H81</f>
        <v/>
      </c>
      <c r="J81" s="53">
        <f>I81*gold_cover</f>
        <v/>
      </c>
      <c r="K81" s="53">
        <f>F81-J81</f>
        <v/>
      </c>
      <c r="L81" s="63">
        <f>IF(I81&gt;0,F81/I81,0)</f>
        <v/>
      </c>
      <c r="M81" s="63">
        <f>IF(Paths!AD81&gt;0,F81/Paths!AD81,0)</f>
        <v/>
      </c>
    </row>
    <row r="82">
      <c r="A82" s="61" t="n">
        <v>1922</v>
      </c>
      <c r="B82" s="53">
        <f>F81</f>
        <v/>
      </c>
      <c r="C82" s="69">
        <f>Resources!R82</f>
        <v/>
      </c>
      <c r="D82" s="53">
        <f>IF($A82&gt;=1850,Economy!O82*ext_gold,0)</f>
        <v/>
      </c>
      <c r="E82" s="53">
        <f>SUMPRODUCT((Events!$B$6:$B$158&lt;=$A82)*(Events!$C$6:$C$158&gt;=$A82)*(Events!$E$6:$E$158="Loan")*(Events!$J$6:$J$158="Yes")*Events!$H$6:$H$158)+SUMPRODUCT((Events!$B$6:$B$158&lt;=$A82)*(Events!$C$6:$C$158&gt;=$A82)*(Events!$E$6:$E$158="Purchase")*(Events!$J$6:$J$158="Yes")*Events!$H$6:$H$158)</f>
        <v/>
      </c>
      <c r="F82" s="53">
        <f>MAX(0,B82+C82+D82-E82)</f>
        <v/>
      </c>
      <c r="G82" s="53">
        <f>IF(OR($A82=1931,$A82=1932),cb_buy/2,0)</f>
        <v/>
      </c>
      <c r="H82" s="53">
        <f>H81+G82</f>
        <v/>
      </c>
      <c r="I82" s="53">
        <f>Economy!O82*money_ratio+H82</f>
        <v/>
      </c>
      <c r="J82" s="53">
        <f>I82*gold_cover</f>
        <v/>
      </c>
      <c r="K82" s="53">
        <f>F82-J82</f>
        <v/>
      </c>
      <c r="L82" s="63">
        <f>IF(I82&gt;0,F82/I82,0)</f>
        <v/>
      </c>
      <c r="M82" s="63">
        <f>IF(Paths!AD82&gt;0,F82/Paths!AD82,0)</f>
        <v/>
      </c>
    </row>
    <row r="83">
      <c r="A83" s="58" t="n">
        <v>1923</v>
      </c>
      <c r="B83" s="53">
        <f>F82</f>
        <v/>
      </c>
      <c r="C83" s="69">
        <f>Resources!R83</f>
        <v/>
      </c>
      <c r="D83" s="53">
        <f>IF($A83&gt;=1850,Economy!O83*ext_gold,0)</f>
        <v/>
      </c>
      <c r="E83" s="53">
        <f>SUMPRODUCT((Events!$B$6:$B$158&lt;=$A83)*(Events!$C$6:$C$158&gt;=$A83)*(Events!$E$6:$E$158="Loan")*(Events!$J$6:$J$158="Yes")*Events!$H$6:$H$158)+SUMPRODUCT((Events!$B$6:$B$158&lt;=$A83)*(Events!$C$6:$C$158&gt;=$A83)*(Events!$E$6:$E$158="Purchase")*(Events!$J$6:$J$158="Yes")*Events!$H$6:$H$158)</f>
        <v/>
      </c>
      <c r="F83" s="53">
        <f>MAX(0,B83+C83+D83-E83)</f>
        <v/>
      </c>
      <c r="G83" s="53">
        <f>IF(OR($A83=1931,$A83=1932),cb_buy/2,0)</f>
        <v/>
      </c>
      <c r="H83" s="53">
        <f>H82+G83</f>
        <v/>
      </c>
      <c r="I83" s="53">
        <f>Economy!O83*money_ratio+H83</f>
        <v/>
      </c>
      <c r="J83" s="53">
        <f>I83*gold_cover</f>
        <v/>
      </c>
      <c r="K83" s="53">
        <f>F83-J83</f>
        <v/>
      </c>
      <c r="L83" s="63">
        <f>IF(I83&gt;0,F83/I83,0)</f>
        <v/>
      </c>
      <c r="M83" s="63">
        <f>IF(Paths!AD83&gt;0,F83/Paths!AD83,0)</f>
        <v/>
      </c>
    </row>
    <row r="84">
      <c r="A84" s="58" t="n">
        <v>1924</v>
      </c>
      <c r="B84" s="53">
        <f>F83</f>
        <v/>
      </c>
      <c r="C84" s="69">
        <f>Resources!R84</f>
        <v/>
      </c>
      <c r="D84" s="53">
        <f>IF($A84&gt;=1850,Economy!O84*ext_gold,0)</f>
        <v/>
      </c>
      <c r="E84" s="53">
        <f>SUMPRODUCT((Events!$B$6:$B$158&lt;=$A84)*(Events!$C$6:$C$158&gt;=$A84)*(Events!$E$6:$E$158="Loan")*(Events!$J$6:$J$158="Yes")*Events!$H$6:$H$158)+SUMPRODUCT((Events!$B$6:$B$158&lt;=$A84)*(Events!$C$6:$C$158&gt;=$A84)*(Events!$E$6:$E$158="Purchase")*(Events!$J$6:$J$158="Yes")*Events!$H$6:$H$158)</f>
        <v/>
      </c>
      <c r="F84" s="53">
        <f>MAX(0,B84+C84+D84-E84)</f>
        <v/>
      </c>
      <c r="G84" s="53">
        <f>IF(OR($A84=1931,$A84=1932),cb_buy/2,0)</f>
        <v/>
      </c>
      <c r="H84" s="53">
        <f>H83+G84</f>
        <v/>
      </c>
      <c r="I84" s="53">
        <f>Economy!O84*money_ratio+H84</f>
        <v/>
      </c>
      <c r="J84" s="53">
        <f>I84*gold_cover</f>
        <v/>
      </c>
      <c r="K84" s="53">
        <f>F84-J84</f>
        <v/>
      </c>
      <c r="L84" s="63">
        <f>IF(I84&gt;0,F84/I84,0)</f>
        <v/>
      </c>
      <c r="M84" s="63">
        <f>IF(Paths!AD84&gt;0,F84/Paths!AD84,0)</f>
        <v/>
      </c>
    </row>
    <row r="85">
      <c r="A85" s="58" t="n">
        <v>1925</v>
      </c>
      <c r="B85" s="53">
        <f>F84</f>
        <v/>
      </c>
      <c r="C85" s="69">
        <f>Resources!R85</f>
        <v/>
      </c>
      <c r="D85" s="53">
        <f>IF($A85&gt;=1850,Economy!O85*ext_gold,0)</f>
        <v/>
      </c>
      <c r="E85" s="53">
        <f>SUMPRODUCT((Events!$B$6:$B$158&lt;=$A85)*(Events!$C$6:$C$158&gt;=$A85)*(Events!$E$6:$E$158="Loan")*(Events!$J$6:$J$158="Yes")*Events!$H$6:$H$158)+SUMPRODUCT((Events!$B$6:$B$158&lt;=$A85)*(Events!$C$6:$C$158&gt;=$A85)*(Events!$E$6:$E$158="Purchase")*(Events!$J$6:$J$158="Yes")*Events!$H$6:$H$158)</f>
        <v/>
      </c>
      <c r="F85" s="53">
        <f>MAX(0,B85+C85+D85-E85)</f>
        <v/>
      </c>
      <c r="G85" s="53">
        <f>IF(OR($A85=1931,$A85=1932),cb_buy/2,0)</f>
        <v/>
      </c>
      <c r="H85" s="53">
        <f>H84+G85</f>
        <v/>
      </c>
      <c r="I85" s="53">
        <f>Economy!O85*money_ratio+H85</f>
        <v/>
      </c>
      <c r="J85" s="53">
        <f>I85*gold_cover</f>
        <v/>
      </c>
      <c r="K85" s="53">
        <f>F85-J85</f>
        <v/>
      </c>
      <c r="L85" s="63">
        <f>IF(I85&gt;0,F85/I85,0)</f>
        <v/>
      </c>
      <c r="M85" s="63">
        <f>IF(Paths!AD85&gt;0,F85/Paths!AD85,0)</f>
        <v/>
      </c>
    </row>
    <row r="86">
      <c r="A86" s="58" t="n">
        <v>1926</v>
      </c>
      <c r="B86" s="53">
        <f>F85</f>
        <v/>
      </c>
      <c r="C86" s="69">
        <f>Resources!R86</f>
        <v/>
      </c>
      <c r="D86" s="53">
        <f>IF($A86&gt;=1850,Economy!O86*ext_gold,0)</f>
        <v/>
      </c>
      <c r="E86" s="53">
        <f>SUMPRODUCT((Events!$B$6:$B$158&lt;=$A86)*(Events!$C$6:$C$158&gt;=$A86)*(Events!$E$6:$E$158="Loan")*(Events!$J$6:$J$158="Yes")*Events!$H$6:$H$158)+SUMPRODUCT((Events!$B$6:$B$158&lt;=$A86)*(Events!$C$6:$C$158&gt;=$A86)*(Events!$E$6:$E$158="Purchase")*(Events!$J$6:$J$158="Yes")*Events!$H$6:$H$158)</f>
        <v/>
      </c>
      <c r="F86" s="53">
        <f>MAX(0,B86+C86+D86-E86)</f>
        <v/>
      </c>
      <c r="G86" s="53">
        <f>IF(OR($A86=1931,$A86=1932),cb_buy/2,0)</f>
        <v/>
      </c>
      <c r="H86" s="53">
        <f>H85+G86</f>
        <v/>
      </c>
      <c r="I86" s="53">
        <f>Economy!O86*money_ratio+H86</f>
        <v/>
      </c>
      <c r="J86" s="53">
        <f>I86*gold_cover</f>
        <v/>
      </c>
      <c r="K86" s="53">
        <f>F86-J86</f>
        <v/>
      </c>
      <c r="L86" s="63">
        <f>IF(I86&gt;0,F86/I86,0)</f>
        <v/>
      </c>
      <c r="M86" s="63">
        <f>IF(Paths!AD86&gt;0,F86/Paths!AD86,0)</f>
        <v/>
      </c>
    </row>
    <row r="87">
      <c r="A87" s="58" t="n">
        <v>1927</v>
      </c>
      <c r="B87" s="53">
        <f>F86</f>
        <v/>
      </c>
      <c r="C87" s="69">
        <f>Resources!R87</f>
        <v/>
      </c>
      <c r="D87" s="53">
        <f>IF($A87&gt;=1850,Economy!O87*ext_gold,0)</f>
        <v/>
      </c>
      <c r="E87" s="53">
        <f>SUMPRODUCT((Events!$B$6:$B$158&lt;=$A87)*(Events!$C$6:$C$158&gt;=$A87)*(Events!$E$6:$E$158="Loan")*(Events!$J$6:$J$158="Yes")*Events!$H$6:$H$158)+SUMPRODUCT((Events!$B$6:$B$158&lt;=$A87)*(Events!$C$6:$C$158&gt;=$A87)*(Events!$E$6:$E$158="Purchase")*(Events!$J$6:$J$158="Yes")*Events!$H$6:$H$158)</f>
        <v/>
      </c>
      <c r="F87" s="53">
        <f>MAX(0,B87+C87+D87-E87)</f>
        <v/>
      </c>
      <c r="G87" s="53">
        <f>IF(OR($A87=1931,$A87=1932),cb_buy/2,0)</f>
        <v/>
      </c>
      <c r="H87" s="53">
        <f>H86+G87</f>
        <v/>
      </c>
      <c r="I87" s="53">
        <f>Economy!O87*money_ratio+H87</f>
        <v/>
      </c>
      <c r="J87" s="53">
        <f>I87*gold_cover</f>
        <v/>
      </c>
      <c r="K87" s="53">
        <f>F87-J87</f>
        <v/>
      </c>
      <c r="L87" s="63">
        <f>IF(I87&gt;0,F87/I87,0)</f>
        <v/>
      </c>
      <c r="M87" s="63">
        <f>IF(Paths!AD87&gt;0,F87/Paths!AD87,0)</f>
        <v/>
      </c>
    </row>
    <row r="88">
      <c r="A88" s="58" t="n">
        <v>1928</v>
      </c>
      <c r="B88" s="53">
        <f>F87</f>
        <v/>
      </c>
      <c r="C88" s="69">
        <f>Resources!R88</f>
        <v/>
      </c>
      <c r="D88" s="53">
        <f>IF($A88&gt;=1850,Economy!O88*ext_gold,0)</f>
        <v/>
      </c>
      <c r="E88" s="53">
        <f>SUMPRODUCT((Events!$B$6:$B$158&lt;=$A88)*(Events!$C$6:$C$158&gt;=$A88)*(Events!$E$6:$E$158="Loan")*(Events!$J$6:$J$158="Yes")*Events!$H$6:$H$158)+SUMPRODUCT((Events!$B$6:$B$158&lt;=$A88)*(Events!$C$6:$C$158&gt;=$A88)*(Events!$E$6:$E$158="Purchase")*(Events!$J$6:$J$158="Yes")*Events!$H$6:$H$158)</f>
        <v/>
      </c>
      <c r="F88" s="53">
        <f>MAX(0,B88+C88+D88-E88)</f>
        <v/>
      </c>
      <c r="G88" s="53">
        <f>IF(OR($A88=1931,$A88=1932),cb_buy/2,0)</f>
        <v/>
      </c>
      <c r="H88" s="53">
        <f>H87+G88</f>
        <v/>
      </c>
      <c r="I88" s="53">
        <f>Economy!O88*money_ratio+H88</f>
        <v/>
      </c>
      <c r="J88" s="53">
        <f>I88*gold_cover</f>
        <v/>
      </c>
      <c r="K88" s="53">
        <f>F88-J88</f>
        <v/>
      </c>
      <c r="L88" s="63">
        <f>IF(I88&gt;0,F88/I88,0)</f>
        <v/>
      </c>
      <c r="M88" s="63">
        <f>IF(Paths!AD88&gt;0,F88/Paths!AD88,0)</f>
        <v/>
      </c>
    </row>
    <row r="89">
      <c r="A89" s="58" t="n">
        <v>1929</v>
      </c>
      <c r="B89" s="53">
        <f>F88</f>
        <v/>
      </c>
      <c r="C89" s="69">
        <f>Resources!R89</f>
        <v/>
      </c>
      <c r="D89" s="53">
        <f>IF($A89&gt;=1850,Economy!O89*ext_gold,0)</f>
        <v/>
      </c>
      <c r="E89" s="53">
        <f>SUMPRODUCT((Events!$B$6:$B$158&lt;=$A89)*(Events!$C$6:$C$158&gt;=$A89)*(Events!$E$6:$E$158="Loan")*(Events!$J$6:$J$158="Yes")*Events!$H$6:$H$158)+SUMPRODUCT((Events!$B$6:$B$158&lt;=$A89)*(Events!$C$6:$C$158&gt;=$A89)*(Events!$E$6:$E$158="Purchase")*(Events!$J$6:$J$158="Yes")*Events!$H$6:$H$158)</f>
        <v/>
      </c>
      <c r="F89" s="53">
        <f>MAX(0,B89+C89+D89-E89)</f>
        <v/>
      </c>
      <c r="G89" s="53">
        <f>IF(OR($A89=1931,$A89=1932),cb_buy/2,0)</f>
        <v/>
      </c>
      <c r="H89" s="53">
        <f>H88+G89</f>
        <v/>
      </c>
      <c r="I89" s="53">
        <f>Economy!O89*money_ratio+H89</f>
        <v/>
      </c>
      <c r="J89" s="53">
        <f>I89*gold_cover</f>
        <v/>
      </c>
      <c r="K89" s="53">
        <f>F89-J89</f>
        <v/>
      </c>
      <c r="L89" s="63">
        <f>IF(I89&gt;0,F89/I89,0)</f>
        <v/>
      </c>
      <c r="M89" s="63">
        <f>IF(Paths!AD89&gt;0,F89/Paths!AD89,0)</f>
        <v/>
      </c>
    </row>
    <row r="90">
      <c r="A90" s="58" t="n">
        <v>1930</v>
      </c>
      <c r="B90" s="53">
        <f>F89</f>
        <v/>
      </c>
      <c r="C90" s="69">
        <f>Resources!R90</f>
        <v/>
      </c>
      <c r="D90" s="53">
        <f>IF($A90&gt;=1850,Economy!O90*ext_gold,0)</f>
        <v/>
      </c>
      <c r="E90" s="53">
        <f>SUMPRODUCT((Events!$B$6:$B$158&lt;=$A90)*(Events!$C$6:$C$158&gt;=$A90)*(Events!$E$6:$E$158="Loan")*(Events!$J$6:$J$158="Yes")*Events!$H$6:$H$158)+SUMPRODUCT((Events!$B$6:$B$158&lt;=$A90)*(Events!$C$6:$C$158&gt;=$A90)*(Events!$E$6:$E$158="Purchase")*(Events!$J$6:$J$158="Yes")*Events!$H$6:$H$158)</f>
        <v/>
      </c>
      <c r="F90" s="53">
        <f>MAX(0,B90+C90+D90-E90)</f>
        <v/>
      </c>
      <c r="G90" s="53">
        <f>IF(OR($A90=1931,$A90=1932),cb_buy/2,0)</f>
        <v/>
      </c>
      <c r="H90" s="53">
        <f>H89+G90</f>
        <v/>
      </c>
      <c r="I90" s="53">
        <f>Economy!O90*money_ratio+H90</f>
        <v/>
      </c>
      <c r="J90" s="53">
        <f>I90*gold_cover</f>
        <v/>
      </c>
      <c r="K90" s="53">
        <f>F90-J90</f>
        <v/>
      </c>
      <c r="L90" s="63">
        <f>IF(I90&gt;0,F90/I90,0)</f>
        <v/>
      </c>
      <c r="M90" s="63">
        <f>IF(Paths!AD90&gt;0,F90/Paths!AD90,0)</f>
        <v/>
      </c>
    </row>
    <row r="91">
      <c r="A91" s="58" t="n">
        <v>1931</v>
      </c>
      <c r="B91" s="53">
        <f>F90</f>
        <v/>
      </c>
      <c r="C91" s="69">
        <f>Resources!R91</f>
        <v/>
      </c>
      <c r="D91" s="53">
        <f>IF($A91&gt;=1850,Economy!O91*ext_gold,0)</f>
        <v/>
      </c>
      <c r="E91" s="53">
        <f>SUMPRODUCT((Events!$B$6:$B$158&lt;=$A91)*(Events!$C$6:$C$158&gt;=$A91)*(Events!$E$6:$E$158="Loan")*(Events!$J$6:$J$158="Yes")*Events!$H$6:$H$158)+SUMPRODUCT((Events!$B$6:$B$158&lt;=$A91)*(Events!$C$6:$C$158&gt;=$A91)*(Events!$E$6:$E$158="Purchase")*(Events!$J$6:$J$158="Yes")*Events!$H$6:$H$158)</f>
        <v/>
      </c>
      <c r="F91" s="53">
        <f>MAX(0,B91+C91+D91-E91)</f>
        <v/>
      </c>
      <c r="G91" s="53">
        <f>IF(OR($A91=1931,$A91=1932),cb_buy/2,0)</f>
        <v/>
      </c>
      <c r="H91" s="53">
        <f>H90+G91</f>
        <v/>
      </c>
      <c r="I91" s="53">
        <f>Economy!O91*money_ratio+H91</f>
        <v/>
      </c>
      <c r="J91" s="53">
        <f>I91*gold_cover</f>
        <v/>
      </c>
      <c r="K91" s="53">
        <f>F91-J91</f>
        <v/>
      </c>
      <c r="L91" s="63">
        <f>IF(I91&gt;0,F91/I91,0)</f>
        <v/>
      </c>
      <c r="M91" s="63">
        <f>IF(Paths!AD91&gt;0,F91/Paths!AD91,0)</f>
        <v/>
      </c>
    </row>
    <row r="92">
      <c r="A92" s="58" t="n">
        <v>1932</v>
      </c>
      <c r="B92" s="53">
        <f>F91</f>
        <v/>
      </c>
      <c r="C92" s="69">
        <f>Resources!R92</f>
        <v/>
      </c>
      <c r="D92" s="53">
        <f>IF($A92&gt;=1850,Economy!O92*ext_gold,0)</f>
        <v/>
      </c>
      <c r="E92" s="53">
        <f>SUMPRODUCT((Events!$B$6:$B$158&lt;=$A92)*(Events!$C$6:$C$158&gt;=$A92)*(Events!$E$6:$E$158="Loan")*(Events!$J$6:$J$158="Yes")*Events!$H$6:$H$158)+SUMPRODUCT((Events!$B$6:$B$158&lt;=$A92)*(Events!$C$6:$C$158&gt;=$A92)*(Events!$E$6:$E$158="Purchase")*(Events!$J$6:$J$158="Yes")*Events!$H$6:$H$158)</f>
        <v/>
      </c>
      <c r="F92" s="53">
        <f>MAX(0,B92+C92+D92-E92)</f>
        <v/>
      </c>
      <c r="G92" s="53">
        <f>IF(OR($A92=1931,$A92=1932),cb_buy/2,0)</f>
        <v/>
      </c>
      <c r="H92" s="53">
        <f>H91+G92</f>
        <v/>
      </c>
      <c r="I92" s="53">
        <f>Economy!O92*money_ratio+H92</f>
        <v/>
      </c>
      <c r="J92" s="53">
        <f>I92*gold_cover</f>
        <v/>
      </c>
      <c r="K92" s="53">
        <f>F92-J92</f>
        <v/>
      </c>
      <c r="L92" s="63">
        <f>IF(I92&gt;0,F92/I92,0)</f>
        <v/>
      </c>
      <c r="M92" s="63">
        <f>IF(Paths!AD92&gt;0,F92/Paths!AD92,0)</f>
        <v/>
      </c>
    </row>
  </sheetData>
  <mergeCells count="2">
    <mergeCell ref="B4:F4"/>
    <mergeCell ref="G4:M4"/>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548235"/>
    <outlinePr summaryBelow="1" summaryRight="1"/>
    <pageSetUpPr fitToPage="1"/>
  </sheetPr>
  <dimension ref="A1:R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s>
  <sheetData>
    <row r="1">
      <c r="A1" s="18" t="inlineStr">
        <is>
          <t>Private investment abroad</t>
        </is>
      </c>
    </row>
    <row r="2">
      <c r="A2" s="2" t="inlineStr">
        <is>
          <t>Factories, refineries, mills and bonds owned abroad by Pacificans, and the income they send home. Adds to national income, not GDP.</t>
        </is>
      </c>
    </row>
    <row r="3">
      <c r="A3" s="19" t="inlineStr">
        <is>
          <t>Years run down the page. Blue = input you can change · black = formula · green = link to another sheet. Hover a column heading for its definition.</t>
        </is>
      </c>
    </row>
    <row r="4">
      <c r="B4" s="56" t="inlineStr">
        <is>
          <t>Outflows</t>
        </is>
      </c>
      <c r="E4" s="56" t="inlineStr">
        <is>
          <t>Assets</t>
        </is>
      </c>
      <c r="K4" s="56" t="inlineStr">
        <is>
          <t>Income</t>
        </is>
      </c>
    </row>
    <row r="5" ht="54" customHeight="1">
      <c r="A5" s="57" t="inlineStr">
        <is>
          <t>Year</t>
        </is>
      </c>
      <c r="B5" s="6" t="inlineStr">
        <is>
          <t>Private investment abroad / GDP</t>
        </is>
      </c>
      <c r="C5" s="6" t="inlineStr">
        <is>
          <t>Ordinary investment abroad ($m)</t>
        </is>
      </c>
      <c r="D5" s="6" t="inlineStr">
        <is>
          <t>Private share of the Entente credit ($m)</t>
        </is>
      </c>
      <c r="E5" s="6" t="inlineStr">
        <is>
          <t>Assets at start of year ($m)</t>
        </is>
      </c>
      <c r="F5" s="6" t="inlineStr">
        <is>
          <t>Repaid or sold ($m)</t>
        </is>
      </c>
      <c r="G5" s="6" t="inlineStr">
        <is>
          <t>Losses ($m)</t>
        </is>
      </c>
      <c r="H5" s="6" t="inlineStr">
        <is>
          <t>Portfolio assets abroad ($m)</t>
        </is>
      </c>
      <c r="I5" s="6" t="inlineStr">
        <is>
          <t>Champions' direct investment abroad ($m)</t>
        </is>
      </c>
      <c r="J5" s="6" t="inlineStr">
        <is>
          <t>All private assets abroad ($m)</t>
        </is>
      </c>
      <c r="K5" s="6" t="inlineStr">
        <is>
          <t>Income on the portfolio ($m)</t>
        </is>
      </c>
      <c r="L5" s="6" t="inlineStr">
        <is>
          <t>Champions' earnings abroad ($m)</t>
        </is>
      </c>
      <c r="M5" s="6" t="inlineStr">
        <is>
          <t>Income from abroad ($m)</t>
        </is>
      </c>
      <c r="N5" s="6" t="inlineStr">
        <is>
          <t>Tax on it ($m)</t>
        </is>
      </c>
      <c r="O5" s="6" t="inlineStr">
        <is>
          <t>Guest workers' remittances ($m)</t>
        </is>
      </c>
      <c r="P5" s="6" t="inlineStr">
        <is>
          <t>National income: GDP + income from abroad ($m)</t>
        </is>
      </c>
      <c r="Q5" s="6" t="inlineStr">
        <is>
          <t>Income from abroad / national income</t>
        </is>
      </c>
      <c r="R5" s="6" t="inlineStr">
        <is>
          <t>Assets abroad / GDP</t>
        </is>
      </c>
    </row>
    <row r="6">
      <c r="A6" s="58" t="n">
        <v>1846</v>
      </c>
      <c r="B6" s="59" t="n">
        <v>0.002</v>
      </c>
      <c r="C6" s="53">
        <f>Economy!O6*B6</f>
        <v/>
      </c>
      <c r="D6" s="53">
        <f>IF(AND($A6&gt;=1914,$A6&lt;=1918),entente_total*entente_private*CHOOSE($A6-1913,0.05,0.1333,0.2333,0.3,0.2834),0)</f>
        <v/>
      </c>
      <c r="E6" s="53">
        <f>0</f>
        <v/>
      </c>
      <c r="F6" s="53">
        <f>E6*abroad_repat</f>
        <v/>
      </c>
      <c r="G6" s="53">
        <f>IF($A6=1918,russia_writeoff*entente_total*entente_private,0)+IF(OR($A6=1931,$A6=1932),E6*abroad_loss/2,0)</f>
        <v/>
      </c>
      <c r="H6" s="53">
        <f>E6+C6+D6-F6-G6</f>
        <v/>
      </c>
      <c r="I6" s="69">
        <f>Champions!AY6</f>
        <v/>
      </c>
      <c r="J6" s="53">
        <f>H6+I6</f>
        <v/>
      </c>
      <c r="K6" s="53">
        <f>E6*abroad_return*IF(OR($A6=1931,$A6=1932),abroad_slump,1)</f>
        <v/>
      </c>
      <c r="L6" s="69">
        <f>Champions!AZ6</f>
        <v/>
      </c>
      <c r="M6" s="53">
        <f>K6+L6</f>
        <v/>
      </c>
      <c r="N6" s="53">
        <f>M6*abroad_tax</f>
        <v/>
      </c>
      <c r="O6" s="69">
        <f>Labour!R6</f>
        <v/>
      </c>
      <c r="P6" s="47">
        <f>Economy!O6+M6-O6</f>
        <v/>
      </c>
      <c r="Q6" s="63">
        <f>M6/P6</f>
        <v/>
      </c>
      <c r="R6" s="63">
        <f>J6/Economy!O6</f>
        <v/>
      </c>
    </row>
    <row r="7">
      <c r="A7" s="58" t="n">
        <v>1847</v>
      </c>
      <c r="B7" s="59" t="n">
        <v>0.002</v>
      </c>
      <c r="C7" s="53">
        <f>Economy!O7*B7</f>
        <v/>
      </c>
      <c r="D7" s="53">
        <f>IF(AND($A7&gt;=1914,$A7&lt;=1918),entente_total*entente_private*CHOOSE($A7-1913,0.05,0.1333,0.2333,0.3,0.2834),0)</f>
        <v/>
      </c>
      <c r="E7" s="53">
        <f>H6</f>
        <v/>
      </c>
      <c r="F7" s="53">
        <f>E7*abroad_repat</f>
        <v/>
      </c>
      <c r="G7" s="53">
        <f>IF($A7=1918,russia_writeoff*entente_total*entente_private,0)+IF(OR($A7=1931,$A7=1932),E7*abroad_loss/2,0)</f>
        <v/>
      </c>
      <c r="H7" s="53">
        <f>E7+C7+D7-F7-G7</f>
        <v/>
      </c>
      <c r="I7" s="69">
        <f>Champions!AY7</f>
        <v/>
      </c>
      <c r="J7" s="53">
        <f>H7+I7</f>
        <v/>
      </c>
      <c r="K7" s="53">
        <f>E7*abroad_return*IF(OR($A7=1931,$A7=1932),abroad_slump,1)</f>
        <v/>
      </c>
      <c r="L7" s="69">
        <f>Champions!AZ7</f>
        <v/>
      </c>
      <c r="M7" s="53">
        <f>K7+L7</f>
        <v/>
      </c>
      <c r="N7" s="53">
        <f>M7*abroad_tax</f>
        <v/>
      </c>
      <c r="O7" s="69">
        <f>Labour!R7</f>
        <v/>
      </c>
      <c r="P7" s="47">
        <f>Economy!O7+M7-O7</f>
        <v/>
      </c>
      <c r="Q7" s="63">
        <f>M7/P7</f>
        <v/>
      </c>
      <c r="R7" s="63">
        <f>J7/Economy!O7</f>
        <v/>
      </c>
    </row>
    <row r="8">
      <c r="A8" s="58" t="n">
        <v>1848</v>
      </c>
      <c r="B8" s="59" t="n">
        <v>0.002</v>
      </c>
      <c r="C8" s="53">
        <f>Economy!O8*B8</f>
        <v/>
      </c>
      <c r="D8" s="53">
        <f>IF(AND($A8&gt;=1914,$A8&lt;=1918),entente_total*entente_private*CHOOSE($A8-1913,0.05,0.1333,0.2333,0.3,0.2834),0)</f>
        <v/>
      </c>
      <c r="E8" s="53">
        <f>H7</f>
        <v/>
      </c>
      <c r="F8" s="53">
        <f>E8*abroad_repat</f>
        <v/>
      </c>
      <c r="G8" s="53">
        <f>IF($A8=1918,russia_writeoff*entente_total*entente_private,0)+IF(OR($A8=1931,$A8=1932),E8*abroad_loss/2,0)</f>
        <v/>
      </c>
      <c r="H8" s="53">
        <f>E8+C8+D8-F8-G8</f>
        <v/>
      </c>
      <c r="I8" s="69">
        <f>Champions!AY8</f>
        <v/>
      </c>
      <c r="J8" s="53">
        <f>H8+I8</f>
        <v/>
      </c>
      <c r="K8" s="53">
        <f>E8*abroad_return*IF(OR($A8=1931,$A8=1932),abroad_slump,1)</f>
        <v/>
      </c>
      <c r="L8" s="69">
        <f>Champions!AZ8</f>
        <v/>
      </c>
      <c r="M8" s="53">
        <f>K8+L8</f>
        <v/>
      </c>
      <c r="N8" s="53">
        <f>M8*abroad_tax</f>
        <v/>
      </c>
      <c r="O8" s="69">
        <f>Labour!R8</f>
        <v/>
      </c>
      <c r="P8" s="47">
        <f>Economy!O8+M8-O8</f>
        <v/>
      </c>
      <c r="Q8" s="63">
        <f>M8/P8</f>
        <v/>
      </c>
      <c r="R8" s="63">
        <f>J8/Economy!O8</f>
        <v/>
      </c>
    </row>
    <row r="9">
      <c r="A9" s="58" t="n">
        <v>1849</v>
      </c>
      <c r="B9" s="59" t="n">
        <v>0.002</v>
      </c>
      <c r="C9" s="53">
        <f>Economy!O9*B9</f>
        <v/>
      </c>
      <c r="D9" s="53">
        <f>IF(AND($A9&gt;=1914,$A9&lt;=1918),entente_total*entente_private*CHOOSE($A9-1913,0.05,0.1333,0.2333,0.3,0.2834),0)</f>
        <v/>
      </c>
      <c r="E9" s="53">
        <f>H8</f>
        <v/>
      </c>
      <c r="F9" s="53">
        <f>E9*abroad_repat</f>
        <v/>
      </c>
      <c r="G9" s="53">
        <f>IF($A9=1918,russia_writeoff*entente_total*entente_private,0)+IF(OR($A9=1931,$A9=1932),E9*abroad_loss/2,0)</f>
        <v/>
      </c>
      <c r="H9" s="53">
        <f>E9+C9+D9-F9-G9</f>
        <v/>
      </c>
      <c r="I9" s="69">
        <f>Champions!AY9</f>
        <v/>
      </c>
      <c r="J9" s="53">
        <f>H9+I9</f>
        <v/>
      </c>
      <c r="K9" s="53">
        <f>E9*abroad_return*IF(OR($A9=1931,$A9=1932),abroad_slump,1)</f>
        <v/>
      </c>
      <c r="L9" s="69">
        <f>Champions!AZ9</f>
        <v/>
      </c>
      <c r="M9" s="53">
        <f>K9+L9</f>
        <v/>
      </c>
      <c r="N9" s="53">
        <f>M9*abroad_tax</f>
        <v/>
      </c>
      <c r="O9" s="69">
        <f>Labour!R9</f>
        <v/>
      </c>
      <c r="P9" s="47">
        <f>Economy!O9+M9-O9</f>
        <v/>
      </c>
      <c r="Q9" s="63">
        <f>M9/P9</f>
        <v/>
      </c>
      <c r="R9" s="63">
        <f>J9/Economy!O9</f>
        <v/>
      </c>
    </row>
    <row r="10">
      <c r="A10" s="58" t="n">
        <v>1850</v>
      </c>
      <c r="B10" s="59" t="n">
        <v>0.002</v>
      </c>
      <c r="C10" s="53">
        <f>Economy!O10*B10</f>
        <v/>
      </c>
      <c r="D10" s="53">
        <f>IF(AND($A10&gt;=1914,$A10&lt;=1918),entente_total*entente_private*CHOOSE($A10-1913,0.05,0.1333,0.2333,0.3,0.2834),0)</f>
        <v/>
      </c>
      <c r="E10" s="53">
        <f>H9</f>
        <v/>
      </c>
      <c r="F10" s="53">
        <f>E10*abroad_repat</f>
        <v/>
      </c>
      <c r="G10" s="53">
        <f>IF($A10=1918,russia_writeoff*entente_total*entente_private,0)+IF(OR($A10=1931,$A10=1932),E10*abroad_loss/2,0)</f>
        <v/>
      </c>
      <c r="H10" s="53">
        <f>E10+C10+D10-F10-G10</f>
        <v/>
      </c>
      <c r="I10" s="69">
        <f>Champions!AY10</f>
        <v/>
      </c>
      <c r="J10" s="53">
        <f>H10+I10</f>
        <v/>
      </c>
      <c r="K10" s="53">
        <f>E10*abroad_return*IF(OR($A10=1931,$A10=1932),abroad_slump,1)</f>
        <v/>
      </c>
      <c r="L10" s="69">
        <f>Champions!AZ10</f>
        <v/>
      </c>
      <c r="M10" s="53">
        <f>K10+L10</f>
        <v/>
      </c>
      <c r="N10" s="53">
        <f>M10*abroad_tax</f>
        <v/>
      </c>
      <c r="O10" s="69">
        <f>Labour!R10</f>
        <v/>
      </c>
      <c r="P10" s="47">
        <f>Economy!O10+M10-O10</f>
        <v/>
      </c>
      <c r="Q10" s="63">
        <f>M10/P10</f>
        <v/>
      </c>
      <c r="R10" s="63">
        <f>J10/Economy!O10</f>
        <v/>
      </c>
    </row>
    <row r="11">
      <c r="A11" s="58" t="n">
        <v>1851</v>
      </c>
      <c r="B11" s="59" t="n">
        <v>0.002</v>
      </c>
      <c r="C11" s="53">
        <f>Economy!O11*B11</f>
        <v/>
      </c>
      <c r="D11" s="53">
        <f>IF(AND($A11&gt;=1914,$A11&lt;=1918),entente_total*entente_private*CHOOSE($A11-1913,0.05,0.1333,0.2333,0.3,0.2834),0)</f>
        <v/>
      </c>
      <c r="E11" s="53">
        <f>H10</f>
        <v/>
      </c>
      <c r="F11" s="53">
        <f>E11*abroad_repat</f>
        <v/>
      </c>
      <c r="G11" s="53">
        <f>IF($A11=1918,russia_writeoff*entente_total*entente_private,0)+IF(OR($A11=1931,$A11=1932),E11*abroad_loss/2,0)</f>
        <v/>
      </c>
      <c r="H11" s="53">
        <f>E11+C11+D11-F11-G11</f>
        <v/>
      </c>
      <c r="I11" s="69">
        <f>Champions!AY11</f>
        <v/>
      </c>
      <c r="J11" s="53">
        <f>H11+I11</f>
        <v/>
      </c>
      <c r="K11" s="53">
        <f>E11*abroad_return*IF(OR($A11=1931,$A11=1932),abroad_slump,1)</f>
        <v/>
      </c>
      <c r="L11" s="69">
        <f>Champions!AZ11</f>
        <v/>
      </c>
      <c r="M11" s="53">
        <f>K11+L11</f>
        <v/>
      </c>
      <c r="N11" s="53">
        <f>M11*abroad_tax</f>
        <v/>
      </c>
      <c r="O11" s="69">
        <f>Labour!R11</f>
        <v/>
      </c>
      <c r="P11" s="47">
        <f>Economy!O11+M11-O11</f>
        <v/>
      </c>
      <c r="Q11" s="63">
        <f>M11/P11</f>
        <v/>
      </c>
      <c r="R11" s="63">
        <f>J11/Economy!O11</f>
        <v/>
      </c>
    </row>
    <row r="12">
      <c r="A12" s="58" t="n">
        <v>1852</v>
      </c>
      <c r="B12" s="59" t="n">
        <v>0.002</v>
      </c>
      <c r="C12" s="53">
        <f>Economy!O12*B12</f>
        <v/>
      </c>
      <c r="D12" s="53">
        <f>IF(AND($A12&gt;=1914,$A12&lt;=1918),entente_total*entente_private*CHOOSE($A12-1913,0.05,0.1333,0.2333,0.3,0.2834),0)</f>
        <v/>
      </c>
      <c r="E12" s="53">
        <f>H11</f>
        <v/>
      </c>
      <c r="F12" s="53">
        <f>E12*abroad_repat</f>
        <v/>
      </c>
      <c r="G12" s="53">
        <f>IF($A12=1918,russia_writeoff*entente_total*entente_private,0)+IF(OR($A12=1931,$A12=1932),E12*abroad_loss/2,0)</f>
        <v/>
      </c>
      <c r="H12" s="53">
        <f>E12+C12+D12-F12-G12</f>
        <v/>
      </c>
      <c r="I12" s="69">
        <f>Champions!AY12</f>
        <v/>
      </c>
      <c r="J12" s="53">
        <f>H12+I12</f>
        <v/>
      </c>
      <c r="K12" s="53">
        <f>E12*abroad_return*IF(OR($A12=1931,$A12=1932),abroad_slump,1)</f>
        <v/>
      </c>
      <c r="L12" s="69">
        <f>Champions!AZ12</f>
        <v/>
      </c>
      <c r="M12" s="53">
        <f>K12+L12</f>
        <v/>
      </c>
      <c r="N12" s="53">
        <f>M12*abroad_tax</f>
        <v/>
      </c>
      <c r="O12" s="69">
        <f>Labour!R12</f>
        <v/>
      </c>
      <c r="P12" s="47">
        <f>Economy!O12+M12-O12</f>
        <v/>
      </c>
      <c r="Q12" s="63">
        <f>M12/P12</f>
        <v/>
      </c>
      <c r="R12" s="63">
        <f>J12/Economy!O12</f>
        <v/>
      </c>
    </row>
    <row r="13">
      <c r="A13" s="58" t="n">
        <v>1853</v>
      </c>
      <c r="B13" s="59" t="n">
        <v>0.002</v>
      </c>
      <c r="C13" s="53">
        <f>Economy!O13*B13</f>
        <v/>
      </c>
      <c r="D13" s="53">
        <f>IF(AND($A13&gt;=1914,$A13&lt;=1918),entente_total*entente_private*CHOOSE($A13-1913,0.05,0.1333,0.2333,0.3,0.2834),0)</f>
        <v/>
      </c>
      <c r="E13" s="53">
        <f>H12</f>
        <v/>
      </c>
      <c r="F13" s="53">
        <f>E13*abroad_repat</f>
        <v/>
      </c>
      <c r="G13" s="53">
        <f>IF($A13=1918,russia_writeoff*entente_total*entente_private,0)+IF(OR($A13=1931,$A13=1932),E13*abroad_loss/2,0)</f>
        <v/>
      </c>
      <c r="H13" s="53">
        <f>E13+C13+D13-F13-G13</f>
        <v/>
      </c>
      <c r="I13" s="69">
        <f>Champions!AY13</f>
        <v/>
      </c>
      <c r="J13" s="53">
        <f>H13+I13</f>
        <v/>
      </c>
      <c r="K13" s="53">
        <f>E13*abroad_return*IF(OR($A13=1931,$A13=1932),abroad_slump,1)</f>
        <v/>
      </c>
      <c r="L13" s="69">
        <f>Champions!AZ13</f>
        <v/>
      </c>
      <c r="M13" s="53">
        <f>K13+L13</f>
        <v/>
      </c>
      <c r="N13" s="53">
        <f>M13*abroad_tax</f>
        <v/>
      </c>
      <c r="O13" s="69">
        <f>Labour!R13</f>
        <v/>
      </c>
      <c r="P13" s="47">
        <f>Economy!O13+M13-O13</f>
        <v/>
      </c>
      <c r="Q13" s="63">
        <f>M13/P13</f>
        <v/>
      </c>
      <c r="R13" s="63">
        <f>J13/Economy!O13</f>
        <v/>
      </c>
    </row>
    <row r="14">
      <c r="A14" s="58" t="n">
        <v>1854</v>
      </c>
      <c r="B14" s="59" t="n">
        <v>0.002</v>
      </c>
      <c r="C14" s="53">
        <f>Economy!O14*B14</f>
        <v/>
      </c>
      <c r="D14" s="53">
        <f>IF(AND($A14&gt;=1914,$A14&lt;=1918),entente_total*entente_private*CHOOSE($A14-1913,0.05,0.1333,0.2333,0.3,0.2834),0)</f>
        <v/>
      </c>
      <c r="E14" s="53">
        <f>H13</f>
        <v/>
      </c>
      <c r="F14" s="53">
        <f>E14*abroad_repat</f>
        <v/>
      </c>
      <c r="G14" s="53">
        <f>IF($A14=1918,russia_writeoff*entente_total*entente_private,0)+IF(OR($A14=1931,$A14=1932),E14*abroad_loss/2,0)</f>
        <v/>
      </c>
      <c r="H14" s="53">
        <f>E14+C14+D14-F14-G14</f>
        <v/>
      </c>
      <c r="I14" s="69">
        <f>Champions!AY14</f>
        <v/>
      </c>
      <c r="J14" s="53">
        <f>H14+I14</f>
        <v/>
      </c>
      <c r="K14" s="53">
        <f>E14*abroad_return*IF(OR($A14=1931,$A14=1932),abroad_slump,1)</f>
        <v/>
      </c>
      <c r="L14" s="69">
        <f>Champions!AZ14</f>
        <v/>
      </c>
      <c r="M14" s="53">
        <f>K14+L14</f>
        <v/>
      </c>
      <c r="N14" s="53">
        <f>M14*abroad_tax</f>
        <v/>
      </c>
      <c r="O14" s="69">
        <f>Labour!R14</f>
        <v/>
      </c>
      <c r="P14" s="47">
        <f>Economy!O14+M14-O14</f>
        <v/>
      </c>
      <c r="Q14" s="63">
        <f>M14/P14</f>
        <v/>
      </c>
      <c r="R14" s="63">
        <f>J14/Economy!O14</f>
        <v/>
      </c>
    </row>
    <row r="15">
      <c r="A15" s="58" t="n">
        <v>1855</v>
      </c>
      <c r="B15" s="59" t="n">
        <v>0.002</v>
      </c>
      <c r="C15" s="53">
        <f>Economy!O15*B15</f>
        <v/>
      </c>
      <c r="D15" s="53">
        <f>IF(AND($A15&gt;=1914,$A15&lt;=1918),entente_total*entente_private*CHOOSE($A15-1913,0.05,0.1333,0.2333,0.3,0.2834),0)</f>
        <v/>
      </c>
      <c r="E15" s="53">
        <f>H14</f>
        <v/>
      </c>
      <c r="F15" s="53">
        <f>E15*abroad_repat</f>
        <v/>
      </c>
      <c r="G15" s="53">
        <f>IF($A15=1918,russia_writeoff*entente_total*entente_private,0)+IF(OR($A15=1931,$A15=1932),E15*abroad_loss/2,0)</f>
        <v/>
      </c>
      <c r="H15" s="53">
        <f>E15+C15+D15-F15-G15</f>
        <v/>
      </c>
      <c r="I15" s="69">
        <f>Champions!AY15</f>
        <v/>
      </c>
      <c r="J15" s="53">
        <f>H15+I15</f>
        <v/>
      </c>
      <c r="K15" s="53">
        <f>E15*abroad_return*IF(OR($A15=1931,$A15=1932),abroad_slump,1)</f>
        <v/>
      </c>
      <c r="L15" s="69">
        <f>Champions!AZ15</f>
        <v/>
      </c>
      <c r="M15" s="53">
        <f>K15+L15</f>
        <v/>
      </c>
      <c r="N15" s="53">
        <f>M15*abroad_tax</f>
        <v/>
      </c>
      <c r="O15" s="69">
        <f>Labour!R15</f>
        <v/>
      </c>
      <c r="P15" s="47">
        <f>Economy!O15+M15-O15</f>
        <v/>
      </c>
      <c r="Q15" s="63">
        <f>M15/P15</f>
        <v/>
      </c>
      <c r="R15" s="63">
        <f>J15/Economy!O15</f>
        <v/>
      </c>
    </row>
    <row r="16">
      <c r="A16" s="58" t="n">
        <v>1856</v>
      </c>
      <c r="B16" s="59" t="n">
        <v>0.002</v>
      </c>
      <c r="C16" s="53">
        <f>Economy!O16*B16</f>
        <v/>
      </c>
      <c r="D16" s="53">
        <f>IF(AND($A16&gt;=1914,$A16&lt;=1918),entente_total*entente_private*CHOOSE($A16-1913,0.05,0.1333,0.2333,0.3,0.2834),0)</f>
        <v/>
      </c>
      <c r="E16" s="53">
        <f>H15</f>
        <v/>
      </c>
      <c r="F16" s="53">
        <f>E16*abroad_repat</f>
        <v/>
      </c>
      <c r="G16" s="53">
        <f>IF($A16=1918,russia_writeoff*entente_total*entente_private,0)+IF(OR($A16=1931,$A16=1932),E16*abroad_loss/2,0)</f>
        <v/>
      </c>
      <c r="H16" s="53">
        <f>E16+C16+D16-F16-G16</f>
        <v/>
      </c>
      <c r="I16" s="69">
        <f>Champions!AY16</f>
        <v/>
      </c>
      <c r="J16" s="53">
        <f>H16+I16</f>
        <v/>
      </c>
      <c r="K16" s="53">
        <f>E16*abroad_return*IF(OR($A16=1931,$A16=1932),abroad_slump,1)</f>
        <v/>
      </c>
      <c r="L16" s="69">
        <f>Champions!AZ16</f>
        <v/>
      </c>
      <c r="M16" s="53">
        <f>K16+L16</f>
        <v/>
      </c>
      <c r="N16" s="53">
        <f>M16*abroad_tax</f>
        <v/>
      </c>
      <c r="O16" s="69">
        <f>Labour!R16</f>
        <v/>
      </c>
      <c r="P16" s="47">
        <f>Economy!O16+M16-O16</f>
        <v/>
      </c>
      <c r="Q16" s="63">
        <f>M16/P16</f>
        <v/>
      </c>
      <c r="R16" s="63">
        <f>J16/Economy!O16</f>
        <v/>
      </c>
    </row>
    <row r="17">
      <c r="A17" s="58" t="n">
        <v>1857</v>
      </c>
      <c r="B17" s="59" t="n">
        <v>0.002</v>
      </c>
      <c r="C17" s="53">
        <f>Economy!O17*B17</f>
        <v/>
      </c>
      <c r="D17" s="53">
        <f>IF(AND($A17&gt;=1914,$A17&lt;=1918),entente_total*entente_private*CHOOSE($A17-1913,0.05,0.1333,0.2333,0.3,0.2834),0)</f>
        <v/>
      </c>
      <c r="E17" s="53">
        <f>H16</f>
        <v/>
      </c>
      <c r="F17" s="53">
        <f>E17*abroad_repat</f>
        <v/>
      </c>
      <c r="G17" s="53">
        <f>IF($A17=1918,russia_writeoff*entente_total*entente_private,0)+IF(OR($A17=1931,$A17=1932),E17*abroad_loss/2,0)</f>
        <v/>
      </c>
      <c r="H17" s="53">
        <f>E17+C17+D17-F17-G17</f>
        <v/>
      </c>
      <c r="I17" s="69">
        <f>Champions!AY17</f>
        <v/>
      </c>
      <c r="J17" s="53">
        <f>H17+I17</f>
        <v/>
      </c>
      <c r="K17" s="53">
        <f>E17*abroad_return*IF(OR($A17=1931,$A17=1932),abroad_slump,1)</f>
        <v/>
      </c>
      <c r="L17" s="69">
        <f>Champions!AZ17</f>
        <v/>
      </c>
      <c r="M17" s="53">
        <f>K17+L17</f>
        <v/>
      </c>
      <c r="N17" s="53">
        <f>M17*abroad_tax</f>
        <v/>
      </c>
      <c r="O17" s="69">
        <f>Labour!R17</f>
        <v/>
      </c>
      <c r="P17" s="47">
        <f>Economy!O17+M17-O17</f>
        <v/>
      </c>
      <c r="Q17" s="63">
        <f>M17/P17</f>
        <v/>
      </c>
      <c r="R17" s="63">
        <f>J17/Economy!O17</f>
        <v/>
      </c>
    </row>
    <row r="18">
      <c r="A18" s="58" t="n">
        <v>1858</v>
      </c>
      <c r="B18" s="59" t="n">
        <v>0.002</v>
      </c>
      <c r="C18" s="53">
        <f>Economy!O18*B18</f>
        <v/>
      </c>
      <c r="D18" s="53">
        <f>IF(AND($A18&gt;=1914,$A18&lt;=1918),entente_total*entente_private*CHOOSE($A18-1913,0.05,0.1333,0.2333,0.3,0.2834),0)</f>
        <v/>
      </c>
      <c r="E18" s="53">
        <f>H17</f>
        <v/>
      </c>
      <c r="F18" s="53">
        <f>E18*abroad_repat</f>
        <v/>
      </c>
      <c r="G18" s="53">
        <f>IF($A18=1918,russia_writeoff*entente_total*entente_private,0)+IF(OR($A18=1931,$A18=1932),E18*abroad_loss/2,0)</f>
        <v/>
      </c>
      <c r="H18" s="53">
        <f>E18+C18+D18-F18-G18</f>
        <v/>
      </c>
      <c r="I18" s="69">
        <f>Champions!AY18</f>
        <v/>
      </c>
      <c r="J18" s="53">
        <f>H18+I18</f>
        <v/>
      </c>
      <c r="K18" s="53">
        <f>E18*abroad_return*IF(OR($A18=1931,$A18=1932),abroad_slump,1)</f>
        <v/>
      </c>
      <c r="L18" s="69">
        <f>Champions!AZ18</f>
        <v/>
      </c>
      <c r="M18" s="53">
        <f>K18+L18</f>
        <v/>
      </c>
      <c r="N18" s="53">
        <f>M18*abroad_tax</f>
        <v/>
      </c>
      <c r="O18" s="69">
        <f>Labour!R18</f>
        <v/>
      </c>
      <c r="P18" s="47">
        <f>Economy!O18+M18-O18</f>
        <v/>
      </c>
      <c r="Q18" s="63">
        <f>M18/P18</f>
        <v/>
      </c>
      <c r="R18" s="63">
        <f>J18/Economy!O18</f>
        <v/>
      </c>
    </row>
    <row r="19">
      <c r="A19" s="58" t="n">
        <v>1859</v>
      </c>
      <c r="B19" s="59" t="n">
        <v>0.002</v>
      </c>
      <c r="C19" s="53">
        <f>Economy!O19*B19</f>
        <v/>
      </c>
      <c r="D19" s="53">
        <f>IF(AND($A19&gt;=1914,$A19&lt;=1918),entente_total*entente_private*CHOOSE($A19-1913,0.05,0.1333,0.2333,0.3,0.2834),0)</f>
        <v/>
      </c>
      <c r="E19" s="53">
        <f>H18</f>
        <v/>
      </c>
      <c r="F19" s="53">
        <f>E19*abroad_repat</f>
        <v/>
      </c>
      <c r="G19" s="53">
        <f>IF($A19=1918,russia_writeoff*entente_total*entente_private,0)+IF(OR($A19=1931,$A19=1932),E19*abroad_loss/2,0)</f>
        <v/>
      </c>
      <c r="H19" s="53">
        <f>E19+C19+D19-F19-G19</f>
        <v/>
      </c>
      <c r="I19" s="69">
        <f>Champions!AY19</f>
        <v/>
      </c>
      <c r="J19" s="53">
        <f>H19+I19</f>
        <v/>
      </c>
      <c r="K19" s="53">
        <f>E19*abroad_return*IF(OR($A19=1931,$A19=1932),abroad_slump,1)</f>
        <v/>
      </c>
      <c r="L19" s="69">
        <f>Champions!AZ19</f>
        <v/>
      </c>
      <c r="M19" s="53">
        <f>K19+L19</f>
        <v/>
      </c>
      <c r="N19" s="53">
        <f>M19*abroad_tax</f>
        <v/>
      </c>
      <c r="O19" s="69">
        <f>Labour!R19</f>
        <v/>
      </c>
      <c r="P19" s="47">
        <f>Economy!O19+M19-O19</f>
        <v/>
      </c>
      <c r="Q19" s="63">
        <f>M19/P19</f>
        <v/>
      </c>
      <c r="R19" s="63">
        <f>J19/Economy!O19</f>
        <v/>
      </c>
    </row>
    <row r="20">
      <c r="A20" s="58" t="n">
        <v>1860</v>
      </c>
      <c r="B20" s="59" t="n">
        <v>0.002</v>
      </c>
      <c r="C20" s="53">
        <f>Economy!O20*B20</f>
        <v/>
      </c>
      <c r="D20" s="53">
        <f>IF(AND($A20&gt;=1914,$A20&lt;=1918),entente_total*entente_private*CHOOSE($A20-1913,0.05,0.1333,0.2333,0.3,0.2834),0)</f>
        <v/>
      </c>
      <c r="E20" s="53">
        <f>H19</f>
        <v/>
      </c>
      <c r="F20" s="53">
        <f>E20*abroad_repat</f>
        <v/>
      </c>
      <c r="G20" s="53">
        <f>IF($A20=1918,russia_writeoff*entente_total*entente_private,0)+IF(OR($A20=1931,$A20=1932),E20*abroad_loss/2,0)</f>
        <v/>
      </c>
      <c r="H20" s="53">
        <f>E20+C20+D20-F20-G20</f>
        <v/>
      </c>
      <c r="I20" s="69">
        <f>Champions!AY20</f>
        <v/>
      </c>
      <c r="J20" s="53">
        <f>H20+I20</f>
        <v/>
      </c>
      <c r="K20" s="53">
        <f>E20*abroad_return*IF(OR($A20=1931,$A20=1932),abroad_slump,1)</f>
        <v/>
      </c>
      <c r="L20" s="69">
        <f>Champions!AZ20</f>
        <v/>
      </c>
      <c r="M20" s="53">
        <f>K20+L20</f>
        <v/>
      </c>
      <c r="N20" s="53">
        <f>M20*abroad_tax</f>
        <v/>
      </c>
      <c r="O20" s="69">
        <f>Labour!R20</f>
        <v/>
      </c>
      <c r="P20" s="47">
        <f>Economy!O20+M20-O20</f>
        <v/>
      </c>
      <c r="Q20" s="63">
        <f>M20/P20</f>
        <v/>
      </c>
      <c r="R20" s="63">
        <f>J20/Economy!O20</f>
        <v/>
      </c>
    </row>
    <row r="21">
      <c r="A21" s="61" t="n">
        <v>1861</v>
      </c>
      <c r="B21" s="59" t="n">
        <v>0.002</v>
      </c>
      <c r="C21" s="53">
        <f>Economy!O21*B21</f>
        <v/>
      </c>
      <c r="D21" s="53">
        <f>IF(AND($A21&gt;=1914,$A21&lt;=1918),entente_total*entente_private*CHOOSE($A21-1913,0.05,0.1333,0.2333,0.3,0.2834),0)</f>
        <v/>
      </c>
      <c r="E21" s="53">
        <f>H20</f>
        <v/>
      </c>
      <c r="F21" s="53">
        <f>E21*abroad_repat</f>
        <v/>
      </c>
      <c r="G21" s="53">
        <f>IF($A21=1918,russia_writeoff*entente_total*entente_private,0)+IF(OR($A21=1931,$A21=1932),E21*abroad_loss/2,0)</f>
        <v/>
      </c>
      <c r="H21" s="53">
        <f>E21+C21+D21-F21-G21</f>
        <v/>
      </c>
      <c r="I21" s="69">
        <f>Champions!AY21</f>
        <v/>
      </c>
      <c r="J21" s="53">
        <f>H21+I21</f>
        <v/>
      </c>
      <c r="K21" s="53">
        <f>E21*abroad_return*IF(OR($A21=1931,$A21=1932),abroad_slump,1)</f>
        <v/>
      </c>
      <c r="L21" s="69">
        <f>Champions!AZ21</f>
        <v/>
      </c>
      <c r="M21" s="53">
        <f>K21+L21</f>
        <v/>
      </c>
      <c r="N21" s="53">
        <f>M21*abroad_tax</f>
        <v/>
      </c>
      <c r="O21" s="69">
        <f>Labour!R21</f>
        <v/>
      </c>
      <c r="P21" s="47">
        <f>Economy!O21+M21-O21</f>
        <v/>
      </c>
      <c r="Q21" s="63">
        <f>M21/P21</f>
        <v/>
      </c>
      <c r="R21" s="63">
        <f>J21/Economy!O21</f>
        <v/>
      </c>
    </row>
    <row r="22">
      <c r="A22" s="61" t="n">
        <v>1862</v>
      </c>
      <c r="B22" s="59" t="n">
        <v>0.002</v>
      </c>
      <c r="C22" s="53">
        <f>Economy!O22*B22</f>
        <v/>
      </c>
      <c r="D22" s="53">
        <f>IF(AND($A22&gt;=1914,$A22&lt;=1918),entente_total*entente_private*CHOOSE($A22-1913,0.05,0.1333,0.2333,0.3,0.2834),0)</f>
        <v/>
      </c>
      <c r="E22" s="53">
        <f>H21</f>
        <v/>
      </c>
      <c r="F22" s="53">
        <f>E22*abroad_repat</f>
        <v/>
      </c>
      <c r="G22" s="53">
        <f>IF($A22=1918,russia_writeoff*entente_total*entente_private,0)+IF(OR($A22=1931,$A22=1932),E22*abroad_loss/2,0)</f>
        <v/>
      </c>
      <c r="H22" s="53">
        <f>E22+C22+D22-F22-G22</f>
        <v/>
      </c>
      <c r="I22" s="69">
        <f>Champions!AY22</f>
        <v/>
      </c>
      <c r="J22" s="53">
        <f>H22+I22</f>
        <v/>
      </c>
      <c r="K22" s="53">
        <f>E22*abroad_return*IF(OR($A22=1931,$A22=1932),abroad_slump,1)</f>
        <v/>
      </c>
      <c r="L22" s="69">
        <f>Champions!AZ22</f>
        <v/>
      </c>
      <c r="M22" s="53">
        <f>K22+L22</f>
        <v/>
      </c>
      <c r="N22" s="53">
        <f>M22*abroad_tax</f>
        <v/>
      </c>
      <c r="O22" s="69">
        <f>Labour!R22</f>
        <v/>
      </c>
      <c r="P22" s="47">
        <f>Economy!O22+M22-O22</f>
        <v/>
      </c>
      <c r="Q22" s="63">
        <f>M22/P22</f>
        <v/>
      </c>
      <c r="R22" s="63">
        <f>J22/Economy!O22</f>
        <v/>
      </c>
    </row>
    <row r="23">
      <c r="A23" s="61" t="n">
        <v>1863</v>
      </c>
      <c r="B23" s="59" t="n">
        <v>0.002</v>
      </c>
      <c r="C23" s="53">
        <f>Economy!O23*B23</f>
        <v/>
      </c>
      <c r="D23" s="53">
        <f>IF(AND($A23&gt;=1914,$A23&lt;=1918),entente_total*entente_private*CHOOSE($A23-1913,0.05,0.1333,0.2333,0.3,0.2834),0)</f>
        <v/>
      </c>
      <c r="E23" s="53">
        <f>H22</f>
        <v/>
      </c>
      <c r="F23" s="53">
        <f>E23*abroad_repat</f>
        <v/>
      </c>
      <c r="G23" s="53">
        <f>IF($A23=1918,russia_writeoff*entente_total*entente_private,0)+IF(OR($A23=1931,$A23=1932),E23*abroad_loss/2,0)</f>
        <v/>
      </c>
      <c r="H23" s="53">
        <f>E23+C23+D23-F23-G23</f>
        <v/>
      </c>
      <c r="I23" s="69">
        <f>Champions!AY23</f>
        <v/>
      </c>
      <c r="J23" s="53">
        <f>H23+I23</f>
        <v/>
      </c>
      <c r="K23" s="53">
        <f>E23*abroad_return*IF(OR($A23=1931,$A23=1932),abroad_slump,1)</f>
        <v/>
      </c>
      <c r="L23" s="69">
        <f>Champions!AZ23</f>
        <v/>
      </c>
      <c r="M23" s="53">
        <f>K23+L23</f>
        <v/>
      </c>
      <c r="N23" s="53">
        <f>M23*abroad_tax</f>
        <v/>
      </c>
      <c r="O23" s="69">
        <f>Labour!R23</f>
        <v/>
      </c>
      <c r="P23" s="47">
        <f>Economy!O23+M23-O23</f>
        <v/>
      </c>
      <c r="Q23" s="63">
        <f>M23/P23</f>
        <v/>
      </c>
      <c r="R23" s="63">
        <f>J23/Economy!O23</f>
        <v/>
      </c>
    </row>
    <row r="24">
      <c r="A24" s="61" t="n">
        <v>1864</v>
      </c>
      <c r="B24" s="59" t="n">
        <v>0.002</v>
      </c>
      <c r="C24" s="53">
        <f>Economy!O24*B24</f>
        <v/>
      </c>
      <c r="D24" s="53">
        <f>IF(AND($A24&gt;=1914,$A24&lt;=1918),entente_total*entente_private*CHOOSE($A24-1913,0.05,0.1333,0.2333,0.3,0.2834),0)</f>
        <v/>
      </c>
      <c r="E24" s="53">
        <f>H23</f>
        <v/>
      </c>
      <c r="F24" s="53">
        <f>E24*abroad_repat</f>
        <v/>
      </c>
      <c r="G24" s="53">
        <f>IF($A24=1918,russia_writeoff*entente_total*entente_private,0)+IF(OR($A24=1931,$A24=1932),E24*abroad_loss/2,0)</f>
        <v/>
      </c>
      <c r="H24" s="53">
        <f>E24+C24+D24-F24-G24</f>
        <v/>
      </c>
      <c r="I24" s="69">
        <f>Champions!AY24</f>
        <v/>
      </c>
      <c r="J24" s="53">
        <f>H24+I24</f>
        <v/>
      </c>
      <c r="K24" s="53">
        <f>E24*abroad_return*IF(OR($A24=1931,$A24=1932),abroad_slump,1)</f>
        <v/>
      </c>
      <c r="L24" s="69">
        <f>Champions!AZ24</f>
        <v/>
      </c>
      <c r="M24" s="53">
        <f>K24+L24</f>
        <v/>
      </c>
      <c r="N24" s="53">
        <f>M24*abroad_tax</f>
        <v/>
      </c>
      <c r="O24" s="69">
        <f>Labour!R24</f>
        <v/>
      </c>
      <c r="P24" s="47">
        <f>Economy!O24+M24-O24</f>
        <v/>
      </c>
      <c r="Q24" s="63">
        <f>M24/P24</f>
        <v/>
      </c>
      <c r="R24" s="63">
        <f>J24/Economy!O24</f>
        <v/>
      </c>
    </row>
    <row r="25">
      <c r="A25" s="61" t="n">
        <v>1865</v>
      </c>
      <c r="B25" s="59" t="n">
        <v>0.002</v>
      </c>
      <c r="C25" s="53">
        <f>Economy!O25*B25</f>
        <v/>
      </c>
      <c r="D25" s="53">
        <f>IF(AND($A25&gt;=1914,$A25&lt;=1918),entente_total*entente_private*CHOOSE($A25-1913,0.05,0.1333,0.2333,0.3,0.2834),0)</f>
        <v/>
      </c>
      <c r="E25" s="53">
        <f>H24</f>
        <v/>
      </c>
      <c r="F25" s="53">
        <f>E25*abroad_repat</f>
        <v/>
      </c>
      <c r="G25" s="53">
        <f>IF($A25=1918,russia_writeoff*entente_total*entente_private,0)+IF(OR($A25=1931,$A25=1932),E25*abroad_loss/2,0)</f>
        <v/>
      </c>
      <c r="H25" s="53">
        <f>E25+C25+D25-F25-G25</f>
        <v/>
      </c>
      <c r="I25" s="69">
        <f>Champions!AY25</f>
        <v/>
      </c>
      <c r="J25" s="53">
        <f>H25+I25</f>
        <v/>
      </c>
      <c r="K25" s="53">
        <f>E25*abroad_return*IF(OR($A25=1931,$A25=1932),abroad_slump,1)</f>
        <v/>
      </c>
      <c r="L25" s="69">
        <f>Champions!AZ25</f>
        <v/>
      </c>
      <c r="M25" s="53">
        <f>K25+L25</f>
        <v/>
      </c>
      <c r="N25" s="53">
        <f>M25*abroad_tax</f>
        <v/>
      </c>
      <c r="O25" s="69">
        <f>Labour!R25</f>
        <v/>
      </c>
      <c r="P25" s="47">
        <f>Economy!O25+M25-O25</f>
        <v/>
      </c>
      <c r="Q25" s="63">
        <f>M25/P25</f>
        <v/>
      </c>
      <c r="R25" s="63">
        <f>J25/Economy!O25</f>
        <v/>
      </c>
    </row>
    <row r="26">
      <c r="A26" s="58" t="n">
        <v>1866</v>
      </c>
      <c r="B26" s="59" t="n">
        <v>0.002</v>
      </c>
      <c r="C26" s="53">
        <f>Economy!O26*B26</f>
        <v/>
      </c>
      <c r="D26" s="53">
        <f>IF(AND($A26&gt;=1914,$A26&lt;=1918),entente_total*entente_private*CHOOSE($A26-1913,0.05,0.1333,0.2333,0.3,0.2834),0)</f>
        <v/>
      </c>
      <c r="E26" s="53">
        <f>H25</f>
        <v/>
      </c>
      <c r="F26" s="53">
        <f>E26*abroad_repat</f>
        <v/>
      </c>
      <c r="G26" s="53">
        <f>IF($A26=1918,russia_writeoff*entente_total*entente_private,0)+IF(OR($A26=1931,$A26=1932),E26*abroad_loss/2,0)</f>
        <v/>
      </c>
      <c r="H26" s="53">
        <f>E26+C26+D26-F26-G26</f>
        <v/>
      </c>
      <c r="I26" s="69">
        <f>Champions!AY26</f>
        <v/>
      </c>
      <c r="J26" s="53">
        <f>H26+I26</f>
        <v/>
      </c>
      <c r="K26" s="53">
        <f>E26*abroad_return*IF(OR($A26=1931,$A26=1932),abroad_slump,1)</f>
        <v/>
      </c>
      <c r="L26" s="69">
        <f>Champions!AZ26</f>
        <v/>
      </c>
      <c r="M26" s="53">
        <f>K26+L26</f>
        <v/>
      </c>
      <c r="N26" s="53">
        <f>M26*abroad_tax</f>
        <v/>
      </c>
      <c r="O26" s="69">
        <f>Labour!R26</f>
        <v/>
      </c>
      <c r="P26" s="47">
        <f>Economy!O26+M26-O26</f>
        <v/>
      </c>
      <c r="Q26" s="63">
        <f>M26/P26</f>
        <v/>
      </c>
      <c r="R26" s="63">
        <f>J26/Economy!O26</f>
        <v/>
      </c>
    </row>
    <row r="27">
      <c r="A27" s="58" t="n">
        <v>1867</v>
      </c>
      <c r="B27" s="59" t="n">
        <v>0.002</v>
      </c>
      <c r="C27" s="53">
        <f>Economy!O27*B27</f>
        <v/>
      </c>
      <c r="D27" s="53">
        <f>IF(AND($A27&gt;=1914,$A27&lt;=1918),entente_total*entente_private*CHOOSE($A27-1913,0.05,0.1333,0.2333,0.3,0.2834),0)</f>
        <v/>
      </c>
      <c r="E27" s="53">
        <f>H26</f>
        <v/>
      </c>
      <c r="F27" s="53">
        <f>E27*abroad_repat</f>
        <v/>
      </c>
      <c r="G27" s="53">
        <f>IF($A27=1918,russia_writeoff*entente_total*entente_private,0)+IF(OR($A27=1931,$A27=1932),E27*abroad_loss/2,0)</f>
        <v/>
      </c>
      <c r="H27" s="53">
        <f>E27+C27+D27-F27-G27</f>
        <v/>
      </c>
      <c r="I27" s="69">
        <f>Champions!AY27</f>
        <v/>
      </c>
      <c r="J27" s="53">
        <f>H27+I27</f>
        <v/>
      </c>
      <c r="K27" s="53">
        <f>E27*abroad_return*IF(OR($A27=1931,$A27=1932),abroad_slump,1)</f>
        <v/>
      </c>
      <c r="L27" s="69">
        <f>Champions!AZ27</f>
        <v/>
      </c>
      <c r="M27" s="53">
        <f>K27+L27</f>
        <v/>
      </c>
      <c r="N27" s="53">
        <f>M27*abroad_tax</f>
        <v/>
      </c>
      <c r="O27" s="69">
        <f>Labour!R27</f>
        <v/>
      </c>
      <c r="P27" s="47">
        <f>Economy!O27+M27-O27</f>
        <v/>
      </c>
      <c r="Q27" s="63">
        <f>M27/P27</f>
        <v/>
      </c>
      <c r="R27" s="63">
        <f>J27/Economy!O27</f>
        <v/>
      </c>
    </row>
    <row r="28">
      <c r="A28" s="58" t="n">
        <v>1868</v>
      </c>
      <c r="B28" s="59" t="n">
        <v>0.002</v>
      </c>
      <c r="C28" s="53">
        <f>Economy!O28*B28</f>
        <v/>
      </c>
      <c r="D28" s="53">
        <f>IF(AND($A28&gt;=1914,$A28&lt;=1918),entente_total*entente_private*CHOOSE($A28-1913,0.05,0.1333,0.2333,0.3,0.2834),0)</f>
        <v/>
      </c>
      <c r="E28" s="53">
        <f>H27</f>
        <v/>
      </c>
      <c r="F28" s="53">
        <f>E28*abroad_repat</f>
        <v/>
      </c>
      <c r="G28" s="53">
        <f>IF($A28=1918,russia_writeoff*entente_total*entente_private,0)+IF(OR($A28=1931,$A28=1932),E28*abroad_loss/2,0)</f>
        <v/>
      </c>
      <c r="H28" s="53">
        <f>E28+C28+D28-F28-G28</f>
        <v/>
      </c>
      <c r="I28" s="69">
        <f>Champions!AY28</f>
        <v/>
      </c>
      <c r="J28" s="53">
        <f>H28+I28</f>
        <v/>
      </c>
      <c r="K28" s="53">
        <f>E28*abroad_return*IF(OR($A28=1931,$A28=1932),abroad_slump,1)</f>
        <v/>
      </c>
      <c r="L28" s="69">
        <f>Champions!AZ28</f>
        <v/>
      </c>
      <c r="M28" s="53">
        <f>K28+L28</f>
        <v/>
      </c>
      <c r="N28" s="53">
        <f>M28*abroad_tax</f>
        <v/>
      </c>
      <c r="O28" s="69">
        <f>Labour!R28</f>
        <v/>
      </c>
      <c r="P28" s="47">
        <f>Economy!O28+M28-O28</f>
        <v/>
      </c>
      <c r="Q28" s="63">
        <f>M28/P28</f>
        <v/>
      </c>
      <c r="R28" s="63">
        <f>J28/Economy!O28</f>
        <v/>
      </c>
    </row>
    <row r="29">
      <c r="A29" s="58" t="n">
        <v>1869</v>
      </c>
      <c r="B29" s="59" t="n">
        <v>0.002</v>
      </c>
      <c r="C29" s="53">
        <f>Economy!O29*B29</f>
        <v/>
      </c>
      <c r="D29" s="53">
        <f>IF(AND($A29&gt;=1914,$A29&lt;=1918),entente_total*entente_private*CHOOSE($A29-1913,0.05,0.1333,0.2333,0.3,0.2834),0)</f>
        <v/>
      </c>
      <c r="E29" s="53">
        <f>H28</f>
        <v/>
      </c>
      <c r="F29" s="53">
        <f>E29*abroad_repat</f>
        <v/>
      </c>
      <c r="G29" s="53">
        <f>IF($A29=1918,russia_writeoff*entente_total*entente_private,0)+IF(OR($A29=1931,$A29=1932),E29*abroad_loss/2,0)</f>
        <v/>
      </c>
      <c r="H29" s="53">
        <f>E29+C29+D29-F29-G29</f>
        <v/>
      </c>
      <c r="I29" s="69">
        <f>Champions!AY29</f>
        <v/>
      </c>
      <c r="J29" s="53">
        <f>H29+I29</f>
        <v/>
      </c>
      <c r="K29" s="53">
        <f>E29*abroad_return*IF(OR($A29=1931,$A29=1932),abroad_slump,1)</f>
        <v/>
      </c>
      <c r="L29" s="69">
        <f>Champions!AZ29</f>
        <v/>
      </c>
      <c r="M29" s="53">
        <f>K29+L29</f>
        <v/>
      </c>
      <c r="N29" s="53">
        <f>M29*abroad_tax</f>
        <v/>
      </c>
      <c r="O29" s="69">
        <f>Labour!R29</f>
        <v/>
      </c>
      <c r="P29" s="47">
        <f>Economy!O29+M29-O29</f>
        <v/>
      </c>
      <c r="Q29" s="63">
        <f>M29/P29</f>
        <v/>
      </c>
      <c r="R29" s="63">
        <f>J29/Economy!O29</f>
        <v/>
      </c>
    </row>
    <row r="30">
      <c r="A30" s="61" t="n">
        <v>1870</v>
      </c>
      <c r="B30" s="59" t="n">
        <v>0.006</v>
      </c>
      <c r="C30" s="53">
        <f>Economy!O30*B30</f>
        <v/>
      </c>
      <c r="D30" s="53">
        <f>IF(AND($A30&gt;=1914,$A30&lt;=1918),entente_total*entente_private*CHOOSE($A30-1913,0.05,0.1333,0.2333,0.3,0.2834),0)</f>
        <v/>
      </c>
      <c r="E30" s="53">
        <f>H29</f>
        <v/>
      </c>
      <c r="F30" s="53">
        <f>E30*abroad_repat</f>
        <v/>
      </c>
      <c r="G30" s="53">
        <f>IF($A30=1918,russia_writeoff*entente_total*entente_private,0)+IF(OR($A30=1931,$A30=1932),E30*abroad_loss/2,0)</f>
        <v/>
      </c>
      <c r="H30" s="53">
        <f>E30+C30+D30-F30-G30</f>
        <v/>
      </c>
      <c r="I30" s="69">
        <f>Champions!AY30</f>
        <v/>
      </c>
      <c r="J30" s="53">
        <f>H30+I30</f>
        <v/>
      </c>
      <c r="K30" s="53">
        <f>E30*abroad_return*IF(OR($A30=1931,$A30=1932),abroad_slump,1)</f>
        <v/>
      </c>
      <c r="L30" s="69">
        <f>Champions!AZ30</f>
        <v/>
      </c>
      <c r="M30" s="53">
        <f>K30+L30</f>
        <v/>
      </c>
      <c r="N30" s="53">
        <f>M30*abroad_tax</f>
        <v/>
      </c>
      <c r="O30" s="69">
        <f>Labour!R30</f>
        <v/>
      </c>
      <c r="P30" s="47">
        <f>Economy!O30+M30-O30</f>
        <v/>
      </c>
      <c r="Q30" s="63">
        <f>M30/P30</f>
        <v/>
      </c>
      <c r="R30" s="63">
        <f>J30/Economy!O30</f>
        <v/>
      </c>
    </row>
    <row r="31">
      <c r="A31" s="61" t="n">
        <v>1871</v>
      </c>
      <c r="B31" s="59" t="n">
        <v>0.006</v>
      </c>
      <c r="C31" s="53">
        <f>Economy!O31*B31</f>
        <v/>
      </c>
      <c r="D31" s="53">
        <f>IF(AND($A31&gt;=1914,$A31&lt;=1918),entente_total*entente_private*CHOOSE($A31-1913,0.05,0.1333,0.2333,0.3,0.2834),0)</f>
        <v/>
      </c>
      <c r="E31" s="53">
        <f>H30</f>
        <v/>
      </c>
      <c r="F31" s="53">
        <f>E31*abroad_repat</f>
        <v/>
      </c>
      <c r="G31" s="53">
        <f>IF($A31=1918,russia_writeoff*entente_total*entente_private,0)+IF(OR($A31=1931,$A31=1932),E31*abroad_loss/2,0)</f>
        <v/>
      </c>
      <c r="H31" s="53">
        <f>E31+C31+D31-F31-G31</f>
        <v/>
      </c>
      <c r="I31" s="69">
        <f>Champions!AY31</f>
        <v/>
      </c>
      <c r="J31" s="53">
        <f>H31+I31</f>
        <v/>
      </c>
      <c r="K31" s="53">
        <f>E31*abroad_return*IF(OR($A31=1931,$A31=1932),abroad_slump,1)</f>
        <v/>
      </c>
      <c r="L31" s="69">
        <f>Champions!AZ31</f>
        <v/>
      </c>
      <c r="M31" s="53">
        <f>K31+L31</f>
        <v/>
      </c>
      <c r="N31" s="53">
        <f>M31*abroad_tax</f>
        <v/>
      </c>
      <c r="O31" s="69">
        <f>Labour!R31</f>
        <v/>
      </c>
      <c r="P31" s="47">
        <f>Economy!O31+M31-O31</f>
        <v/>
      </c>
      <c r="Q31" s="63">
        <f>M31/P31</f>
        <v/>
      </c>
      <c r="R31" s="63">
        <f>J31/Economy!O31</f>
        <v/>
      </c>
    </row>
    <row r="32">
      <c r="A32" s="58" t="n">
        <v>1872</v>
      </c>
      <c r="B32" s="59" t="n">
        <v>0.006</v>
      </c>
      <c r="C32" s="53">
        <f>Economy!O32*B32</f>
        <v/>
      </c>
      <c r="D32" s="53">
        <f>IF(AND($A32&gt;=1914,$A32&lt;=1918),entente_total*entente_private*CHOOSE($A32-1913,0.05,0.1333,0.2333,0.3,0.2834),0)</f>
        <v/>
      </c>
      <c r="E32" s="53">
        <f>H31</f>
        <v/>
      </c>
      <c r="F32" s="53">
        <f>E32*abroad_repat</f>
        <v/>
      </c>
      <c r="G32" s="53">
        <f>IF($A32=1918,russia_writeoff*entente_total*entente_private,0)+IF(OR($A32=1931,$A32=1932),E32*abroad_loss/2,0)</f>
        <v/>
      </c>
      <c r="H32" s="53">
        <f>E32+C32+D32-F32-G32</f>
        <v/>
      </c>
      <c r="I32" s="69">
        <f>Champions!AY32</f>
        <v/>
      </c>
      <c r="J32" s="53">
        <f>H32+I32</f>
        <v/>
      </c>
      <c r="K32" s="53">
        <f>E32*abroad_return*IF(OR($A32=1931,$A32=1932),abroad_slump,1)</f>
        <v/>
      </c>
      <c r="L32" s="69">
        <f>Champions!AZ32</f>
        <v/>
      </c>
      <c r="M32" s="53">
        <f>K32+L32</f>
        <v/>
      </c>
      <c r="N32" s="53">
        <f>M32*abroad_tax</f>
        <v/>
      </c>
      <c r="O32" s="69">
        <f>Labour!R32</f>
        <v/>
      </c>
      <c r="P32" s="47">
        <f>Economy!O32+M32-O32</f>
        <v/>
      </c>
      <c r="Q32" s="63">
        <f>M32/P32</f>
        <v/>
      </c>
      <c r="R32" s="63">
        <f>J32/Economy!O32</f>
        <v/>
      </c>
    </row>
    <row r="33">
      <c r="A33" s="58" t="n">
        <v>1873</v>
      </c>
      <c r="B33" s="59" t="n">
        <v>0.006</v>
      </c>
      <c r="C33" s="53">
        <f>Economy!O33*B33</f>
        <v/>
      </c>
      <c r="D33" s="53">
        <f>IF(AND($A33&gt;=1914,$A33&lt;=1918),entente_total*entente_private*CHOOSE($A33-1913,0.05,0.1333,0.2333,0.3,0.2834),0)</f>
        <v/>
      </c>
      <c r="E33" s="53">
        <f>H32</f>
        <v/>
      </c>
      <c r="F33" s="53">
        <f>E33*abroad_repat</f>
        <v/>
      </c>
      <c r="G33" s="53">
        <f>IF($A33=1918,russia_writeoff*entente_total*entente_private,0)+IF(OR($A33=1931,$A33=1932),E33*abroad_loss/2,0)</f>
        <v/>
      </c>
      <c r="H33" s="53">
        <f>E33+C33+D33-F33-G33</f>
        <v/>
      </c>
      <c r="I33" s="69">
        <f>Champions!AY33</f>
        <v/>
      </c>
      <c r="J33" s="53">
        <f>H33+I33</f>
        <v/>
      </c>
      <c r="K33" s="53">
        <f>E33*abroad_return*IF(OR($A33=1931,$A33=1932),abroad_slump,1)</f>
        <v/>
      </c>
      <c r="L33" s="69">
        <f>Champions!AZ33</f>
        <v/>
      </c>
      <c r="M33" s="53">
        <f>K33+L33</f>
        <v/>
      </c>
      <c r="N33" s="53">
        <f>M33*abroad_tax</f>
        <v/>
      </c>
      <c r="O33" s="69">
        <f>Labour!R33</f>
        <v/>
      </c>
      <c r="P33" s="47">
        <f>Economy!O33+M33-O33</f>
        <v/>
      </c>
      <c r="Q33" s="63">
        <f>M33/P33</f>
        <v/>
      </c>
      <c r="R33" s="63">
        <f>J33/Economy!O33</f>
        <v/>
      </c>
    </row>
    <row r="34">
      <c r="A34" s="58" t="n">
        <v>1874</v>
      </c>
      <c r="B34" s="59" t="n">
        <v>0.006</v>
      </c>
      <c r="C34" s="53">
        <f>Economy!O34*B34</f>
        <v/>
      </c>
      <c r="D34" s="53">
        <f>IF(AND($A34&gt;=1914,$A34&lt;=1918),entente_total*entente_private*CHOOSE($A34-1913,0.05,0.1333,0.2333,0.3,0.2834),0)</f>
        <v/>
      </c>
      <c r="E34" s="53">
        <f>H33</f>
        <v/>
      </c>
      <c r="F34" s="53">
        <f>E34*abroad_repat</f>
        <v/>
      </c>
      <c r="G34" s="53">
        <f>IF($A34=1918,russia_writeoff*entente_total*entente_private,0)+IF(OR($A34=1931,$A34=1932),E34*abroad_loss/2,0)</f>
        <v/>
      </c>
      <c r="H34" s="53">
        <f>E34+C34+D34-F34-G34</f>
        <v/>
      </c>
      <c r="I34" s="69">
        <f>Champions!AY34</f>
        <v/>
      </c>
      <c r="J34" s="53">
        <f>H34+I34</f>
        <v/>
      </c>
      <c r="K34" s="53">
        <f>E34*abroad_return*IF(OR($A34=1931,$A34=1932),abroad_slump,1)</f>
        <v/>
      </c>
      <c r="L34" s="69">
        <f>Champions!AZ34</f>
        <v/>
      </c>
      <c r="M34" s="53">
        <f>K34+L34</f>
        <v/>
      </c>
      <c r="N34" s="53">
        <f>M34*abroad_tax</f>
        <v/>
      </c>
      <c r="O34" s="69">
        <f>Labour!R34</f>
        <v/>
      </c>
      <c r="P34" s="47">
        <f>Economy!O34+M34-O34</f>
        <v/>
      </c>
      <c r="Q34" s="63">
        <f>M34/P34</f>
        <v/>
      </c>
      <c r="R34" s="63">
        <f>J34/Economy!O34</f>
        <v/>
      </c>
    </row>
    <row r="35">
      <c r="A35" s="58" t="n">
        <v>1875</v>
      </c>
      <c r="B35" s="59" t="n">
        <v>0.006</v>
      </c>
      <c r="C35" s="53">
        <f>Economy!O35*B35</f>
        <v/>
      </c>
      <c r="D35" s="53">
        <f>IF(AND($A35&gt;=1914,$A35&lt;=1918),entente_total*entente_private*CHOOSE($A35-1913,0.05,0.1333,0.2333,0.3,0.2834),0)</f>
        <v/>
      </c>
      <c r="E35" s="53">
        <f>H34</f>
        <v/>
      </c>
      <c r="F35" s="53">
        <f>E35*abroad_repat</f>
        <v/>
      </c>
      <c r="G35" s="53">
        <f>IF($A35=1918,russia_writeoff*entente_total*entente_private,0)+IF(OR($A35=1931,$A35=1932),E35*abroad_loss/2,0)</f>
        <v/>
      </c>
      <c r="H35" s="53">
        <f>E35+C35+D35-F35-G35</f>
        <v/>
      </c>
      <c r="I35" s="69">
        <f>Champions!AY35</f>
        <v/>
      </c>
      <c r="J35" s="53">
        <f>H35+I35</f>
        <v/>
      </c>
      <c r="K35" s="53">
        <f>E35*abroad_return*IF(OR($A35=1931,$A35=1932),abroad_slump,1)</f>
        <v/>
      </c>
      <c r="L35" s="69">
        <f>Champions!AZ35</f>
        <v/>
      </c>
      <c r="M35" s="53">
        <f>K35+L35</f>
        <v/>
      </c>
      <c r="N35" s="53">
        <f>M35*abroad_tax</f>
        <v/>
      </c>
      <c r="O35" s="69">
        <f>Labour!R35</f>
        <v/>
      </c>
      <c r="P35" s="47">
        <f>Economy!O35+M35-O35</f>
        <v/>
      </c>
      <c r="Q35" s="63">
        <f>M35/P35</f>
        <v/>
      </c>
      <c r="R35" s="63">
        <f>J35/Economy!O35</f>
        <v/>
      </c>
    </row>
    <row r="36">
      <c r="A36" s="58" t="n">
        <v>1876</v>
      </c>
      <c r="B36" s="59" t="n">
        <v>0.006</v>
      </c>
      <c r="C36" s="53">
        <f>Economy!O36*B36</f>
        <v/>
      </c>
      <c r="D36" s="53">
        <f>IF(AND($A36&gt;=1914,$A36&lt;=1918),entente_total*entente_private*CHOOSE($A36-1913,0.05,0.1333,0.2333,0.3,0.2834),0)</f>
        <v/>
      </c>
      <c r="E36" s="53">
        <f>H35</f>
        <v/>
      </c>
      <c r="F36" s="53">
        <f>E36*abroad_repat</f>
        <v/>
      </c>
      <c r="G36" s="53">
        <f>IF($A36=1918,russia_writeoff*entente_total*entente_private,0)+IF(OR($A36=1931,$A36=1932),E36*abroad_loss/2,0)</f>
        <v/>
      </c>
      <c r="H36" s="53">
        <f>E36+C36+D36-F36-G36</f>
        <v/>
      </c>
      <c r="I36" s="69">
        <f>Champions!AY36</f>
        <v/>
      </c>
      <c r="J36" s="53">
        <f>H36+I36</f>
        <v/>
      </c>
      <c r="K36" s="53">
        <f>E36*abroad_return*IF(OR($A36=1931,$A36=1932),abroad_slump,1)</f>
        <v/>
      </c>
      <c r="L36" s="69">
        <f>Champions!AZ36</f>
        <v/>
      </c>
      <c r="M36" s="53">
        <f>K36+L36</f>
        <v/>
      </c>
      <c r="N36" s="53">
        <f>M36*abroad_tax</f>
        <v/>
      </c>
      <c r="O36" s="69">
        <f>Labour!R36</f>
        <v/>
      </c>
      <c r="P36" s="47">
        <f>Economy!O36+M36-O36</f>
        <v/>
      </c>
      <c r="Q36" s="63">
        <f>M36/P36</f>
        <v/>
      </c>
      <c r="R36" s="63">
        <f>J36/Economy!O36</f>
        <v/>
      </c>
    </row>
    <row r="37">
      <c r="A37" s="58" t="n">
        <v>1877</v>
      </c>
      <c r="B37" s="59" t="n">
        <v>0.006</v>
      </c>
      <c r="C37" s="53">
        <f>Economy!O37*B37</f>
        <v/>
      </c>
      <c r="D37" s="53">
        <f>IF(AND($A37&gt;=1914,$A37&lt;=1918),entente_total*entente_private*CHOOSE($A37-1913,0.05,0.1333,0.2333,0.3,0.2834),0)</f>
        <v/>
      </c>
      <c r="E37" s="53">
        <f>H36</f>
        <v/>
      </c>
      <c r="F37" s="53">
        <f>E37*abroad_repat</f>
        <v/>
      </c>
      <c r="G37" s="53">
        <f>IF($A37=1918,russia_writeoff*entente_total*entente_private,0)+IF(OR($A37=1931,$A37=1932),E37*abroad_loss/2,0)</f>
        <v/>
      </c>
      <c r="H37" s="53">
        <f>E37+C37+D37-F37-G37</f>
        <v/>
      </c>
      <c r="I37" s="69">
        <f>Champions!AY37</f>
        <v/>
      </c>
      <c r="J37" s="53">
        <f>H37+I37</f>
        <v/>
      </c>
      <c r="K37" s="53">
        <f>E37*abroad_return*IF(OR($A37=1931,$A37=1932),abroad_slump,1)</f>
        <v/>
      </c>
      <c r="L37" s="69">
        <f>Champions!AZ37</f>
        <v/>
      </c>
      <c r="M37" s="53">
        <f>K37+L37</f>
        <v/>
      </c>
      <c r="N37" s="53">
        <f>M37*abroad_tax</f>
        <v/>
      </c>
      <c r="O37" s="69">
        <f>Labour!R37</f>
        <v/>
      </c>
      <c r="P37" s="47">
        <f>Economy!O37+M37-O37</f>
        <v/>
      </c>
      <c r="Q37" s="63">
        <f>M37/P37</f>
        <v/>
      </c>
      <c r="R37" s="63">
        <f>J37/Economy!O37</f>
        <v/>
      </c>
    </row>
    <row r="38">
      <c r="A38" s="58" t="n">
        <v>1878</v>
      </c>
      <c r="B38" s="59" t="n">
        <v>0.006</v>
      </c>
      <c r="C38" s="53">
        <f>Economy!O38*B38</f>
        <v/>
      </c>
      <c r="D38" s="53">
        <f>IF(AND($A38&gt;=1914,$A38&lt;=1918),entente_total*entente_private*CHOOSE($A38-1913,0.05,0.1333,0.2333,0.3,0.2834),0)</f>
        <v/>
      </c>
      <c r="E38" s="53">
        <f>H37</f>
        <v/>
      </c>
      <c r="F38" s="53">
        <f>E38*abroad_repat</f>
        <v/>
      </c>
      <c r="G38" s="53">
        <f>IF($A38=1918,russia_writeoff*entente_total*entente_private,0)+IF(OR($A38=1931,$A38=1932),E38*abroad_loss/2,0)</f>
        <v/>
      </c>
      <c r="H38" s="53">
        <f>E38+C38+D38-F38-G38</f>
        <v/>
      </c>
      <c r="I38" s="69">
        <f>Champions!AY38</f>
        <v/>
      </c>
      <c r="J38" s="53">
        <f>H38+I38</f>
        <v/>
      </c>
      <c r="K38" s="53">
        <f>E38*abroad_return*IF(OR($A38=1931,$A38=1932),abroad_slump,1)</f>
        <v/>
      </c>
      <c r="L38" s="69">
        <f>Champions!AZ38</f>
        <v/>
      </c>
      <c r="M38" s="53">
        <f>K38+L38</f>
        <v/>
      </c>
      <c r="N38" s="53">
        <f>M38*abroad_tax</f>
        <v/>
      </c>
      <c r="O38" s="69">
        <f>Labour!R38</f>
        <v/>
      </c>
      <c r="P38" s="47">
        <f>Economy!O38+M38-O38</f>
        <v/>
      </c>
      <c r="Q38" s="63">
        <f>M38/P38</f>
        <v/>
      </c>
      <c r="R38" s="63">
        <f>J38/Economy!O38</f>
        <v/>
      </c>
    </row>
    <row r="39">
      <c r="A39" s="58" t="n">
        <v>1879</v>
      </c>
      <c r="B39" s="59" t="n">
        <v>0.006</v>
      </c>
      <c r="C39" s="53">
        <f>Economy!O39*B39</f>
        <v/>
      </c>
      <c r="D39" s="53">
        <f>IF(AND($A39&gt;=1914,$A39&lt;=1918),entente_total*entente_private*CHOOSE($A39-1913,0.05,0.1333,0.2333,0.3,0.2834),0)</f>
        <v/>
      </c>
      <c r="E39" s="53">
        <f>H38</f>
        <v/>
      </c>
      <c r="F39" s="53">
        <f>E39*abroad_repat</f>
        <v/>
      </c>
      <c r="G39" s="53">
        <f>IF($A39=1918,russia_writeoff*entente_total*entente_private,0)+IF(OR($A39=1931,$A39=1932),E39*abroad_loss/2,0)</f>
        <v/>
      </c>
      <c r="H39" s="53">
        <f>E39+C39+D39-F39-G39</f>
        <v/>
      </c>
      <c r="I39" s="69">
        <f>Champions!AY39</f>
        <v/>
      </c>
      <c r="J39" s="53">
        <f>H39+I39</f>
        <v/>
      </c>
      <c r="K39" s="53">
        <f>E39*abroad_return*IF(OR($A39=1931,$A39=1932),abroad_slump,1)</f>
        <v/>
      </c>
      <c r="L39" s="69">
        <f>Champions!AZ39</f>
        <v/>
      </c>
      <c r="M39" s="53">
        <f>K39+L39</f>
        <v/>
      </c>
      <c r="N39" s="53">
        <f>M39*abroad_tax</f>
        <v/>
      </c>
      <c r="O39" s="69">
        <f>Labour!R39</f>
        <v/>
      </c>
      <c r="P39" s="47">
        <f>Economy!O39+M39-O39</f>
        <v/>
      </c>
      <c r="Q39" s="63">
        <f>M39/P39</f>
        <v/>
      </c>
      <c r="R39" s="63">
        <f>J39/Economy!O39</f>
        <v/>
      </c>
    </row>
    <row r="40">
      <c r="A40" s="58" t="n">
        <v>1880</v>
      </c>
      <c r="B40" s="59" t="n">
        <v>0.006</v>
      </c>
      <c r="C40" s="53">
        <f>Economy!O40*B40</f>
        <v/>
      </c>
      <c r="D40" s="53">
        <f>IF(AND($A40&gt;=1914,$A40&lt;=1918),entente_total*entente_private*CHOOSE($A40-1913,0.05,0.1333,0.2333,0.3,0.2834),0)</f>
        <v/>
      </c>
      <c r="E40" s="53">
        <f>H39</f>
        <v/>
      </c>
      <c r="F40" s="53">
        <f>E40*abroad_repat</f>
        <v/>
      </c>
      <c r="G40" s="53">
        <f>IF($A40=1918,russia_writeoff*entente_total*entente_private,0)+IF(OR($A40=1931,$A40=1932),E40*abroad_loss/2,0)</f>
        <v/>
      </c>
      <c r="H40" s="53">
        <f>E40+C40+D40-F40-G40</f>
        <v/>
      </c>
      <c r="I40" s="69">
        <f>Champions!AY40</f>
        <v/>
      </c>
      <c r="J40" s="53">
        <f>H40+I40</f>
        <v/>
      </c>
      <c r="K40" s="53">
        <f>E40*abroad_return*IF(OR($A40=1931,$A40=1932),abroad_slump,1)</f>
        <v/>
      </c>
      <c r="L40" s="69">
        <f>Champions!AZ40</f>
        <v/>
      </c>
      <c r="M40" s="53">
        <f>K40+L40</f>
        <v/>
      </c>
      <c r="N40" s="53">
        <f>M40*abroad_tax</f>
        <v/>
      </c>
      <c r="O40" s="69">
        <f>Labour!R40</f>
        <v/>
      </c>
      <c r="P40" s="47">
        <f>Economy!O40+M40-O40</f>
        <v/>
      </c>
      <c r="Q40" s="63">
        <f>M40/P40</f>
        <v/>
      </c>
      <c r="R40" s="63">
        <f>J40/Economy!O40</f>
        <v/>
      </c>
    </row>
    <row r="41">
      <c r="A41" s="58" t="n">
        <v>1881</v>
      </c>
      <c r="B41" s="59" t="n">
        <v>0.006</v>
      </c>
      <c r="C41" s="53">
        <f>Economy!O41*B41</f>
        <v/>
      </c>
      <c r="D41" s="53">
        <f>IF(AND($A41&gt;=1914,$A41&lt;=1918),entente_total*entente_private*CHOOSE($A41-1913,0.05,0.1333,0.2333,0.3,0.2834),0)</f>
        <v/>
      </c>
      <c r="E41" s="53">
        <f>H40</f>
        <v/>
      </c>
      <c r="F41" s="53">
        <f>E41*abroad_repat</f>
        <v/>
      </c>
      <c r="G41" s="53">
        <f>IF($A41=1918,russia_writeoff*entente_total*entente_private,0)+IF(OR($A41=1931,$A41=1932),E41*abroad_loss/2,0)</f>
        <v/>
      </c>
      <c r="H41" s="53">
        <f>E41+C41+D41-F41-G41</f>
        <v/>
      </c>
      <c r="I41" s="69">
        <f>Champions!AY41</f>
        <v/>
      </c>
      <c r="J41" s="53">
        <f>H41+I41</f>
        <v/>
      </c>
      <c r="K41" s="53">
        <f>E41*abroad_return*IF(OR($A41=1931,$A41=1932),abroad_slump,1)</f>
        <v/>
      </c>
      <c r="L41" s="69">
        <f>Champions!AZ41</f>
        <v/>
      </c>
      <c r="M41" s="53">
        <f>K41+L41</f>
        <v/>
      </c>
      <c r="N41" s="53">
        <f>M41*abroad_tax</f>
        <v/>
      </c>
      <c r="O41" s="69">
        <f>Labour!R41</f>
        <v/>
      </c>
      <c r="P41" s="47">
        <f>Economy!O41+M41-O41</f>
        <v/>
      </c>
      <c r="Q41" s="63">
        <f>M41/P41</f>
        <v/>
      </c>
      <c r="R41" s="63">
        <f>J41/Economy!O41</f>
        <v/>
      </c>
    </row>
    <row r="42">
      <c r="A42" s="58" t="n">
        <v>1882</v>
      </c>
      <c r="B42" s="59" t="n">
        <v>0.006</v>
      </c>
      <c r="C42" s="53">
        <f>Economy!O42*B42</f>
        <v/>
      </c>
      <c r="D42" s="53">
        <f>IF(AND($A42&gt;=1914,$A42&lt;=1918),entente_total*entente_private*CHOOSE($A42-1913,0.05,0.1333,0.2333,0.3,0.2834),0)</f>
        <v/>
      </c>
      <c r="E42" s="53">
        <f>H41</f>
        <v/>
      </c>
      <c r="F42" s="53">
        <f>E42*abroad_repat</f>
        <v/>
      </c>
      <c r="G42" s="53">
        <f>IF($A42=1918,russia_writeoff*entente_total*entente_private,0)+IF(OR($A42=1931,$A42=1932),E42*abroad_loss/2,0)</f>
        <v/>
      </c>
      <c r="H42" s="53">
        <f>E42+C42+D42-F42-G42</f>
        <v/>
      </c>
      <c r="I42" s="69">
        <f>Champions!AY42</f>
        <v/>
      </c>
      <c r="J42" s="53">
        <f>H42+I42</f>
        <v/>
      </c>
      <c r="K42" s="53">
        <f>E42*abroad_return*IF(OR($A42=1931,$A42=1932),abroad_slump,1)</f>
        <v/>
      </c>
      <c r="L42" s="69">
        <f>Champions!AZ42</f>
        <v/>
      </c>
      <c r="M42" s="53">
        <f>K42+L42</f>
        <v/>
      </c>
      <c r="N42" s="53">
        <f>M42*abroad_tax</f>
        <v/>
      </c>
      <c r="O42" s="69">
        <f>Labour!R42</f>
        <v/>
      </c>
      <c r="P42" s="47">
        <f>Economy!O42+M42-O42</f>
        <v/>
      </c>
      <c r="Q42" s="63">
        <f>M42/P42</f>
        <v/>
      </c>
      <c r="R42" s="63">
        <f>J42/Economy!O42</f>
        <v/>
      </c>
    </row>
    <row r="43">
      <c r="A43" s="58" t="n">
        <v>1883</v>
      </c>
      <c r="B43" s="59" t="n">
        <v>0.006</v>
      </c>
      <c r="C43" s="53">
        <f>Economy!O43*B43</f>
        <v/>
      </c>
      <c r="D43" s="53">
        <f>IF(AND($A43&gt;=1914,$A43&lt;=1918),entente_total*entente_private*CHOOSE($A43-1913,0.05,0.1333,0.2333,0.3,0.2834),0)</f>
        <v/>
      </c>
      <c r="E43" s="53">
        <f>H42</f>
        <v/>
      </c>
      <c r="F43" s="53">
        <f>E43*abroad_repat</f>
        <v/>
      </c>
      <c r="G43" s="53">
        <f>IF($A43=1918,russia_writeoff*entente_total*entente_private,0)+IF(OR($A43=1931,$A43=1932),E43*abroad_loss/2,0)</f>
        <v/>
      </c>
      <c r="H43" s="53">
        <f>E43+C43+D43-F43-G43</f>
        <v/>
      </c>
      <c r="I43" s="69">
        <f>Champions!AY43</f>
        <v/>
      </c>
      <c r="J43" s="53">
        <f>H43+I43</f>
        <v/>
      </c>
      <c r="K43" s="53">
        <f>E43*abroad_return*IF(OR($A43=1931,$A43=1932),abroad_slump,1)</f>
        <v/>
      </c>
      <c r="L43" s="69">
        <f>Champions!AZ43</f>
        <v/>
      </c>
      <c r="M43" s="53">
        <f>K43+L43</f>
        <v/>
      </c>
      <c r="N43" s="53">
        <f>M43*abroad_tax</f>
        <v/>
      </c>
      <c r="O43" s="69">
        <f>Labour!R43</f>
        <v/>
      </c>
      <c r="P43" s="47">
        <f>Economy!O43+M43-O43</f>
        <v/>
      </c>
      <c r="Q43" s="63">
        <f>M43/P43</f>
        <v/>
      </c>
      <c r="R43" s="63">
        <f>J43/Economy!O43</f>
        <v/>
      </c>
    </row>
    <row r="44">
      <c r="A44" s="58" t="n">
        <v>1884</v>
      </c>
      <c r="B44" s="59" t="n">
        <v>0.006</v>
      </c>
      <c r="C44" s="53">
        <f>Economy!O44*B44</f>
        <v/>
      </c>
      <c r="D44" s="53">
        <f>IF(AND($A44&gt;=1914,$A44&lt;=1918),entente_total*entente_private*CHOOSE($A44-1913,0.05,0.1333,0.2333,0.3,0.2834),0)</f>
        <v/>
      </c>
      <c r="E44" s="53">
        <f>H43</f>
        <v/>
      </c>
      <c r="F44" s="53">
        <f>E44*abroad_repat</f>
        <v/>
      </c>
      <c r="G44" s="53">
        <f>IF($A44=1918,russia_writeoff*entente_total*entente_private,0)+IF(OR($A44=1931,$A44=1932),E44*abroad_loss/2,0)</f>
        <v/>
      </c>
      <c r="H44" s="53">
        <f>E44+C44+D44-F44-G44</f>
        <v/>
      </c>
      <c r="I44" s="69">
        <f>Champions!AY44</f>
        <v/>
      </c>
      <c r="J44" s="53">
        <f>H44+I44</f>
        <v/>
      </c>
      <c r="K44" s="53">
        <f>E44*abroad_return*IF(OR($A44=1931,$A44=1932),abroad_slump,1)</f>
        <v/>
      </c>
      <c r="L44" s="69">
        <f>Champions!AZ44</f>
        <v/>
      </c>
      <c r="M44" s="53">
        <f>K44+L44</f>
        <v/>
      </c>
      <c r="N44" s="53">
        <f>M44*abroad_tax</f>
        <v/>
      </c>
      <c r="O44" s="69">
        <f>Labour!R44</f>
        <v/>
      </c>
      <c r="P44" s="47">
        <f>Economy!O44+M44-O44</f>
        <v/>
      </c>
      <c r="Q44" s="63">
        <f>M44/P44</f>
        <v/>
      </c>
      <c r="R44" s="63">
        <f>J44/Economy!O44</f>
        <v/>
      </c>
    </row>
    <row r="45">
      <c r="A45" s="58" t="n">
        <v>1885</v>
      </c>
      <c r="B45" s="59" t="n">
        <v>0.006</v>
      </c>
      <c r="C45" s="53">
        <f>Economy!O45*B45</f>
        <v/>
      </c>
      <c r="D45" s="53">
        <f>IF(AND($A45&gt;=1914,$A45&lt;=1918),entente_total*entente_private*CHOOSE($A45-1913,0.05,0.1333,0.2333,0.3,0.2834),0)</f>
        <v/>
      </c>
      <c r="E45" s="53">
        <f>H44</f>
        <v/>
      </c>
      <c r="F45" s="53">
        <f>E45*abroad_repat</f>
        <v/>
      </c>
      <c r="G45" s="53">
        <f>IF($A45=1918,russia_writeoff*entente_total*entente_private,0)+IF(OR($A45=1931,$A45=1932),E45*abroad_loss/2,0)</f>
        <v/>
      </c>
      <c r="H45" s="53">
        <f>E45+C45+D45-F45-G45</f>
        <v/>
      </c>
      <c r="I45" s="69">
        <f>Champions!AY45</f>
        <v/>
      </c>
      <c r="J45" s="53">
        <f>H45+I45</f>
        <v/>
      </c>
      <c r="K45" s="53">
        <f>E45*abroad_return*IF(OR($A45=1931,$A45=1932),abroad_slump,1)</f>
        <v/>
      </c>
      <c r="L45" s="69">
        <f>Champions!AZ45</f>
        <v/>
      </c>
      <c r="M45" s="53">
        <f>K45+L45</f>
        <v/>
      </c>
      <c r="N45" s="53">
        <f>M45*abroad_tax</f>
        <v/>
      </c>
      <c r="O45" s="69">
        <f>Labour!R45</f>
        <v/>
      </c>
      <c r="P45" s="47">
        <f>Economy!O45+M45-O45</f>
        <v/>
      </c>
      <c r="Q45" s="63">
        <f>M45/P45</f>
        <v/>
      </c>
      <c r="R45" s="63">
        <f>J45/Economy!O45</f>
        <v/>
      </c>
    </row>
    <row r="46">
      <c r="A46" s="58" t="n">
        <v>1886</v>
      </c>
      <c r="B46" s="59" t="n">
        <v>0.006</v>
      </c>
      <c r="C46" s="53">
        <f>Economy!O46*B46</f>
        <v/>
      </c>
      <c r="D46" s="53">
        <f>IF(AND($A46&gt;=1914,$A46&lt;=1918),entente_total*entente_private*CHOOSE($A46-1913,0.05,0.1333,0.2333,0.3,0.2834),0)</f>
        <v/>
      </c>
      <c r="E46" s="53">
        <f>H45</f>
        <v/>
      </c>
      <c r="F46" s="53">
        <f>E46*abroad_repat</f>
        <v/>
      </c>
      <c r="G46" s="53">
        <f>IF($A46=1918,russia_writeoff*entente_total*entente_private,0)+IF(OR($A46=1931,$A46=1932),E46*abroad_loss/2,0)</f>
        <v/>
      </c>
      <c r="H46" s="53">
        <f>E46+C46+D46-F46-G46</f>
        <v/>
      </c>
      <c r="I46" s="69">
        <f>Champions!AY46</f>
        <v/>
      </c>
      <c r="J46" s="53">
        <f>H46+I46</f>
        <v/>
      </c>
      <c r="K46" s="53">
        <f>E46*abroad_return*IF(OR($A46=1931,$A46=1932),abroad_slump,1)</f>
        <v/>
      </c>
      <c r="L46" s="69">
        <f>Champions!AZ46</f>
        <v/>
      </c>
      <c r="M46" s="53">
        <f>K46+L46</f>
        <v/>
      </c>
      <c r="N46" s="53">
        <f>M46*abroad_tax</f>
        <v/>
      </c>
      <c r="O46" s="69">
        <f>Labour!R46</f>
        <v/>
      </c>
      <c r="P46" s="47">
        <f>Economy!O46+M46-O46</f>
        <v/>
      </c>
      <c r="Q46" s="63">
        <f>M46/P46</f>
        <v/>
      </c>
      <c r="R46" s="63">
        <f>J46/Economy!O46</f>
        <v/>
      </c>
    </row>
    <row r="47">
      <c r="A47" s="58" t="n">
        <v>1887</v>
      </c>
      <c r="B47" s="59" t="n">
        <v>0.006</v>
      </c>
      <c r="C47" s="53">
        <f>Economy!O47*B47</f>
        <v/>
      </c>
      <c r="D47" s="53">
        <f>IF(AND($A47&gt;=1914,$A47&lt;=1918),entente_total*entente_private*CHOOSE($A47-1913,0.05,0.1333,0.2333,0.3,0.2834),0)</f>
        <v/>
      </c>
      <c r="E47" s="53">
        <f>H46</f>
        <v/>
      </c>
      <c r="F47" s="53">
        <f>E47*abroad_repat</f>
        <v/>
      </c>
      <c r="G47" s="53">
        <f>IF($A47=1918,russia_writeoff*entente_total*entente_private,0)+IF(OR($A47=1931,$A47=1932),E47*abroad_loss/2,0)</f>
        <v/>
      </c>
      <c r="H47" s="53">
        <f>E47+C47+D47-F47-G47</f>
        <v/>
      </c>
      <c r="I47" s="69">
        <f>Champions!AY47</f>
        <v/>
      </c>
      <c r="J47" s="53">
        <f>H47+I47</f>
        <v/>
      </c>
      <c r="K47" s="53">
        <f>E47*abroad_return*IF(OR($A47=1931,$A47=1932),abroad_slump,1)</f>
        <v/>
      </c>
      <c r="L47" s="69">
        <f>Champions!AZ47</f>
        <v/>
      </c>
      <c r="M47" s="53">
        <f>K47+L47</f>
        <v/>
      </c>
      <c r="N47" s="53">
        <f>M47*abroad_tax</f>
        <v/>
      </c>
      <c r="O47" s="69">
        <f>Labour!R47</f>
        <v/>
      </c>
      <c r="P47" s="47">
        <f>Economy!O47+M47-O47</f>
        <v/>
      </c>
      <c r="Q47" s="63">
        <f>M47/P47</f>
        <v/>
      </c>
      <c r="R47" s="63">
        <f>J47/Economy!O47</f>
        <v/>
      </c>
    </row>
    <row r="48">
      <c r="A48" s="58" t="n">
        <v>1888</v>
      </c>
      <c r="B48" s="59" t="n">
        <v>0.006</v>
      </c>
      <c r="C48" s="53">
        <f>Economy!O48*B48</f>
        <v/>
      </c>
      <c r="D48" s="53">
        <f>IF(AND($A48&gt;=1914,$A48&lt;=1918),entente_total*entente_private*CHOOSE($A48-1913,0.05,0.1333,0.2333,0.3,0.2834),0)</f>
        <v/>
      </c>
      <c r="E48" s="53">
        <f>H47</f>
        <v/>
      </c>
      <c r="F48" s="53">
        <f>E48*abroad_repat</f>
        <v/>
      </c>
      <c r="G48" s="53">
        <f>IF($A48=1918,russia_writeoff*entente_total*entente_private,0)+IF(OR($A48=1931,$A48=1932),E48*abroad_loss/2,0)</f>
        <v/>
      </c>
      <c r="H48" s="53">
        <f>E48+C48+D48-F48-G48</f>
        <v/>
      </c>
      <c r="I48" s="69">
        <f>Champions!AY48</f>
        <v/>
      </c>
      <c r="J48" s="53">
        <f>H48+I48</f>
        <v/>
      </c>
      <c r="K48" s="53">
        <f>E48*abroad_return*IF(OR($A48=1931,$A48=1932),abroad_slump,1)</f>
        <v/>
      </c>
      <c r="L48" s="69">
        <f>Champions!AZ48</f>
        <v/>
      </c>
      <c r="M48" s="53">
        <f>K48+L48</f>
        <v/>
      </c>
      <c r="N48" s="53">
        <f>M48*abroad_tax</f>
        <v/>
      </c>
      <c r="O48" s="69">
        <f>Labour!R48</f>
        <v/>
      </c>
      <c r="P48" s="47">
        <f>Economy!O48+M48-O48</f>
        <v/>
      </c>
      <c r="Q48" s="63">
        <f>M48/P48</f>
        <v/>
      </c>
      <c r="R48" s="63">
        <f>J48/Economy!O48</f>
        <v/>
      </c>
    </row>
    <row r="49">
      <c r="A49" s="58" t="n">
        <v>1889</v>
      </c>
      <c r="B49" s="59" t="n">
        <v>0.006</v>
      </c>
      <c r="C49" s="53">
        <f>Economy!O49*B49</f>
        <v/>
      </c>
      <c r="D49" s="53">
        <f>IF(AND($A49&gt;=1914,$A49&lt;=1918),entente_total*entente_private*CHOOSE($A49-1913,0.05,0.1333,0.2333,0.3,0.2834),0)</f>
        <v/>
      </c>
      <c r="E49" s="53">
        <f>H48</f>
        <v/>
      </c>
      <c r="F49" s="53">
        <f>E49*abroad_repat</f>
        <v/>
      </c>
      <c r="G49" s="53">
        <f>IF($A49=1918,russia_writeoff*entente_total*entente_private,0)+IF(OR($A49=1931,$A49=1932),E49*abroad_loss/2,0)</f>
        <v/>
      </c>
      <c r="H49" s="53">
        <f>E49+C49+D49-F49-G49</f>
        <v/>
      </c>
      <c r="I49" s="69">
        <f>Champions!AY49</f>
        <v/>
      </c>
      <c r="J49" s="53">
        <f>H49+I49</f>
        <v/>
      </c>
      <c r="K49" s="53">
        <f>E49*abroad_return*IF(OR($A49=1931,$A49=1932),abroad_slump,1)</f>
        <v/>
      </c>
      <c r="L49" s="69">
        <f>Champions!AZ49</f>
        <v/>
      </c>
      <c r="M49" s="53">
        <f>K49+L49</f>
        <v/>
      </c>
      <c r="N49" s="53">
        <f>M49*abroad_tax</f>
        <v/>
      </c>
      <c r="O49" s="69">
        <f>Labour!R49</f>
        <v/>
      </c>
      <c r="P49" s="47">
        <f>Economy!O49+M49-O49</f>
        <v/>
      </c>
      <c r="Q49" s="63">
        <f>M49/P49</f>
        <v/>
      </c>
      <c r="R49" s="63">
        <f>J49/Economy!O49</f>
        <v/>
      </c>
    </row>
    <row r="50">
      <c r="A50" s="58" t="n">
        <v>1890</v>
      </c>
      <c r="B50" s="59" t="n">
        <v>0.006</v>
      </c>
      <c r="C50" s="53">
        <f>Economy!O50*B50</f>
        <v/>
      </c>
      <c r="D50" s="53">
        <f>IF(AND($A50&gt;=1914,$A50&lt;=1918),entente_total*entente_private*CHOOSE($A50-1913,0.05,0.1333,0.2333,0.3,0.2834),0)</f>
        <v/>
      </c>
      <c r="E50" s="53">
        <f>H49</f>
        <v/>
      </c>
      <c r="F50" s="53">
        <f>E50*abroad_repat</f>
        <v/>
      </c>
      <c r="G50" s="53">
        <f>IF($A50=1918,russia_writeoff*entente_total*entente_private,0)+IF(OR($A50=1931,$A50=1932),E50*abroad_loss/2,0)</f>
        <v/>
      </c>
      <c r="H50" s="53">
        <f>E50+C50+D50-F50-G50</f>
        <v/>
      </c>
      <c r="I50" s="69">
        <f>Champions!AY50</f>
        <v/>
      </c>
      <c r="J50" s="53">
        <f>H50+I50</f>
        <v/>
      </c>
      <c r="K50" s="53">
        <f>E50*abroad_return*IF(OR($A50=1931,$A50=1932),abroad_slump,1)</f>
        <v/>
      </c>
      <c r="L50" s="69">
        <f>Champions!AZ50</f>
        <v/>
      </c>
      <c r="M50" s="53">
        <f>K50+L50</f>
        <v/>
      </c>
      <c r="N50" s="53">
        <f>M50*abroad_tax</f>
        <v/>
      </c>
      <c r="O50" s="69">
        <f>Labour!R50</f>
        <v/>
      </c>
      <c r="P50" s="47">
        <f>Economy!O50+M50-O50</f>
        <v/>
      </c>
      <c r="Q50" s="63">
        <f>M50/P50</f>
        <v/>
      </c>
      <c r="R50" s="63">
        <f>J50/Economy!O50</f>
        <v/>
      </c>
    </row>
    <row r="51">
      <c r="A51" s="58" t="n">
        <v>1891</v>
      </c>
      <c r="B51" s="59" t="n">
        <v>0.006</v>
      </c>
      <c r="C51" s="53">
        <f>Economy!O51*B51</f>
        <v/>
      </c>
      <c r="D51" s="53">
        <f>IF(AND($A51&gt;=1914,$A51&lt;=1918),entente_total*entente_private*CHOOSE($A51-1913,0.05,0.1333,0.2333,0.3,0.2834),0)</f>
        <v/>
      </c>
      <c r="E51" s="53">
        <f>H50</f>
        <v/>
      </c>
      <c r="F51" s="53">
        <f>E51*abroad_repat</f>
        <v/>
      </c>
      <c r="G51" s="53">
        <f>IF($A51=1918,russia_writeoff*entente_total*entente_private,0)+IF(OR($A51=1931,$A51=1932),E51*abroad_loss/2,0)</f>
        <v/>
      </c>
      <c r="H51" s="53">
        <f>E51+C51+D51-F51-G51</f>
        <v/>
      </c>
      <c r="I51" s="69">
        <f>Champions!AY51</f>
        <v/>
      </c>
      <c r="J51" s="53">
        <f>H51+I51</f>
        <v/>
      </c>
      <c r="K51" s="53">
        <f>E51*abroad_return*IF(OR($A51=1931,$A51=1932),abroad_slump,1)</f>
        <v/>
      </c>
      <c r="L51" s="69">
        <f>Champions!AZ51</f>
        <v/>
      </c>
      <c r="M51" s="53">
        <f>K51+L51</f>
        <v/>
      </c>
      <c r="N51" s="53">
        <f>M51*abroad_tax</f>
        <v/>
      </c>
      <c r="O51" s="69">
        <f>Labour!R51</f>
        <v/>
      </c>
      <c r="P51" s="47">
        <f>Economy!O51+M51-O51</f>
        <v/>
      </c>
      <c r="Q51" s="63">
        <f>M51/P51</f>
        <v/>
      </c>
      <c r="R51" s="63">
        <f>J51/Economy!O51</f>
        <v/>
      </c>
    </row>
    <row r="52">
      <c r="A52" s="58" t="n">
        <v>1892</v>
      </c>
      <c r="B52" s="59" t="n">
        <v>0.006</v>
      </c>
      <c r="C52" s="53">
        <f>Economy!O52*B52</f>
        <v/>
      </c>
      <c r="D52" s="53">
        <f>IF(AND($A52&gt;=1914,$A52&lt;=1918),entente_total*entente_private*CHOOSE($A52-1913,0.05,0.1333,0.2333,0.3,0.2834),0)</f>
        <v/>
      </c>
      <c r="E52" s="53">
        <f>H51</f>
        <v/>
      </c>
      <c r="F52" s="53">
        <f>E52*abroad_repat</f>
        <v/>
      </c>
      <c r="G52" s="53">
        <f>IF($A52=1918,russia_writeoff*entente_total*entente_private,0)+IF(OR($A52=1931,$A52=1932),E52*abroad_loss/2,0)</f>
        <v/>
      </c>
      <c r="H52" s="53">
        <f>E52+C52+D52-F52-G52</f>
        <v/>
      </c>
      <c r="I52" s="69">
        <f>Champions!AY52</f>
        <v/>
      </c>
      <c r="J52" s="53">
        <f>H52+I52</f>
        <v/>
      </c>
      <c r="K52" s="53">
        <f>E52*abroad_return*IF(OR($A52=1931,$A52=1932),abroad_slump,1)</f>
        <v/>
      </c>
      <c r="L52" s="69">
        <f>Champions!AZ52</f>
        <v/>
      </c>
      <c r="M52" s="53">
        <f>K52+L52</f>
        <v/>
      </c>
      <c r="N52" s="53">
        <f>M52*abroad_tax</f>
        <v/>
      </c>
      <c r="O52" s="69">
        <f>Labour!R52</f>
        <v/>
      </c>
      <c r="P52" s="47">
        <f>Economy!O52+M52-O52</f>
        <v/>
      </c>
      <c r="Q52" s="63">
        <f>M52/P52</f>
        <v/>
      </c>
      <c r="R52" s="63">
        <f>J52/Economy!O52</f>
        <v/>
      </c>
    </row>
    <row r="53">
      <c r="A53" s="58" t="n">
        <v>1893</v>
      </c>
      <c r="B53" s="59" t="n">
        <v>0.006</v>
      </c>
      <c r="C53" s="53">
        <f>Economy!O53*B53</f>
        <v/>
      </c>
      <c r="D53" s="53">
        <f>IF(AND($A53&gt;=1914,$A53&lt;=1918),entente_total*entente_private*CHOOSE($A53-1913,0.05,0.1333,0.2333,0.3,0.2834),0)</f>
        <v/>
      </c>
      <c r="E53" s="53">
        <f>H52</f>
        <v/>
      </c>
      <c r="F53" s="53">
        <f>E53*abroad_repat</f>
        <v/>
      </c>
      <c r="G53" s="53">
        <f>IF($A53=1918,russia_writeoff*entente_total*entente_private,0)+IF(OR($A53=1931,$A53=1932),E53*abroad_loss/2,0)</f>
        <v/>
      </c>
      <c r="H53" s="53">
        <f>E53+C53+D53-F53-G53</f>
        <v/>
      </c>
      <c r="I53" s="69">
        <f>Champions!AY53</f>
        <v/>
      </c>
      <c r="J53" s="53">
        <f>H53+I53</f>
        <v/>
      </c>
      <c r="K53" s="53">
        <f>E53*abroad_return*IF(OR($A53=1931,$A53=1932),abroad_slump,1)</f>
        <v/>
      </c>
      <c r="L53" s="69">
        <f>Champions!AZ53</f>
        <v/>
      </c>
      <c r="M53" s="53">
        <f>K53+L53</f>
        <v/>
      </c>
      <c r="N53" s="53">
        <f>M53*abroad_tax</f>
        <v/>
      </c>
      <c r="O53" s="69">
        <f>Labour!R53</f>
        <v/>
      </c>
      <c r="P53" s="47">
        <f>Economy!O53+M53-O53</f>
        <v/>
      </c>
      <c r="Q53" s="63">
        <f>M53/P53</f>
        <v/>
      </c>
      <c r="R53" s="63">
        <f>J53/Economy!O53</f>
        <v/>
      </c>
    </row>
    <row r="54">
      <c r="A54" s="58" t="n">
        <v>1894</v>
      </c>
      <c r="B54" s="59" t="n">
        <v>0.006</v>
      </c>
      <c r="C54" s="53">
        <f>Economy!O54*B54</f>
        <v/>
      </c>
      <c r="D54" s="53">
        <f>IF(AND($A54&gt;=1914,$A54&lt;=1918),entente_total*entente_private*CHOOSE($A54-1913,0.05,0.1333,0.2333,0.3,0.2834),0)</f>
        <v/>
      </c>
      <c r="E54" s="53">
        <f>H53</f>
        <v/>
      </c>
      <c r="F54" s="53">
        <f>E54*abroad_repat</f>
        <v/>
      </c>
      <c r="G54" s="53">
        <f>IF($A54=1918,russia_writeoff*entente_total*entente_private,0)+IF(OR($A54=1931,$A54=1932),E54*abroad_loss/2,0)</f>
        <v/>
      </c>
      <c r="H54" s="53">
        <f>E54+C54+D54-F54-G54</f>
        <v/>
      </c>
      <c r="I54" s="69">
        <f>Champions!AY54</f>
        <v/>
      </c>
      <c r="J54" s="53">
        <f>H54+I54</f>
        <v/>
      </c>
      <c r="K54" s="53">
        <f>E54*abroad_return*IF(OR($A54=1931,$A54=1932),abroad_slump,1)</f>
        <v/>
      </c>
      <c r="L54" s="69">
        <f>Champions!AZ54</f>
        <v/>
      </c>
      <c r="M54" s="53">
        <f>K54+L54</f>
        <v/>
      </c>
      <c r="N54" s="53">
        <f>M54*abroad_tax</f>
        <v/>
      </c>
      <c r="O54" s="69">
        <f>Labour!R54</f>
        <v/>
      </c>
      <c r="P54" s="47">
        <f>Economy!O54+M54-O54</f>
        <v/>
      </c>
      <c r="Q54" s="63">
        <f>M54/P54</f>
        <v/>
      </c>
      <c r="R54" s="63">
        <f>J54/Economy!O54</f>
        <v/>
      </c>
    </row>
    <row r="55">
      <c r="A55" s="58" t="n">
        <v>1895</v>
      </c>
      <c r="B55" s="59" t="n">
        <v>0.006</v>
      </c>
      <c r="C55" s="53">
        <f>Economy!O55*B55</f>
        <v/>
      </c>
      <c r="D55" s="53">
        <f>IF(AND($A55&gt;=1914,$A55&lt;=1918),entente_total*entente_private*CHOOSE($A55-1913,0.05,0.1333,0.2333,0.3,0.2834),0)</f>
        <v/>
      </c>
      <c r="E55" s="53">
        <f>H54</f>
        <v/>
      </c>
      <c r="F55" s="53">
        <f>E55*abroad_repat</f>
        <v/>
      </c>
      <c r="G55" s="53">
        <f>IF($A55=1918,russia_writeoff*entente_total*entente_private,0)+IF(OR($A55=1931,$A55=1932),E55*abroad_loss/2,0)</f>
        <v/>
      </c>
      <c r="H55" s="53">
        <f>E55+C55+D55-F55-G55</f>
        <v/>
      </c>
      <c r="I55" s="69">
        <f>Champions!AY55</f>
        <v/>
      </c>
      <c r="J55" s="53">
        <f>H55+I55</f>
        <v/>
      </c>
      <c r="K55" s="53">
        <f>E55*abroad_return*IF(OR($A55=1931,$A55=1932),abroad_slump,1)</f>
        <v/>
      </c>
      <c r="L55" s="69">
        <f>Champions!AZ55</f>
        <v/>
      </c>
      <c r="M55" s="53">
        <f>K55+L55</f>
        <v/>
      </c>
      <c r="N55" s="53">
        <f>M55*abroad_tax</f>
        <v/>
      </c>
      <c r="O55" s="69">
        <f>Labour!R55</f>
        <v/>
      </c>
      <c r="P55" s="47">
        <f>Economy!O55+M55-O55</f>
        <v/>
      </c>
      <c r="Q55" s="63">
        <f>M55/P55</f>
        <v/>
      </c>
      <c r="R55" s="63">
        <f>J55/Economy!O55</f>
        <v/>
      </c>
    </row>
    <row r="56">
      <c r="A56" s="58" t="n">
        <v>1896</v>
      </c>
      <c r="B56" s="59" t="n">
        <v>0.02</v>
      </c>
      <c r="C56" s="53">
        <f>Economy!O56*B56</f>
        <v/>
      </c>
      <c r="D56" s="53">
        <f>IF(AND($A56&gt;=1914,$A56&lt;=1918),entente_total*entente_private*CHOOSE($A56-1913,0.05,0.1333,0.2333,0.3,0.2834),0)</f>
        <v/>
      </c>
      <c r="E56" s="53">
        <f>H55</f>
        <v/>
      </c>
      <c r="F56" s="53">
        <f>E56*abroad_repat</f>
        <v/>
      </c>
      <c r="G56" s="53">
        <f>IF($A56=1918,russia_writeoff*entente_total*entente_private,0)+IF(OR($A56=1931,$A56=1932),E56*abroad_loss/2,0)</f>
        <v/>
      </c>
      <c r="H56" s="53">
        <f>E56+C56+D56-F56-G56</f>
        <v/>
      </c>
      <c r="I56" s="69">
        <f>Champions!AY56</f>
        <v/>
      </c>
      <c r="J56" s="53">
        <f>H56+I56</f>
        <v/>
      </c>
      <c r="K56" s="53">
        <f>E56*abroad_return*IF(OR($A56=1931,$A56=1932),abroad_slump,1)</f>
        <v/>
      </c>
      <c r="L56" s="69">
        <f>Champions!AZ56</f>
        <v/>
      </c>
      <c r="M56" s="53">
        <f>K56+L56</f>
        <v/>
      </c>
      <c r="N56" s="53">
        <f>M56*abroad_tax</f>
        <v/>
      </c>
      <c r="O56" s="69">
        <f>Labour!R56</f>
        <v/>
      </c>
      <c r="P56" s="47">
        <f>Economy!O56+M56-O56</f>
        <v/>
      </c>
      <c r="Q56" s="63">
        <f>M56/P56</f>
        <v/>
      </c>
      <c r="R56" s="63">
        <f>J56/Economy!O56</f>
        <v/>
      </c>
    </row>
    <row r="57">
      <c r="A57" s="58" t="n">
        <v>1897</v>
      </c>
      <c r="B57" s="59" t="n">
        <v>0.02</v>
      </c>
      <c r="C57" s="53">
        <f>Economy!O57*B57</f>
        <v/>
      </c>
      <c r="D57" s="53">
        <f>IF(AND($A57&gt;=1914,$A57&lt;=1918),entente_total*entente_private*CHOOSE($A57-1913,0.05,0.1333,0.2333,0.3,0.2834),0)</f>
        <v/>
      </c>
      <c r="E57" s="53">
        <f>H56</f>
        <v/>
      </c>
      <c r="F57" s="53">
        <f>E57*abroad_repat</f>
        <v/>
      </c>
      <c r="G57" s="53">
        <f>IF($A57=1918,russia_writeoff*entente_total*entente_private,0)+IF(OR($A57=1931,$A57=1932),E57*abroad_loss/2,0)</f>
        <v/>
      </c>
      <c r="H57" s="53">
        <f>E57+C57+D57-F57-G57</f>
        <v/>
      </c>
      <c r="I57" s="69">
        <f>Champions!AY57</f>
        <v/>
      </c>
      <c r="J57" s="53">
        <f>H57+I57</f>
        <v/>
      </c>
      <c r="K57" s="53">
        <f>E57*abroad_return*IF(OR($A57=1931,$A57=1932),abroad_slump,1)</f>
        <v/>
      </c>
      <c r="L57" s="69">
        <f>Champions!AZ57</f>
        <v/>
      </c>
      <c r="M57" s="53">
        <f>K57+L57</f>
        <v/>
      </c>
      <c r="N57" s="53">
        <f>M57*abroad_tax</f>
        <v/>
      </c>
      <c r="O57" s="69">
        <f>Labour!R57</f>
        <v/>
      </c>
      <c r="P57" s="47">
        <f>Economy!O57+M57-O57</f>
        <v/>
      </c>
      <c r="Q57" s="63">
        <f>M57/P57</f>
        <v/>
      </c>
      <c r="R57" s="63">
        <f>J57/Economy!O57</f>
        <v/>
      </c>
    </row>
    <row r="58">
      <c r="A58" s="58" t="n">
        <v>1898</v>
      </c>
      <c r="B58" s="59" t="n">
        <v>0.02</v>
      </c>
      <c r="C58" s="53">
        <f>Economy!O58*B58</f>
        <v/>
      </c>
      <c r="D58" s="53">
        <f>IF(AND($A58&gt;=1914,$A58&lt;=1918),entente_total*entente_private*CHOOSE($A58-1913,0.05,0.1333,0.2333,0.3,0.2834),0)</f>
        <v/>
      </c>
      <c r="E58" s="53">
        <f>H57</f>
        <v/>
      </c>
      <c r="F58" s="53">
        <f>E58*abroad_repat</f>
        <v/>
      </c>
      <c r="G58" s="53">
        <f>IF($A58=1918,russia_writeoff*entente_total*entente_private,0)+IF(OR($A58=1931,$A58=1932),E58*abroad_loss/2,0)</f>
        <v/>
      </c>
      <c r="H58" s="53">
        <f>E58+C58+D58-F58-G58</f>
        <v/>
      </c>
      <c r="I58" s="69">
        <f>Champions!AY58</f>
        <v/>
      </c>
      <c r="J58" s="53">
        <f>H58+I58</f>
        <v/>
      </c>
      <c r="K58" s="53">
        <f>E58*abroad_return*IF(OR($A58=1931,$A58=1932),abroad_slump,1)</f>
        <v/>
      </c>
      <c r="L58" s="69">
        <f>Champions!AZ58</f>
        <v/>
      </c>
      <c r="M58" s="53">
        <f>K58+L58</f>
        <v/>
      </c>
      <c r="N58" s="53">
        <f>M58*abroad_tax</f>
        <v/>
      </c>
      <c r="O58" s="69">
        <f>Labour!R58</f>
        <v/>
      </c>
      <c r="P58" s="47">
        <f>Economy!O58+M58-O58</f>
        <v/>
      </c>
      <c r="Q58" s="63">
        <f>M58/P58</f>
        <v/>
      </c>
      <c r="R58" s="63">
        <f>J58/Economy!O58</f>
        <v/>
      </c>
    </row>
    <row r="59">
      <c r="A59" s="58" t="n">
        <v>1899</v>
      </c>
      <c r="B59" s="59" t="n">
        <v>0.02</v>
      </c>
      <c r="C59" s="53">
        <f>Economy!O59*B59</f>
        <v/>
      </c>
      <c r="D59" s="53">
        <f>IF(AND($A59&gt;=1914,$A59&lt;=1918),entente_total*entente_private*CHOOSE($A59-1913,0.05,0.1333,0.2333,0.3,0.2834),0)</f>
        <v/>
      </c>
      <c r="E59" s="53">
        <f>H58</f>
        <v/>
      </c>
      <c r="F59" s="53">
        <f>E59*abroad_repat</f>
        <v/>
      </c>
      <c r="G59" s="53">
        <f>IF($A59=1918,russia_writeoff*entente_total*entente_private,0)+IF(OR($A59=1931,$A59=1932),E59*abroad_loss/2,0)</f>
        <v/>
      </c>
      <c r="H59" s="53">
        <f>E59+C59+D59-F59-G59</f>
        <v/>
      </c>
      <c r="I59" s="69">
        <f>Champions!AY59</f>
        <v/>
      </c>
      <c r="J59" s="53">
        <f>H59+I59</f>
        <v/>
      </c>
      <c r="K59" s="53">
        <f>E59*abroad_return*IF(OR($A59=1931,$A59=1932),abroad_slump,1)</f>
        <v/>
      </c>
      <c r="L59" s="69">
        <f>Champions!AZ59</f>
        <v/>
      </c>
      <c r="M59" s="53">
        <f>K59+L59</f>
        <v/>
      </c>
      <c r="N59" s="53">
        <f>M59*abroad_tax</f>
        <v/>
      </c>
      <c r="O59" s="69">
        <f>Labour!R59</f>
        <v/>
      </c>
      <c r="P59" s="47">
        <f>Economy!O59+M59-O59</f>
        <v/>
      </c>
      <c r="Q59" s="63">
        <f>M59/P59</f>
        <v/>
      </c>
      <c r="R59" s="63">
        <f>J59/Economy!O59</f>
        <v/>
      </c>
    </row>
    <row r="60">
      <c r="A60" s="58" t="n">
        <v>1900</v>
      </c>
      <c r="B60" s="59" t="n">
        <v>0.02</v>
      </c>
      <c r="C60" s="53">
        <f>Economy!O60*B60</f>
        <v/>
      </c>
      <c r="D60" s="53">
        <f>IF(AND($A60&gt;=1914,$A60&lt;=1918),entente_total*entente_private*CHOOSE($A60-1913,0.05,0.1333,0.2333,0.3,0.2834),0)</f>
        <v/>
      </c>
      <c r="E60" s="53">
        <f>H59</f>
        <v/>
      </c>
      <c r="F60" s="53">
        <f>E60*abroad_repat</f>
        <v/>
      </c>
      <c r="G60" s="53">
        <f>IF($A60=1918,russia_writeoff*entente_total*entente_private,0)+IF(OR($A60=1931,$A60=1932),E60*abroad_loss/2,0)</f>
        <v/>
      </c>
      <c r="H60" s="53">
        <f>E60+C60+D60-F60-G60</f>
        <v/>
      </c>
      <c r="I60" s="69">
        <f>Champions!AY60</f>
        <v/>
      </c>
      <c r="J60" s="53">
        <f>H60+I60</f>
        <v/>
      </c>
      <c r="K60" s="53">
        <f>E60*abroad_return*IF(OR($A60=1931,$A60=1932),abroad_slump,1)</f>
        <v/>
      </c>
      <c r="L60" s="69">
        <f>Champions!AZ60</f>
        <v/>
      </c>
      <c r="M60" s="53">
        <f>K60+L60</f>
        <v/>
      </c>
      <c r="N60" s="53">
        <f>M60*abroad_tax</f>
        <v/>
      </c>
      <c r="O60" s="69">
        <f>Labour!R60</f>
        <v/>
      </c>
      <c r="P60" s="47">
        <f>Economy!O60+M60-O60</f>
        <v/>
      </c>
      <c r="Q60" s="63">
        <f>M60/P60</f>
        <v/>
      </c>
      <c r="R60" s="63">
        <f>J60/Economy!O60</f>
        <v/>
      </c>
    </row>
    <row r="61">
      <c r="A61" s="58" t="n">
        <v>1901</v>
      </c>
      <c r="B61" s="59" t="n">
        <v>0.02</v>
      </c>
      <c r="C61" s="53">
        <f>Economy!O61*B61</f>
        <v/>
      </c>
      <c r="D61" s="53">
        <f>IF(AND($A61&gt;=1914,$A61&lt;=1918),entente_total*entente_private*CHOOSE($A61-1913,0.05,0.1333,0.2333,0.3,0.2834),0)</f>
        <v/>
      </c>
      <c r="E61" s="53">
        <f>H60</f>
        <v/>
      </c>
      <c r="F61" s="53">
        <f>E61*abroad_repat</f>
        <v/>
      </c>
      <c r="G61" s="53">
        <f>IF($A61=1918,russia_writeoff*entente_total*entente_private,0)+IF(OR($A61=1931,$A61=1932),E61*abroad_loss/2,0)</f>
        <v/>
      </c>
      <c r="H61" s="53">
        <f>E61+C61+D61-F61-G61</f>
        <v/>
      </c>
      <c r="I61" s="69">
        <f>Champions!AY61</f>
        <v/>
      </c>
      <c r="J61" s="53">
        <f>H61+I61</f>
        <v/>
      </c>
      <c r="K61" s="53">
        <f>E61*abroad_return*IF(OR($A61=1931,$A61=1932),abroad_slump,1)</f>
        <v/>
      </c>
      <c r="L61" s="69">
        <f>Champions!AZ61</f>
        <v/>
      </c>
      <c r="M61" s="53">
        <f>K61+L61</f>
        <v/>
      </c>
      <c r="N61" s="53">
        <f>M61*abroad_tax</f>
        <v/>
      </c>
      <c r="O61" s="69">
        <f>Labour!R61</f>
        <v/>
      </c>
      <c r="P61" s="47">
        <f>Economy!O61+M61-O61</f>
        <v/>
      </c>
      <c r="Q61" s="63">
        <f>M61/P61</f>
        <v/>
      </c>
      <c r="R61" s="63">
        <f>J61/Economy!O61</f>
        <v/>
      </c>
    </row>
    <row r="62">
      <c r="A62" s="58" t="n">
        <v>1902</v>
      </c>
      <c r="B62" s="59" t="n">
        <v>0.02</v>
      </c>
      <c r="C62" s="53">
        <f>Economy!O62*B62</f>
        <v/>
      </c>
      <c r="D62" s="53">
        <f>IF(AND($A62&gt;=1914,$A62&lt;=1918),entente_total*entente_private*CHOOSE($A62-1913,0.05,0.1333,0.2333,0.3,0.2834),0)</f>
        <v/>
      </c>
      <c r="E62" s="53">
        <f>H61</f>
        <v/>
      </c>
      <c r="F62" s="53">
        <f>E62*abroad_repat</f>
        <v/>
      </c>
      <c r="G62" s="53">
        <f>IF($A62=1918,russia_writeoff*entente_total*entente_private,0)+IF(OR($A62=1931,$A62=1932),E62*abroad_loss/2,0)</f>
        <v/>
      </c>
      <c r="H62" s="53">
        <f>E62+C62+D62-F62-G62</f>
        <v/>
      </c>
      <c r="I62" s="69">
        <f>Champions!AY62</f>
        <v/>
      </c>
      <c r="J62" s="53">
        <f>H62+I62</f>
        <v/>
      </c>
      <c r="K62" s="53">
        <f>E62*abroad_return*IF(OR($A62=1931,$A62=1932),abroad_slump,1)</f>
        <v/>
      </c>
      <c r="L62" s="69">
        <f>Champions!AZ62</f>
        <v/>
      </c>
      <c r="M62" s="53">
        <f>K62+L62</f>
        <v/>
      </c>
      <c r="N62" s="53">
        <f>M62*abroad_tax</f>
        <v/>
      </c>
      <c r="O62" s="69">
        <f>Labour!R62</f>
        <v/>
      </c>
      <c r="P62" s="47">
        <f>Economy!O62+M62-O62</f>
        <v/>
      </c>
      <c r="Q62" s="63">
        <f>M62/P62</f>
        <v/>
      </c>
      <c r="R62" s="63">
        <f>J62/Economy!O62</f>
        <v/>
      </c>
    </row>
    <row r="63">
      <c r="A63" s="58" t="n">
        <v>1903</v>
      </c>
      <c r="B63" s="59" t="n">
        <v>0.02</v>
      </c>
      <c r="C63" s="53">
        <f>Economy!O63*B63</f>
        <v/>
      </c>
      <c r="D63" s="53">
        <f>IF(AND($A63&gt;=1914,$A63&lt;=1918),entente_total*entente_private*CHOOSE($A63-1913,0.05,0.1333,0.2333,0.3,0.2834),0)</f>
        <v/>
      </c>
      <c r="E63" s="53">
        <f>H62</f>
        <v/>
      </c>
      <c r="F63" s="53">
        <f>E63*abroad_repat</f>
        <v/>
      </c>
      <c r="G63" s="53">
        <f>IF($A63=1918,russia_writeoff*entente_total*entente_private,0)+IF(OR($A63=1931,$A63=1932),E63*abroad_loss/2,0)</f>
        <v/>
      </c>
      <c r="H63" s="53">
        <f>E63+C63+D63-F63-G63</f>
        <v/>
      </c>
      <c r="I63" s="69">
        <f>Champions!AY63</f>
        <v/>
      </c>
      <c r="J63" s="53">
        <f>H63+I63</f>
        <v/>
      </c>
      <c r="K63" s="53">
        <f>E63*abroad_return*IF(OR($A63=1931,$A63=1932),abroad_slump,1)</f>
        <v/>
      </c>
      <c r="L63" s="69">
        <f>Champions!AZ63</f>
        <v/>
      </c>
      <c r="M63" s="53">
        <f>K63+L63</f>
        <v/>
      </c>
      <c r="N63" s="53">
        <f>M63*abroad_tax</f>
        <v/>
      </c>
      <c r="O63" s="69">
        <f>Labour!R63</f>
        <v/>
      </c>
      <c r="P63" s="47">
        <f>Economy!O63+M63-O63</f>
        <v/>
      </c>
      <c r="Q63" s="63">
        <f>M63/P63</f>
        <v/>
      </c>
      <c r="R63" s="63">
        <f>J63/Economy!O63</f>
        <v/>
      </c>
    </row>
    <row r="64">
      <c r="A64" s="58" t="n">
        <v>1904</v>
      </c>
      <c r="B64" s="59" t="n">
        <v>0.02</v>
      </c>
      <c r="C64" s="53">
        <f>Economy!O64*B64</f>
        <v/>
      </c>
      <c r="D64" s="53">
        <f>IF(AND($A64&gt;=1914,$A64&lt;=1918),entente_total*entente_private*CHOOSE($A64-1913,0.05,0.1333,0.2333,0.3,0.2834),0)</f>
        <v/>
      </c>
      <c r="E64" s="53">
        <f>H63</f>
        <v/>
      </c>
      <c r="F64" s="53">
        <f>E64*abroad_repat</f>
        <v/>
      </c>
      <c r="G64" s="53">
        <f>IF($A64=1918,russia_writeoff*entente_total*entente_private,0)+IF(OR($A64=1931,$A64=1932),E64*abroad_loss/2,0)</f>
        <v/>
      </c>
      <c r="H64" s="53">
        <f>E64+C64+D64-F64-G64</f>
        <v/>
      </c>
      <c r="I64" s="69">
        <f>Champions!AY64</f>
        <v/>
      </c>
      <c r="J64" s="53">
        <f>H64+I64</f>
        <v/>
      </c>
      <c r="K64" s="53">
        <f>E64*abroad_return*IF(OR($A64=1931,$A64=1932),abroad_slump,1)</f>
        <v/>
      </c>
      <c r="L64" s="69">
        <f>Champions!AZ64</f>
        <v/>
      </c>
      <c r="M64" s="53">
        <f>K64+L64</f>
        <v/>
      </c>
      <c r="N64" s="53">
        <f>M64*abroad_tax</f>
        <v/>
      </c>
      <c r="O64" s="69">
        <f>Labour!R64</f>
        <v/>
      </c>
      <c r="P64" s="47">
        <f>Economy!O64+M64-O64</f>
        <v/>
      </c>
      <c r="Q64" s="63">
        <f>M64/P64</f>
        <v/>
      </c>
      <c r="R64" s="63">
        <f>J64/Economy!O64</f>
        <v/>
      </c>
    </row>
    <row r="65">
      <c r="A65" s="58" t="n">
        <v>1905</v>
      </c>
      <c r="B65" s="59" t="n">
        <v>0.02</v>
      </c>
      <c r="C65" s="53">
        <f>Economy!O65*B65</f>
        <v/>
      </c>
      <c r="D65" s="53">
        <f>IF(AND($A65&gt;=1914,$A65&lt;=1918),entente_total*entente_private*CHOOSE($A65-1913,0.05,0.1333,0.2333,0.3,0.2834),0)</f>
        <v/>
      </c>
      <c r="E65" s="53">
        <f>H64</f>
        <v/>
      </c>
      <c r="F65" s="53">
        <f>E65*abroad_repat</f>
        <v/>
      </c>
      <c r="G65" s="53">
        <f>IF($A65=1918,russia_writeoff*entente_total*entente_private,0)+IF(OR($A65=1931,$A65=1932),E65*abroad_loss/2,0)</f>
        <v/>
      </c>
      <c r="H65" s="53">
        <f>E65+C65+D65-F65-G65</f>
        <v/>
      </c>
      <c r="I65" s="69">
        <f>Champions!AY65</f>
        <v/>
      </c>
      <c r="J65" s="53">
        <f>H65+I65</f>
        <v/>
      </c>
      <c r="K65" s="53">
        <f>E65*abroad_return*IF(OR($A65=1931,$A65=1932),abroad_slump,1)</f>
        <v/>
      </c>
      <c r="L65" s="69">
        <f>Champions!AZ65</f>
        <v/>
      </c>
      <c r="M65" s="53">
        <f>K65+L65</f>
        <v/>
      </c>
      <c r="N65" s="53">
        <f>M65*abroad_tax</f>
        <v/>
      </c>
      <c r="O65" s="69">
        <f>Labour!R65</f>
        <v/>
      </c>
      <c r="P65" s="47">
        <f>Economy!O65+M65-O65</f>
        <v/>
      </c>
      <c r="Q65" s="63">
        <f>M65/P65</f>
        <v/>
      </c>
      <c r="R65" s="63">
        <f>J65/Economy!O65</f>
        <v/>
      </c>
    </row>
    <row r="66">
      <c r="A66" s="58" t="n">
        <v>1906</v>
      </c>
      <c r="B66" s="59" t="n">
        <v>0.02</v>
      </c>
      <c r="C66" s="53">
        <f>Economy!O66*B66</f>
        <v/>
      </c>
      <c r="D66" s="53">
        <f>IF(AND($A66&gt;=1914,$A66&lt;=1918),entente_total*entente_private*CHOOSE($A66-1913,0.05,0.1333,0.2333,0.3,0.2834),0)</f>
        <v/>
      </c>
      <c r="E66" s="53">
        <f>H65</f>
        <v/>
      </c>
      <c r="F66" s="53">
        <f>E66*abroad_repat</f>
        <v/>
      </c>
      <c r="G66" s="53">
        <f>IF($A66=1918,russia_writeoff*entente_total*entente_private,0)+IF(OR($A66=1931,$A66=1932),E66*abroad_loss/2,0)</f>
        <v/>
      </c>
      <c r="H66" s="53">
        <f>E66+C66+D66-F66-G66</f>
        <v/>
      </c>
      <c r="I66" s="69">
        <f>Champions!AY66</f>
        <v/>
      </c>
      <c r="J66" s="53">
        <f>H66+I66</f>
        <v/>
      </c>
      <c r="K66" s="53">
        <f>E66*abroad_return*IF(OR($A66=1931,$A66=1932),abroad_slump,1)</f>
        <v/>
      </c>
      <c r="L66" s="69">
        <f>Champions!AZ66</f>
        <v/>
      </c>
      <c r="M66" s="53">
        <f>K66+L66</f>
        <v/>
      </c>
      <c r="N66" s="53">
        <f>M66*abroad_tax</f>
        <v/>
      </c>
      <c r="O66" s="69">
        <f>Labour!R66</f>
        <v/>
      </c>
      <c r="P66" s="47">
        <f>Economy!O66+M66-O66</f>
        <v/>
      </c>
      <c r="Q66" s="63">
        <f>M66/P66</f>
        <v/>
      </c>
      <c r="R66" s="63">
        <f>J66/Economy!O66</f>
        <v/>
      </c>
    </row>
    <row r="67">
      <c r="A67" s="58" t="n">
        <v>1907</v>
      </c>
      <c r="B67" s="59" t="n">
        <v>0.02</v>
      </c>
      <c r="C67" s="53">
        <f>Economy!O67*B67</f>
        <v/>
      </c>
      <c r="D67" s="53">
        <f>IF(AND($A67&gt;=1914,$A67&lt;=1918),entente_total*entente_private*CHOOSE($A67-1913,0.05,0.1333,0.2333,0.3,0.2834),0)</f>
        <v/>
      </c>
      <c r="E67" s="53">
        <f>H66</f>
        <v/>
      </c>
      <c r="F67" s="53">
        <f>E67*abroad_repat</f>
        <v/>
      </c>
      <c r="G67" s="53">
        <f>IF($A67=1918,russia_writeoff*entente_total*entente_private,0)+IF(OR($A67=1931,$A67=1932),E67*abroad_loss/2,0)</f>
        <v/>
      </c>
      <c r="H67" s="53">
        <f>E67+C67+D67-F67-G67</f>
        <v/>
      </c>
      <c r="I67" s="69">
        <f>Champions!AY67</f>
        <v/>
      </c>
      <c r="J67" s="53">
        <f>H67+I67</f>
        <v/>
      </c>
      <c r="K67" s="53">
        <f>E67*abroad_return*IF(OR($A67=1931,$A67=1932),abroad_slump,1)</f>
        <v/>
      </c>
      <c r="L67" s="69">
        <f>Champions!AZ67</f>
        <v/>
      </c>
      <c r="M67" s="53">
        <f>K67+L67</f>
        <v/>
      </c>
      <c r="N67" s="53">
        <f>M67*abroad_tax</f>
        <v/>
      </c>
      <c r="O67" s="69">
        <f>Labour!R67</f>
        <v/>
      </c>
      <c r="P67" s="47">
        <f>Economy!O67+M67-O67</f>
        <v/>
      </c>
      <c r="Q67" s="63">
        <f>M67/P67</f>
        <v/>
      </c>
      <c r="R67" s="63">
        <f>J67/Economy!O67</f>
        <v/>
      </c>
    </row>
    <row r="68">
      <c r="A68" s="58" t="n">
        <v>1908</v>
      </c>
      <c r="B68" s="59" t="n">
        <v>0.02</v>
      </c>
      <c r="C68" s="53">
        <f>Economy!O68*B68</f>
        <v/>
      </c>
      <c r="D68" s="53">
        <f>IF(AND($A68&gt;=1914,$A68&lt;=1918),entente_total*entente_private*CHOOSE($A68-1913,0.05,0.1333,0.2333,0.3,0.2834),0)</f>
        <v/>
      </c>
      <c r="E68" s="53">
        <f>H67</f>
        <v/>
      </c>
      <c r="F68" s="53">
        <f>E68*abroad_repat</f>
        <v/>
      </c>
      <c r="G68" s="53">
        <f>IF($A68=1918,russia_writeoff*entente_total*entente_private,0)+IF(OR($A68=1931,$A68=1932),E68*abroad_loss/2,0)</f>
        <v/>
      </c>
      <c r="H68" s="53">
        <f>E68+C68+D68-F68-G68</f>
        <v/>
      </c>
      <c r="I68" s="69">
        <f>Champions!AY68</f>
        <v/>
      </c>
      <c r="J68" s="53">
        <f>H68+I68</f>
        <v/>
      </c>
      <c r="K68" s="53">
        <f>E68*abroad_return*IF(OR($A68=1931,$A68=1932),abroad_slump,1)</f>
        <v/>
      </c>
      <c r="L68" s="69">
        <f>Champions!AZ68</f>
        <v/>
      </c>
      <c r="M68" s="53">
        <f>K68+L68</f>
        <v/>
      </c>
      <c r="N68" s="53">
        <f>M68*abroad_tax</f>
        <v/>
      </c>
      <c r="O68" s="69">
        <f>Labour!R68</f>
        <v/>
      </c>
      <c r="P68" s="47">
        <f>Economy!O68+M68-O68</f>
        <v/>
      </c>
      <c r="Q68" s="63">
        <f>M68/P68</f>
        <v/>
      </c>
      <c r="R68" s="63">
        <f>J68/Economy!O68</f>
        <v/>
      </c>
    </row>
    <row r="69">
      <c r="A69" s="58" t="n">
        <v>1909</v>
      </c>
      <c r="B69" s="59" t="n">
        <v>0.02</v>
      </c>
      <c r="C69" s="53">
        <f>Economy!O69*B69</f>
        <v/>
      </c>
      <c r="D69" s="53">
        <f>IF(AND($A69&gt;=1914,$A69&lt;=1918),entente_total*entente_private*CHOOSE($A69-1913,0.05,0.1333,0.2333,0.3,0.2834),0)</f>
        <v/>
      </c>
      <c r="E69" s="53">
        <f>H68</f>
        <v/>
      </c>
      <c r="F69" s="53">
        <f>E69*abroad_repat</f>
        <v/>
      </c>
      <c r="G69" s="53">
        <f>IF($A69=1918,russia_writeoff*entente_total*entente_private,0)+IF(OR($A69=1931,$A69=1932),E69*abroad_loss/2,0)</f>
        <v/>
      </c>
      <c r="H69" s="53">
        <f>E69+C69+D69-F69-G69</f>
        <v/>
      </c>
      <c r="I69" s="69">
        <f>Champions!AY69</f>
        <v/>
      </c>
      <c r="J69" s="53">
        <f>H69+I69</f>
        <v/>
      </c>
      <c r="K69" s="53">
        <f>E69*abroad_return*IF(OR($A69=1931,$A69=1932),abroad_slump,1)</f>
        <v/>
      </c>
      <c r="L69" s="69">
        <f>Champions!AZ69</f>
        <v/>
      </c>
      <c r="M69" s="53">
        <f>K69+L69</f>
        <v/>
      </c>
      <c r="N69" s="53">
        <f>M69*abroad_tax</f>
        <v/>
      </c>
      <c r="O69" s="69">
        <f>Labour!R69</f>
        <v/>
      </c>
      <c r="P69" s="47">
        <f>Economy!O69+M69-O69</f>
        <v/>
      </c>
      <c r="Q69" s="63">
        <f>M69/P69</f>
        <v/>
      </c>
      <c r="R69" s="63">
        <f>J69/Economy!O69</f>
        <v/>
      </c>
    </row>
    <row r="70">
      <c r="A70" s="58" t="n">
        <v>1910</v>
      </c>
      <c r="B70" s="59" t="n">
        <v>0.02</v>
      </c>
      <c r="C70" s="53">
        <f>Economy!O70*B70</f>
        <v/>
      </c>
      <c r="D70" s="53">
        <f>IF(AND($A70&gt;=1914,$A70&lt;=1918),entente_total*entente_private*CHOOSE($A70-1913,0.05,0.1333,0.2333,0.3,0.2834),0)</f>
        <v/>
      </c>
      <c r="E70" s="53">
        <f>H69</f>
        <v/>
      </c>
      <c r="F70" s="53">
        <f>E70*abroad_repat</f>
        <v/>
      </c>
      <c r="G70" s="53">
        <f>IF($A70=1918,russia_writeoff*entente_total*entente_private,0)+IF(OR($A70=1931,$A70=1932),E70*abroad_loss/2,0)</f>
        <v/>
      </c>
      <c r="H70" s="53">
        <f>E70+C70+D70-F70-G70</f>
        <v/>
      </c>
      <c r="I70" s="69">
        <f>Champions!AY70</f>
        <v/>
      </c>
      <c r="J70" s="53">
        <f>H70+I70</f>
        <v/>
      </c>
      <c r="K70" s="53">
        <f>E70*abroad_return*IF(OR($A70=1931,$A70=1932),abroad_slump,1)</f>
        <v/>
      </c>
      <c r="L70" s="69">
        <f>Champions!AZ70</f>
        <v/>
      </c>
      <c r="M70" s="53">
        <f>K70+L70</f>
        <v/>
      </c>
      <c r="N70" s="53">
        <f>M70*abroad_tax</f>
        <v/>
      </c>
      <c r="O70" s="69">
        <f>Labour!R70</f>
        <v/>
      </c>
      <c r="P70" s="47">
        <f>Economy!O70+M70-O70</f>
        <v/>
      </c>
      <c r="Q70" s="63">
        <f>M70/P70</f>
        <v/>
      </c>
      <c r="R70" s="63">
        <f>J70/Economy!O70</f>
        <v/>
      </c>
    </row>
    <row r="71">
      <c r="A71" s="58" t="n">
        <v>1911</v>
      </c>
      <c r="B71" s="59" t="n">
        <v>0.02</v>
      </c>
      <c r="C71" s="53">
        <f>Economy!O71*B71</f>
        <v/>
      </c>
      <c r="D71" s="53">
        <f>IF(AND($A71&gt;=1914,$A71&lt;=1918),entente_total*entente_private*CHOOSE($A71-1913,0.05,0.1333,0.2333,0.3,0.2834),0)</f>
        <v/>
      </c>
      <c r="E71" s="53">
        <f>H70</f>
        <v/>
      </c>
      <c r="F71" s="53">
        <f>E71*abroad_repat</f>
        <v/>
      </c>
      <c r="G71" s="53">
        <f>IF($A71=1918,russia_writeoff*entente_total*entente_private,0)+IF(OR($A71=1931,$A71=1932),E71*abroad_loss/2,0)</f>
        <v/>
      </c>
      <c r="H71" s="53">
        <f>E71+C71+D71-F71-G71</f>
        <v/>
      </c>
      <c r="I71" s="69">
        <f>Champions!AY71</f>
        <v/>
      </c>
      <c r="J71" s="53">
        <f>H71+I71</f>
        <v/>
      </c>
      <c r="K71" s="53">
        <f>E71*abroad_return*IF(OR($A71=1931,$A71=1932),abroad_slump,1)</f>
        <v/>
      </c>
      <c r="L71" s="69">
        <f>Champions!AZ71</f>
        <v/>
      </c>
      <c r="M71" s="53">
        <f>K71+L71</f>
        <v/>
      </c>
      <c r="N71" s="53">
        <f>M71*abroad_tax</f>
        <v/>
      </c>
      <c r="O71" s="69">
        <f>Labour!R71</f>
        <v/>
      </c>
      <c r="P71" s="47">
        <f>Economy!O71+M71-O71</f>
        <v/>
      </c>
      <c r="Q71" s="63">
        <f>M71/P71</f>
        <v/>
      </c>
      <c r="R71" s="63">
        <f>J71/Economy!O71</f>
        <v/>
      </c>
    </row>
    <row r="72">
      <c r="A72" s="58" t="n">
        <v>1912</v>
      </c>
      <c r="B72" s="59" t="n">
        <v>0.02</v>
      </c>
      <c r="C72" s="53">
        <f>Economy!O72*B72</f>
        <v/>
      </c>
      <c r="D72" s="53">
        <f>IF(AND($A72&gt;=1914,$A72&lt;=1918),entente_total*entente_private*CHOOSE($A72-1913,0.05,0.1333,0.2333,0.3,0.2834),0)</f>
        <v/>
      </c>
      <c r="E72" s="53">
        <f>H71</f>
        <v/>
      </c>
      <c r="F72" s="53">
        <f>E72*abroad_repat</f>
        <v/>
      </c>
      <c r="G72" s="53">
        <f>IF($A72=1918,russia_writeoff*entente_total*entente_private,0)+IF(OR($A72=1931,$A72=1932),E72*abroad_loss/2,0)</f>
        <v/>
      </c>
      <c r="H72" s="53">
        <f>E72+C72+D72-F72-G72</f>
        <v/>
      </c>
      <c r="I72" s="69">
        <f>Champions!AY72</f>
        <v/>
      </c>
      <c r="J72" s="53">
        <f>H72+I72</f>
        <v/>
      </c>
      <c r="K72" s="53">
        <f>E72*abroad_return*IF(OR($A72=1931,$A72=1932),abroad_slump,1)</f>
        <v/>
      </c>
      <c r="L72" s="69">
        <f>Champions!AZ72</f>
        <v/>
      </c>
      <c r="M72" s="53">
        <f>K72+L72</f>
        <v/>
      </c>
      <c r="N72" s="53">
        <f>M72*abroad_tax</f>
        <v/>
      </c>
      <c r="O72" s="69">
        <f>Labour!R72</f>
        <v/>
      </c>
      <c r="P72" s="47">
        <f>Economy!O72+M72-O72</f>
        <v/>
      </c>
      <c r="Q72" s="63">
        <f>M72/P72</f>
        <v/>
      </c>
      <c r="R72" s="63">
        <f>J72/Economy!O72</f>
        <v/>
      </c>
    </row>
    <row r="73">
      <c r="A73" s="58" t="n">
        <v>1913</v>
      </c>
      <c r="B73" s="59" t="n">
        <v>0.02</v>
      </c>
      <c r="C73" s="53">
        <f>Economy!O73*B73</f>
        <v/>
      </c>
      <c r="D73" s="53">
        <f>IF(AND($A73&gt;=1914,$A73&lt;=1918),entente_total*entente_private*CHOOSE($A73-1913,0.05,0.1333,0.2333,0.3,0.2834),0)</f>
        <v/>
      </c>
      <c r="E73" s="53">
        <f>H72</f>
        <v/>
      </c>
      <c r="F73" s="53">
        <f>E73*abroad_repat</f>
        <v/>
      </c>
      <c r="G73" s="53">
        <f>IF($A73=1918,russia_writeoff*entente_total*entente_private,0)+IF(OR($A73=1931,$A73=1932),E73*abroad_loss/2,0)</f>
        <v/>
      </c>
      <c r="H73" s="53">
        <f>E73+C73+D73-F73-G73</f>
        <v/>
      </c>
      <c r="I73" s="69">
        <f>Champions!AY73</f>
        <v/>
      </c>
      <c r="J73" s="53">
        <f>H73+I73</f>
        <v/>
      </c>
      <c r="K73" s="53">
        <f>E73*abroad_return*IF(OR($A73=1931,$A73=1932),abroad_slump,1)</f>
        <v/>
      </c>
      <c r="L73" s="69">
        <f>Champions!AZ73</f>
        <v/>
      </c>
      <c r="M73" s="53">
        <f>K73+L73</f>
        <v/>
      </c>
      <c r="N73" s="53">
        <f>M73*abroad_tax</f>
        <v/>
      </c>
      <c r="O73" s="69">
        <f>Labour!R73</f>
        <v/>
      </c>
      <c r="P73" s="47">
        <f>Economy!O73+M73-O73</f>
        <v/>
      </c>
      <c r="Q73" s="63">
        <f>M73/P73</f>
        <v/>
      </c>
      <c r="R73" s="63">
        <f>J73/Economy!O73</f>
        <v/>
      </c>
    </row>
    <row r="74">
      <c r="A74" s="61" t="n">
        <v>1914</v>
      </c>
      <c r="B74" s="59" t="n">
        <v>0.01</v>
      </c>
      <c r="C74" s="53">
        <f>Economy!O74*B74</f>
        <v/>
      </c>
      <c r="D74" s="53">
        <f>IF(AND($A74&gt;=1914,$A74&lt;=1918),entente_total*entente_private*CHOOSE($A74-1913,0.05,0.1333,0.2333,0.3,0.2834),0)</f>
        <v/>
      </c>
      <c r="E74" s="53">
        <f>H73</f>
        <v/>
      </c>
      <c r="F74" s="53">
        <f>E74*abroad_repat</f>
        <v/>
      </c>
      <c r="G74" s="53">
        <f>IF($A74=1918,russia_writeoff*entente_total*entente_private,0)+IF(OR($A74=1931,$A74=1932),E74*abroad_loss/2,0)</f>
        <v/>
      </c>
      <c r="H74" s="53">
        <f>E74+C74+D74-F74-G74</f>
        <v/>
      </c>
      <c r="I74" s="69">
        <f>Champions!AY74</f>
        <v/>
      </c>
      <c r="J74" s="53">
        <f>H74+I74</f>
        <v/>
      </c>
      <c r="K74" s="53">
        <f>E74*abroad_return*IF(OR($A74=1931,$A74=1932),abroad_slump,1)</f>
        <v/>
      </c>
      <c r="L74" s="69">
        <f>Champions!AZ74</f>
        <v/>
      </c>
      <c r="M74" s="53">
        <f>K74+L74</f>
        <v/>
      </c>
      <c r="N74" s="53">
        <f>M74*abroad_tax</f>
        <v/>
      </c>
      <c r="O74" s="69">
        <f>Labour!R74</f>
        <v/>
      </c>
      <c r="P74" s="47">
        <f>Economy!O74+M74-O74</f>
        <v/>
      </c>
      <c r="Q74" s="63">
        <f>M74/P74</f>
        <v/>
      </c>
      <c r="R74" s="63">
        <f>J74/Economy!O74</f>
        <v/>
      </c>
    </row>
    <row r="75">
      <c r="A75" s="61" t="n">
        <v>1915</v>
      </c>
      <c r="B75" s="59" t="n">
        <v>0.01</v>
      </c>
      <c r="C75" s="53">
        <f>Economy!O75*B75</f>
        <v/>
      </c>
      <c r="D75" s="53">
        <f>IF(AND($A75&gt;=1914,$A75&lt;=1918),entente_total*entente_private*CHOOSE($A75-1913,0.05,0.1333,0.2333,0.3,0.2834),0)</f>
        <v/>
      </c>
      <c r="E75" s="53">
        <f>H74</f>
        <v/>
      </c>
      <c r="F75" s="53">
        <f>E75*abroad_repat</f>
        <v/>
      </c>
      <c r="G75" s="53">
        <f>IF($A75=1918,russia_writeoff*entente_total*entente_private,0)+IF(OR($A75=1931,$A75=1932),E75*abroad_loss/2,0)</f>
        <v/>
      </c>
      <c r="H75" s="53">
        <f>E75+C75+D75-F75-G75</f>
        <v/>
      </c>
      <c r="I75" s="69">
        <f>Champions!AY75</f>
        <v/>
      </c>
      <c r="J75" s="53">
        <f>H75+I75</f>
        <v/>
      </c>
      <c r="K75" s="53">
        <f>E75*abroad_return*IF(OR($A75=1931,$A75=1932),abroad_slump,1)</f>
        <v/>
      </c>
      <c r="L75" s="69">
        <f>Champions!AZ75</f>
        <v/>
      </c>
      <c r="M75" s="53">
        <f>K75+L75</f>
        <v/>
      </c>
      <c r="N75" s="53">
        <f>M75*abroad_tax</f>
        <v/>
      </c>
      <c r="O75" s="69">
        <f>Labour!R75</f>
        <v/>
      </c>
      <c r="P75" s="47">
        <f>Economy!O75+M75-O75</f>
        <v/>
      </c>
      <c r="Q75" s="63">
        <f>M75/P75</f>
        <v/>
      </c>
      <c r="R75" s="63">
        <f>J75/Economy!O75</f>
        <v/>
      </c>
    </row>
    <row r="76">
      <c r="A76" s="61" t="n">
        <v>1916</v>
      </c>
      <c r="B76" s="59" t="n">
        <v>0.01</v>
      </c>
      <c r="C76" s="53">
        <f>Economy!O76*B76</f>
        <v/>
      </c>
      <c r="D76" s="53">
        <f>IF(AND($A76&gt;=1914,$A76&lt;=1918),entente_total*entente_private*CHOOSE($A76-1913,0.05,0.1333,0.2333,0.3,0.2834),0)</f>
        <v/>
      </c>
      <c r="E76" s="53">
        <f>H75</f>
        <v/>
      </c>
      <c r="F76" s="53">
        <f>E76*abroad_repat</f>
        <v/>
      </c>
      <c r="G76" s="53">
        <f>IF($A76=1918,russia_writeoff*entente_total*entente_private,0)+IF(OR($A76=1931,$A76=1932),E76*abroad_loss/2,0)</f>
        <v/>
      </c>
      <c r="H76" s="53">
        <f>E76+C76+D76-F76-G76</f>
        <v/>
      </c>
      <c r="I76" s="69">
        <f>Champions!AY76</f>
        <v/>
      </c>
      <c r="J76" s="53">
        <f>H76+I76</f>
        <v/>
      </c>
      <c r="K76" s="53">
        <f>E76*abroad_return*IF(OR($A76=1931,$A76=1932),abroad_slump,1)</f>
        <v/>
      </c>
      <c r="L76" s="69">
        <f>Champions!AZ76</f>
        <v/>
      </c>
      <c r="M76" s="53">
        <f>K76+L76</f>
        <v/>
      </c>
      <c r="N76" s="53">
        <f>M76*abroad_tax</f>
        <v/>
      </c>
      <c r="O76" s="69">
        <f>Labour!R76</f>
        <v/>
      </c>
      <c r="P76" s="47">
        <f>Economy!O76+M76-O76</f>
        <v/>
      </c>
      <c r="Q76" s="63">
        <f>M76/P76</f>
        <v/>
      </c>
      <c r="R76" s="63">
        <f>J76/Economy!O76</f>
        <v/>
      </c>
    </row>
    <row r="77">
      <c r="A77" s="61" t="n">
        <v>1917</v>
      </c>
      <c r="B77" s="59" t="n">
        <v>0.01</v>
      </c>
      <c r="C77" s="53">
        <f>Economy!O77*B77</f>
        <v/>
      </c>
      <c r="D77" s="53">
        <f>IF(AND($A77&gt;=1914,$A77&lt;=1918),entente_total*entente_private*CHOOSE($A77-1913,0.05,0.1333,0.2333,0.3,0.2834),0)</f>
        <v/>
      </c>
      <c r="E77" s="53">
        <f>H76</f>
        <v/>
      </c>
      <c r="F77" s="53">
        <f>E77*abroad_repat</f>
        <v/>
      </c>
      <c r="G77" s="53">
        <f>IF($A77=1918,russia_writeoff*entente_total*entente_private,0)+IF(OR($A77=1931,$A77=1932),E77*abroad_loss/2,0)</f>
        <v/>
      </c>
      <c r="H77" s="53">
        <f>E77+C77+D77-F77-G77</f>
        <v/>
      </c>
      <c r="I77" s="69">
        <f>Champions!AY77</f>
        <v/>
      </c>
      <c r="J77" s="53">
        <f>H77+I77</f>
        <v/>
      </c>
      <c r="K77" s="53">
        <f>E77*abroad_return*IF(OR($A77=1931,$A77=1932),abroad_slump,1)</f>
        <v/>
      </c>
      <c r="L77" s="69">
        <f>Champions!AZ77</f>
        <v/>
      </c>
      <c r="M77" s="53">
        <f>K77+L77</f>
        <v/>
      </c>
      <c r="N77" s="53">
        <f>M77*abroad_tax</f>
        <v/>
      </c>
      <c r="O77" s="69">
        <f>Labour!R77</f>
        <v/>
      </c>
      <c r="P77" s="47">
        <f>Economy!O77+M77-O77</f>
        <v/>
      </c>
      <c r="Q77" s="63">
        <f>M77/P77</f>
        <v/>
      </c>
      <c r="R77" s="63">
        <f>J77/Economy!O77</f>
        <v/>
      </c>
    </row>
    <row r="78">
      <c r="A78" s="61" t="n">
        <v>1918</v>
      </c>
      <c r="B78" s="59" t="n">
        <v>0.01</v>
      </c>
      <c r="C78" s="53">
        <f>Economy!O78*B78</f>
        <v/>
      </c>
      <c r="D78" s="53">
        <f>IF(AND($A78&gt;=1914,$A78&lt;=1918),entente_total*entente_private*CHOOSE($A78-1913,0.05,0.1333,0.2333,0.3,0.2834),0)</f>
        <v/>
      </c>
      <c r="E78" s="53">
        <f>H77</f>
        <v/>
      </c>
      <c r="F78" s="53">
        <f>E78*abroad_repat</f>
        <v/>
      </c>
      <c r="G78" s="53">
        <f>IF($A78=1918,russia_writeoff*entente_total*entente_private,0)+IF(OR($A78=1931,$A78=1932),E78*abroad_loss/2,0)</f>
        <v/>
      </c>
      <c r="H78" s="53">
        <f>E78+C78+D78-F78-G78</f>
        <v/>
      </c>
      <c r="I78" s="69">
        <f>Champions!AY78</f>
        <v/>
      </c>
      <c r="J78" s="53">
        <f>H78+I78</f>
        <v/>
      </c>
      <c r="K78" s="53">
        <f>E78*abroad_return*IF(OR($A78=1931,$A78=1932),abroad_slump,1)</f>
        <v/>
      </c>
      <c r="L78" s="69">
        <f>Champions!AZ78</f>
        <v/>
      </c>
      <c r="M78" s="53">
        <f>K78+L78</f>
        <v/>
      </c>
      <c r="N78" s="53">
        <f>M78*abroad_tax</f>
        <v/>
      </c>
      <c r="O78" s="69">
        <f>Labour!R78</f>
        <v/>
      </c>
      <c r="P78" s="47">
        <f>Economy!O78+M78-O78</f>
        <v/>
      </c>
      <c r="Q78" s="63">
        <f>M78/P78</f>
        <v/>
      </c>
      <c r="R78" s="63">
        <f>J78/Economy!O78</f>
        <v/>
      </c>
    </row>
    <row r="79">
      <c r="A79" s="61" t="n">
        <v>1919</v>
      </c>
      <c r="B79" s="59" t="n">
        <v>0.035</v>
      </c>
      <c r="C79" s="53">
        <f>Economy!O79*B79</f>
        <v/>
      </c>
      <c r="D79" s="53">
        <f>IF(AND($A79&gt;=1914,$A79&lt;=1918),entente_total*entente_private*CHOOSE($A79-1913,0.05,0.1333,0.2333,0.3,0.2834),0)</f>
        <v/>
      </c>
      <c r="E79" s="53">
        <f>H78</f>
        <v/>
      </c>
      <c r="F79" s="53">
        <f>E79*abroad_repat</f>
        <v/>
      </c>
      <c r="G79" s="53">
        <f>IF($A79=1918,russia_writeoff*entente_total*entente_private,0)+IF(OR($A79=1931,$A79=1932),E79*abroad_loss/2,0)</f>
        <v/>
      </c>
      <c r="H79" s="53">
        <f>E79+C79+D79-F79-G79</f>
        <v/>
      </c>
      <c r="I79" s="69">
        <f>Champions!AY79</f>
        <v/>
      </c>
      <c r="J79" s="53">
        <f>H79+I79</f>
        <v/>
      </c>
      <c r="K79" s="53">
        <f>E79*abroad_return*IF(OR($A79=1931,$A79=1932),abroad_slump,1)</f>
        <v/>
      </c>
      <c r="L79" s="69">
        <f>Champions!AZ79</f>
        <v/>
      </c>
      <c r="M79" s="53">
        <f>K79+L79</f>
        <v/>
      </c>
      <c r="N79" s="53">
        <f>M79*abroad_tax</f>
        <v/>
      </c>
      <c r="O79" s="69">
        <f>Labour!R79</f>
        <v/>
      </c>
      <c r="P79" s="47">
        <f>Economy!O79+M79-O79</f>
        <v/>
      </c>
      <c r="Q79" s="63">
        <f>M79/P79</f>
        <v/>
      </c>
      <c r="R79" s="63">
        <f>J79/Economy!O79</f>
        <v/>
      </c>
    </row>
    <row r="80">
      <c r="A80" s="61" t="n">
        <v>1920</v>
      </c>
      <c r="B80" s="59" t="n">
        <v>0.035</v>
      </c>
      <c r="C80" s="53">
        <f>Economy!O80*B80</f>
        <v/>
      </c>
      <c r="D80" s="53">
        <f>IF(AND($A80&gt;=1914,$A80&lt;=1918),entente_total*entente_private*CHOOSE($A80-1913,0.05,0.1333,0.2333,0.3,0.2834),0)</f>
        <v/>
      </c>
      <c r="E80" s="53">
        <f>H79</f>
        <v/>
      </c>
      <c r="F80" s="53">
        <f>E80*abroad_repat</f>
        <v/>
      </c>
      <c r="G80" s="53">
        <f>IF($A80=1918,russia_writeoff*entente_total*entente_private,0)+IF(OR($A80=1931,$A80=1932),E80*abroad_loss/2,0)</f>
        <v/>
      </c>
      <c r="H80" s="53">
        <f>E80+C80+D80-F80-G80</f>
        <v/>
      </c>
      <c r="I80" s="69">
        <f>Champions!AY80</f>
        <v/>
      </c>
      <c r="J80" s="53">
        <f>H80+I80</f>
        <v/>
      </c>
      <c r="K80" s="53">
        <f>E80*abroad_return*IF(OR($A80=1931,$A80=1932),abroad_slump,1)</f>
        <v/>
      </c>
      <c r="L80" s="69">
        <f>Champions!AZ80</f>
        <v/>
      </c>
      <c r="M80" s="53">
        <f>K80+L80</f>
        <v/>
      </c>
      <c r="N80" s="53">
        <f>M80*abroad_tax</f>
        <v/>
      </c>
      <c r="O80" s="69">
        <f>Labour!R80</f>
        <v/>
      </c>
      <c r="P80" s="47">
        <f>Economy!O80+M80-O80</f>
        <v/>
      </c>
      <c r="Q80" s="63">
        <f>M80/P80</f>
        <v/>
      </c>
      <c r="R80" s="63">
        <f>J80/Economy!O80</f>
        <v/>
      </c>
    </row>
    <row r="81">
      <c r="A81" s="61" t="n">
        <v>1921</v>
      </c>
      <c r="B81" s="59" t="n">
        <v>0.035</v>
      </c>
      <c r="C81" s="53">
        <f>Economy!O81*B81</f>
        <v/>
      </c>
      <c r="D81" s="53">
        <f>IF(AND($A81&gt;=1914,$A81&lt;=1918),entente_total*entente_private*CHOOSE($A81-1913,0.05,0.1333,0.2333,0.3,0.2834),0)</f>
        <v/>
      </c>
      <c r="E81" s="53">
        <f>H80</f>
        <v/>
      </c>
      <c r="F81" s="53">
        <f>E81*abroad_repat</f>
        <v/>
      </c>
      <c r="G81" s="53">
        <f>IF($A81=1918,russia_writeoff*entente_total*entente_private,0)+IF(OR($A81=1931,$A81=1932),E81*abroad_loss/2,0)</f>
        <v/>
      </c>
      <c r="H81" s="53">
        <f>E81+C81+D81-F81-G81</f>
        <v/>
      </c>
      <c r="I81" s="69">
        <f>Champions!AY81</f>
        <v/>
      </c>
      <c r="J81" s="53">
        <f>H81+I81</f>
        <v/>
      </c>
      <c r="K81" s="53">
        <f>E81*abroad_return*IF(OR($A81=1931,$A81=1932),abroad_slump,1)</f>
        <v/>
      </c>
      <c r="L81" s="69">
        <f>Champions!AZ81</f>
        <v/>
      </c>
      <c r="M81" s="53">
        <f>K81+L81</f>
        <v/>
      </c>
      <c r="N81" s="53">
        <f>M81*abroad_tax</f>
        <v/>
      </c>
      <c r="O81" s="69">
        <f>Labour!R81</f>
        <v/>
      </c>
      <c r="P81" s="47">
        <f>Economy!O81+M81-O81</f>
        <v/>
      </c>
      <c r="Q81" s="63">
        <f>M81/P81</f>
        <v/>
      </c>
      <c r="R81" s="63">
        <f>J81/Economy!O81</f>
        <v/>
      </c>
    </row>
    <row r="82">
      <c r="A82" s="61" t="n">
        <v>1922</v>
      </c>
      <c r="B82" s="59" t="n">
        <v>0.035</v>
      </c>
      <c r="C82" s="53">
        <f>Economy!O82*B82</f>
        <v/>
      </c>
      <c r="D82" s="53">
        <f>IF(AND($A82&gt;=1914,$A82&lt;=1918),entente_total*entente_private*CHOOSE($A82-1913,0.05,0.1333,0.2333,0.3,0.2834),0)</f>
        <v/>
      </c>
      <c r="E82" s="53">
        <f>H81</f>
        <v/>
      </c>
      <c r="F82" s="53">
        <f>E82*abroad_repat</f>
        <v/>
      </c>
      <c r="G82" s="53">
        <f>IF($A82=1918,russia_writeoff*entente_total*entente_private,0)+IF(OR($A82=1931,$A82=1932),E82*abroad_loss/2,0)</f>
        <v/>
      </c>
      <c r="H82" s="53">
        <f>E82+C82+D82-F82-G82</f>
        <v/>
      </c>
      <c r="I82" s="69">
        <f>Champions!AY82</f>
        <v/>
      </c>
      <c r="J82" s="53">
        <f>H82+I82</f>
        <v/>
      </c>
      <c r="K82" s="53">
        <f>E82*abroad_return*IF(OR($A82=1931,$A82=1932),abroad_slump,1)</f>
        <v/>
      </c>
      <c r="L82" s="69">
        <f>Champions!AZ82</f>
        <v/>
      </c>
      <c r="M82" s="53">
        <f>K82+L82</f>
        <v/>
      </c>
      <c r="N82" s="53">
        <f>M82*abroad_tax</f>
        <v/>
      </c>
      <c r="O82" s="69">
        <f>Labour!R82</f>
        <v/>
      </c>
      <c r="P82" s="47">
        <f>Economy!O82+M82-O82</f>
        <v/>
      </c>
      <c r="Q82" s="63">
        <f>M82/P82</f>
        <v/>
      </c>
      <c r="R82" s="63">
        <f>J82/Economy!O82</f>
        <v/>
      </c>
    </row>
    <row r="83">
      <c r="A83" s="58" t="n">
        <v>1923</v>
      </c>
      <c r="B83" s="59" t="n">
        <v>0.035</v>
      </c>
      <c r="C83" s="53">
        <f>Economy!O83*B83</f>
        <v/>
      </c>
      <c r="D83" s="53">
        <f>IF(AND($A83&gt;=1914,$A83&lt;=1918),entente_total*entente_private*CHOOSE($A83-1913,0.05,0.1333,0.2333,0.3,0.2834),0)</f>
        <v/>
      </c>
      <c r="E83" s="53">
        <f>H82</f>
        <v/>
      </c>
      <c r="F83" s="53">
        <f>E83*abroad_repat</f>
        <v/>
      </c>
      <c r="G83" s="53">
        <f>IF($A83=1918,russia_writeoff*entente_total*entente_private,0)+IF(OR($A83=1931,$A83=1932),E83*abroad_loss/2,0)</f>
        <v/>
      </c>
      <c r="H83" s="53">
        <f>E83+C83+D83-F83-G83</f>
        <v/>
      </c>
      <c r="I83" s="69">
        <f>Champions!AY83</f>
        <v/>
      </c>
      <c r="J83" s="53">
        <f>H83+I83</f>
        <v/>
      </c>
      <c r="K83" s="53">
        <f>E83*abroad_return*IF(OR($A83=1931,$A83=1932),abroad_slump,1)</f>
        <v/>
      </c>
      <c r="L83" s="69">
        <f>Champions!AZ83</f>
        <v/>
      </c>
      <c r="M83" s="53">
        <f>K83+L83</f>
        <v/>
      </c>
      <c r="N83" s="53">
        <f>M83*abroad_tax</f>
        <v/>
      </c>
      <c r="O83" s="69">
        <f>Labour!R83</f>
        <v/>
      </c>
      <c r="P83" s="47">
        <f>Economy!O83+M83-O83</f>
        <v/>
      </c>
      <c r="Q83" s="63">
        <f>M83/P83</f>
        <v/>
      </c>
      <c r="R83" s="63">
        <f>J83/Economy!O83</f>
        <v/>
      </c>
    </row>
    <row r="84">
      <c r="A84" s="58" t="n">
        <v>1924</v>
      </c>
      <c r="B84" s="59" t="n">
        <v>0.035</v>
      </c>
      <c r="C84" s="53">
        <f>Economy!O84*B84</f>
        <v/>
      </c>
      <c r="D84" s="53">
        <f>IF(AND($A84&gt;=1914,$A84&lt;=1918),entente_total*entente_private*CHOOSE($A84-1913,0.05,0.1333,0.2333,0.3,0.2834),0)</f>
        <v/>
      </c>
      <c r="E84" s="53">
        <f>H83</f>
        <v/>
      </c>
      <c r="F84" s="53">
        <f>E84*abroad_repat</f>
        <v/>
      </c>
      <c r="G84" s="53">
        <f>IF($A84=1918,russia_writeoff*entente_total*entente_private,0)+IF(OR($A84=1931,$A84=1932),E84*abroad_loss/2,0)</f>
        <v/>
      </c>
      <c r="H84" s="53">
        <f>E84+C84+D84-F84-G84</f>
        <v/>
      </c>
      <c r="I84" s="69">
        <f>Champions!AY84</f>
        <v/>
      </c>
      <c r="J84" s="53">
        <f>H84+I84</f>
        <v/>
      </c>
      <c r="K84" s="53">
        <f>E84*abroad_return*IF(OR($A84=1931,$A84=1932),abroad_slump,1)</f>
        <v/>
      </c>
      <c r="L84" s="69">
        <f>Champions!AZ84</f>
        <v/>
      </c>
      <c r="M84" s="53">
        <f>K84+L84</f>
        <v/>
      </c>
      <c r="N84" s="53">
        <f>M84*abroad_tax</f>
        <v/>
      </c>
      <c r="O84" s="69">
        <f>Labour!R84</f>
        <v/>
      </c>
      <c r="P84" s="47">
        <f>Economy!O84+M84-O84</f>
        <v/>
      </c>
      <c r="Q84" s="63">
        <f>M84/P84</f>
        <v/>
      </c>
      <c r="R84" s="63">
        <f>J84/Economy!O84</f>
        <v/>
      </c>
    </row>
    <row r="85">
      <c r="A85" s="58" t="n">
        <v>1925</v>
      </c>
      <c r="B85" s="59" t="n">
        <v>0.035</v>
      </c>
      <c r="C85" s="53">
        <f>Economy!O85*B85</f>
        <v/>
      </c>
      <c r="D85" s="53">
        <f>IF(AND($A85&gt;=1914,$A85&lt;=1918),entente_total*entente_private*CHOOSE($A85-1913,0.05,0.1333,0.2333,0.3,0.2834),0)</f>
        <v/>
      </c>
      <c r="E85" s="53">
        <f>H84</f>
        <v/>
      </c>
      <c r="F85" s="53">
        <f>E85*abroad_repat</f>
        <v/>
      </c>
      <c r="G85" s="53">
        <f>IF($A85=1918,russia_writeoff*entente_total*entente_private,0)+IF(OR($A85=1931,$A85=1932),E85*abroad_loss/2,0)</f>
        <v/>
      </c>
      <c r="H85" s="53">
        <f>E85+C85+D85-F85-G85</f>
        <v/>
      </c>
      <c r="I85" s="69">
        <f>Champions!AY85</f>
        <v/>
      </c>
      <c r="J85" s="53">
        <f>H85+I85</f>
        <v/>
      </c>
      <c r="K85" s="53">
        <f>E85*abroad_return*IF(OR($A85=1931,$A85=1932),abroad_slump,1)</f>
        <v/>
      </c>
      <c r="L85" s="69">
        <f>Champions!AZ85</f>
        <v/>
      </c>
      <c r="M85" s="53">
        <f>K85+L85</f>
        <v/>
      </c>
      <c r="N85" s="53">
        <f>M85*abroad_tax</f>
        <v/>
      </c>
      <c r="O85" s="69">
        <f>Labour!R85</f>
        <v/>
      </c>
      <c r="P85" s="47">
        <f>Economy!O85+M85-O85</f>
        <v/>
      </c>
      <c r="Q85" s="63">
        <f>M85/P85</f>
        <v/>
      </c>
      <c r="R85" s="63">
        <f>J85/Economy!O85</f>
        <v/>
      </c>
    </row>
    <row r="86">
      <c r="A86" s="58" t="n">
        <v>1926</v>
      </c>
      <c r="B86" s="59" t="n">
        <v>0.035</v>
      </c>
      <c r="C86" s="53">
        <f>Economy!O86*B86</f>
        <v/>
      </c>
      <c r="D86" s="53">
        <f>IF(AND($A86&gt;=1914,$A86&lt;=1918),entente_total*entente_private*CHOOSE($A86-1913,0.05,0.1333,0.2333,0.3,0.2834),0)</f>
        <v/>
      </c>
      <c r="E86" s="53">
        <f>H85</f>
        <v/>
      </c>
      <c r="F86" s="53">
        <f>E86*abroad_repat</f>
        <v/>
      </c>
      <c r="G86" s="53">
        <f>IF($A86=1918,russia_writeoff*entente_total*entente_private,0)+IF(OR($A86=1931,$A86=1932),E86*abroad_loss/2,0)</f>
        <v/>
      </c>
      <c r="H86" s="53">
        <f>E86+C86+D86-F86-G86</f>
        <v/>
      </c>
      <c r="I86" s="69">
        <f>Champions!AY86</f>
        <v/>
      </c>
      <c r="J86" s="53">
        <f>H86+I86</f>
        <v/>
      </c>
      <c r="K86" s="53">
        <f>E86*abroad_return*IF(OR($A86=1931,$A86=1932),abroad_slump,1)</f>
        <v/>
      </c>
      <c r="L86" s="69">
        <f>Champions!AZ86</f>
        <v/>
      </c>
      <c r="M86" s="53">
        <f>K86+L86</f>
        <v/>
      </c>
      <c r="N86" s="53">
        <f>M86*abroad_tax</f>
        <v/>
      </c>
      <c r="O86" s="69">
        <f>Labour!R86</f>
        <v/>
      </c>
      <c r="P86" s="47">
        <f>Economy!O86+M86-O86</f>
        <v/>
      </c>
      <c r="Q86" s="63">
        <f>M86/P86</f>
        <v/>
      </c>
      <c r="R86" s="63">
        <f>J86/Economy!O86</f>
        <v/>
      </c>
    </row>
    <row r="87">
      <c r="A87" s="58" t="n">
        <v>1927</v>
      </c>
      <c r="B87" s="59" t="n">
        <v>0.035</v>
      </c>
      <c r="C87" s="53">
        <f>Economy!O87*B87</f>
        <v/>
      </c>
      <c r="D87" s="53">
        <f>IF(AND($A87&gt;=1914,$A87&lt;=1918),entente_total*entente_private*CHOOSE($A87-1913,0.05,0.1333,0.2333,0.3,0.2834),0)</f>
        <v/>
      </c>
      <c r="E87" s="53">
        <f>H86</f>
        <v/>
      </c>
      <c r="F87" s="53">
        <f>E87*abroad_repat</f>
        <v/>
      </c>
      <c r="G87" s="53">
        <f>IF($A87=1918,russia_writeoff*entente_total*entente_private,0)+IF(OR($A87=1931,$A87=1932),E87*abroad_loss/2,0)</f>
        <v/>
      </c>
      <c r="H87" s="53">
        <f>E87+C87+D87-F87-G87</f>
        <v/>
      </c>
      <c r="I87" s="69">
        <f>Champions!AY87</f>
        <v/>
      </c>
      <c r="J87" s="53">
        <f>H87+I87</f>
        <v/>
      </c>
      <c r="K87" s="53">
        <f>E87*abroad_return*IF(OR($A87=1931,$A87=1932),abroad_slump,1)</f>
        <v/>
      </c>
      <c r="L87" s="69">
        <f>Champions!AZ87</f>
        <v/>
      </c>
      <c r="M87" s="53">
        <f>K87+L87</f>
        <v/>
      </c>
      <c r="N87" s="53">
        <f>M87*abroad_tax</f>
        <v/>
      </c>
      <c r="O87" s="69">
        <f>Labour!R87</f>
        <v/>
      </c>
      <c r="P87" s="47">
        <f>Economy!O87+M87-O87</f>
        <v/>
      </c>
      <c r="Q87" s="63">
        <f>M87/P87</f>
        <v/>
      </c>
      <c r="R87" s="63">
        <f>J87/Economy!O87</f>
        <v/>
      </c>
    </row>
    <row r="88">
      <c r="A88" s="58" t="n">
        <v>1928</v>
      </c>
      <c r="B88" s="59" t="n">
        <v>0.035</v>
      </c>
      <c r="C88" s="53">
        <f>Economy!O88*B88</f>
        <v/>
      </c>
      <c r="D88" s="53">
        <f>IF(AND($A88&gt;=1914,$A88&lt;=1918),entente_total*entente_private*CHOOSE($A88-1913,0.05,0.1333,0.2333,0.3,0.2834),0)</f>
        <v/>
      </c>
      <c r="E88" s="53">
        <f>H87</f>
        <v/>
      </c>
      <c r="F88" s="53">
        <f>E88*abroad_repat</f>
        <v/>
      </c>
      <c r="G88" s="53">
        <f>IF($A88=1918,russia_writeoff*entente_total*entente_private,0)+IF(OR($A88=1931,$A88=1932),E88*abroad_loss/2,0)</f>
        <v/>
      </c>
      <c r="H88" s="53">
        <f>E88+C88+D88-F88-G88</f>
        <v/>
      </c>
      <c r="I88" s="69">
        <f>Champions!AY88</f>
        <v/>
      </c>
      <c r="J88" s="53">
        <f>H88+I88</f>
        <v/>
      </c>
      <c r="K88" s="53">
        <f>E88*abroad_return*IF(OR($A88=1931,$A88=1932),abroad_slump,1)</f>
        <v/>
      </c>
      <c r="L88" s="69">
        <f>Champions!AZ88</f>
        <v/>
      </c>
      <c r="M88" s="53">
        <f>K88+L88</f>
        <v/>
      </c>
      <c r="N88" s="53">
        <f>M88*abroad_tax</f>
        <v/>
      </c>
      <c r="O88" s="69">
        <f>Labour!R88</f>
        <v/>
      </c>
      <c r="P88" s="47">
        <f>Economy!O88+M88-O88</f>
        <v/>
      </c>
      <c r="Q88" s="63">
        <f>M88/P88</f>
        <v/>
      </c>
      <c r="R88" s="63">
        <f>J88/Economy!O88</f>
        <v/>
      </c>
    </row>
    <row r="89">
      <c r="A89" s="58" t="n">
        <v>1929</v>
      </c>
      <c r="B89" s="59" t="n">
        <v>0.035</v>
      </c>
      <c r="C89" s="53">
        <f>Economy!O89*B89</f>
        <v/>
      </c>
      <c r="D89" s="53">
        <f>IF(AND($A89&gt;=1914,$A89&lt;=1918),entente_total*entente_private*CHOOSE($A89-1913,0.05,0.1333,0.2333,0.3,0.2834),0)</f>
        <v/>
      </c>
      <c r="E89" s="53">
        <f>H88</f>
        <v/>
      </c>
      <c r="F89" s="53">
        <f>E89*abroad_repat</f>
        <v/>
      </c>
      <c r="G89" s="53">
        <f>IF($A89=1918,russia_writeoff*entente_total*entente_private,0)+IF(OR($A89=1931,$A89=1932),E89*abroad_loss/2,0)</f>
        <v/>
      </c>
      <c r="H89" s="53">
        <f>E89+C89+D89-F89-G89</f>
        <v/>
      </c>
      <c r="I89" s="69">
        <f>Champions!AY89</f>
        <v/>
      </c>
      <c r="J89" s="53">
        <f>H89+I89</f>
        <v/>
      </c>
      <c r="K89" s="53">
        <f>E89*abroad_return*IF(OR($A89=1931,$A89=1932),abroad_slump,1)</f>
        <v/>
      </c>
      <c r="L89" s="69">
        <f>Champions!AZ89</f>
        <v/>
      </c>
      <c r="M89" s="53">
        <f>K89+L89</f>
        <v/>
      </c>
      <c r="N89" s="53">
        <f>M89*abroad_tax</f>
        <v/>
      </c>
      <c r="O89" s="69">
        <f>Labour!R89</f>
        <v/>
      </c>
      <c r="P89" s="47">
        <f>Economy!O89+M89-O89</f>
        <v/>
      </c>
      <c r="Q89" s="63">
        <f>M89/P89</f>
        <v/>
      </c>
      <c r="R89" s="63">
        <f>J89/Economy!O89</f>
        <v/>
      </c>
    </row>
    <row r="90">
      <c r="A90" s="58" t="n">
        <v>1930</v>
      </c>
      <c r="B90" s="59" t="n">
        <v>0.005</v>
      </c>
      <c r="C90" s="53">
        <f>Economy!O90*B90</f>
        <v/>
      </c>
      <c r="D90" s="53">
        <f>IF(AND($A90&gt;=1914,$A90&lt;=1918),entente_total*entente_private*CHOOSE($A90-1913,0.05,0.1333,0.2333,0.3,0.2834),0)</f>
        <v/>
      </c>
      <c r="E90" s="53">
        <f>H89</f>
        <v/>
      </c>
      <c r="F90" s="53">
        <f>E90*abroad_repat</f>
        <v/>
      </c>
      <c r="G90" s="53">
        <f>IF($A90=1918,russia_writeoff*entente_total*entente_private,0)+IF(OR($A90=1931,$A90=1932),E90*abroad_loss/2,0)</f>
        <v/>
      </c>
      <c r="H90" s="53">
        <f>E90+C90+D90-F90-G90</f>
        <v/>
      </c>
      <c r="I90" s="69">
        <f>Champions!AY90</f>
        <v/>
      </c>
      <c r="J90" s="53">
        <f>H90+I90</f>
        <v/>
      </c>
      <c r="K90" s="53">
        <f>E90*abroad_return*IF(OR($A90=1931,$A90=1932),abroad_slump,1)</f>
        <v/>
      </c>
      <c r="L90" s="69">
        <f>Champions!AZ90</f>
        <v/>
      </c>
      <c r="M90" s="53">
        <f>K90+L90</f>
        <v/>
      </c>
      <c r="N90" s="53">
        <f>M90*abroad_tax</f>
        <v/>
      </c>
      <c r="O90" s="69">
        <f>Labour!R90</f>
        <v/>
      </c>
      <c r="P90" s="47">
        <f>Economy!O90+M90-O90</f>
        <v/>
      </c>
      <c r="Q90" s="63">
        <f>M90/P90</f>
        <v/>
      </c>
      <c r="R90" s="63">
        <f>J90/Economy!O90</f>
        <v/>
      </c>
    </row>
    <row r="91">
      <c r="A91" s="58" t="n">
        <v>1931</v>
      </c>
      <c r="B91" s="59" t="n">
        <v>0.005</v>
      </c>
      <c r="C91" s="53">
        <f>Economy!O91*B91</f>
        <v/>
      </c>
      <c r="D91" s="53">
        <f>IF(AND($A91&gt;=1914,$A91&lt;=1918),entente_total*entente_private*CHOOSE($A91-1913,0.05,0.1333,0.2333,0.3,0.2834),0)</f>
        <v/>
      </c>
      <c r="E91" s="53">
        <f>H90</f>
        <v/>
      </c>
      <c r="F91" s="53">
        <f>E91*abroad_repat</f>
        <v/>
      </c>
      <c r="G91" s="53">
        <f>IF($A91=1918,russia_writeoff*entente_total*entente_private,0)+IF(OR($A91=1931,$A91=1932),E91*abroad_loss/2,0)</f>
        <v/>
      </c>
      <c r="H91" s="53">
        <f>E91+C91+D91-F91-G91</f>
        <v/>
      </c>
      <c r="I91" s="69">
        <f>Champions!AY91</f>
        <v/>
      </c>
      <c r="J91" s="53">
        <f>H91+I91</f>
        <v/>
      </c>
      <c r="K91" s="53">
        <f>E91*abroad_return*IF(OR($A91=1931,$A91=1932),abroad_slump,1)</f>
        <v/>
      </c>
      <c r="L91" s="69">
        <f>Champions!AZ91</f>
        <v/>
      </c>
      <c r="M91" s="53">
        <f>K91+L91</f>
        <v/>
      </c>
      <c r="N91" s="53">
        <f>M91*abroad_tax</f>
        <v/>
      </c>
      <c r="O91" s="69">
        <f>Labour!R91</f>
        <v/>
      </c>
      <c r="P91" s="47">
        <f>Economy!O91+M91-O91</f>
        <v/>
      </c>
      <c r="Q91" s="63">
        <f>M91/P91</f>
        <v/>
      </c>
      <c r="R91" s="63">
        <f>J91/Economy!O91</f>
        <v/>
      </c>
    </row>
    <row r="92">
      <c r="A92" s="58" t="n">
        <v>1932</v>
      </c>
      <c r="B92" s="59" t="n">
        <v>0.005</v>
      </c>
      <c r="C92" s="53">
        <f>Economy!O92*B92</f>
        <v/>
      </c>
      <c r="D92" s="53">
        <f>IF(AND($A92&gt;=1914,$A92&lt;=1918),entente_total*entente_private*CHOOSE($A92-1913,0.05,0.1333,0.2333,0.3,0.2834),0)</f>
        <v/>
      </c>
      <c r="E92" s="53">
        <f>H91</f>
        <v/>
      </c>
      <c r="F92" s="53">
        <f>E92*abroad_repat</f>
        <v/>
      </c>
      <c r="G92" s="53">
        <f>IF($A92=1918,russia_writeoff*entente_total*entente_private,0)+IF(OR($A92=1931,$A92=1932),E92*abroad_loss/2,0)</f>
        <v/>
      </c>
      <c r="H92" s="53">
        <f>E92+C92+D92-F92-G92</f>
        <v/>
      </c>
      <c r="I92" s="69">
        <f>Champions!AY92</f>
        <v/>
      </c>
      <c r="J92" s="53">
        <f>H92+I92</f>
        <v/>
      </c>
      <c r="K92" s="53">
        <f>E92*abroad_return*IF(OR($A92=1931,$A92=1932),abroad_slump,1)</f>
        <v/>
      </c>
      <c r="L92" s="69">
        <f>Champions!AZ92</f>
        <v/>
      </c>
      <c r="M92" s="53">
        <f>K92+L92</f>
        <v/>
      </c>
      <c r="N92" s="53">
        <f>M92*abroad_tax</f>
        <v/>
      </c>
      <c r="O92" s="69">
        <f>Labour!R92</f>
        <v/>
      </c>
      <c r="P92" s="47">
        <f>Economy!O92+M92-O92</f>
        <v/>
      </c>
      <c r="Q92" s="63">
        <f>M92/P92</f>
        <v/>
      </c>
      <c r="R92" s="63">
        <f>J92/Economy!O92</f>
        <v/>
      </c>
    </row>
  </sheetData>
  <mergeCells count="3">
    <mergeCell ref="E4:J4"/>
    <mergeCell ref="K4:R4"/>
    <mergeCell ref="B4:D4"/>
  </mergeCells>
  <pageMargins left="0.75" right="0.75" top="1" bottom="1" header="0.5" footer="0.5"/>
  <pageSetup orientation="landscape" fitToHeight="0" fitToWidth="1"/>
  <legacyDrawing xmlns:r="http://schemas.openxmlformats.org/officeDocument/2006/relationships" r:id="anysvml"/>
</worksheet>
</file>

<file path=xl/worksheets/sheet14.xml><?xml version="1.0" encoding="utf-8"?>
<worksheet xmlns="http://schemas.openxmlformats.org/spreadsheetml/2006/main">
  <sheetPr>
    <tabColor rgb="00548235"/>
    <outlinePr summaryBelow="1" summaryRight="1"/>
    <pageSetUpPr fitToPage="1"/>
  </sheetPr>
  <dimension ref="A1:BE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s>
  <sheetData>
    <row r="1">
      <c r="A1" s="18" t="inlineStr">
        <is>
          <t>National champions</t>
        </is>
      </c>
    </row>
    <row r="2">
      <c r="A2" s="2" t="inlineStr">
        <is>
          <t>The Polytechnic's talent and the industries it seeds: oil, steel, motor vehicles, chemicals, electrical, telecom, shipping and finance, film and aircraft, at home and abroad (CR-020 B9).</t>
        </is>
      </c>
    </row>
    <row r="3">
      <c r="A3" s="19" t="inlineStr">
        <is>
          <t>Years run down the page. Blue = input you can change · black = formula · green = link to another sheet. Hover a column heading for its definition.</t>
        </is>
      </c>
    </row>
    <row r="4">
      <c r="B4" s="56" t="inlineStr">
        <is>
          <t>Talent</t>
        </is>
      </c>
      <c r="J4" s="56" t="inlineStr">
        <is>
          <t>Oil trust</t>
        </is>
      </c>
      <c r="R4" s="56" t="inlineStr">
        <is>
          <t>Steel</t>
        </is>
      </c>
      <c r="U4" s="56" t="inlineStr">
        <is>
          <t>Motor vehicles</t>
        </is>
      </c>
      <c r="X4" s="56" t="inlineStr">
        <is>
          <t>Chemicals &amp; drugs</t>
        </is>
      </c>
      <c r="AC4" s="56" t="inlineStr">
        <is>
          <t>Electrical (AC standard)</t>
        </is>
      </c>
      <c r="AH4" s="56" t="inlineStr">
        <is>
          <t>Telecom &amp; services</t>
        </is>
      </c>
      <c r="AP4" s="56" t="inlineStr">
        <is>
          <t>At home</t>
        </is>
      </c>
      <c r="AS4" s="56" t="inlineStr">
        <is>
          <t>Assets abroad</t>
        </is>
      </c>
      <c r="AZ4" s="56" t="inlineStr">
        <is>
          <t>Earnings abroad</t>
        </is>
      </c>
      <c r="BA4" s="56" t="inlineStr">
        <is>
          <t>Crown share</t>
        </is>
      </c>
    </row>
    <row r="5" ht="54" customHeight="1">
      <c r="A5" s="57" t="inlineStr">
        <is>
          <t>Year</t>
        </is>
      </c>
      <c r="B5" s="6" t="inlineStr">
        <is>
          <t>Effective scale of the champions</t>
        </is>
      </c>
      <c r="C5" s="6" t="inlineStr">
        <is>
          <t>Polytechnic engineers and scientists graduating</t>
        </is>
      </c>
      <c r="D5" s="6" t="inlineStr">
        <is>
          <t>Foreign scientists and engineers recruited</t>
        </is>
      </c>
      <c r="E5" s="6" t="inlineStr">
        <is>
          <t>Patents granted to Pacificans, story path</t>
        </is>
      </c>
      <c r="F5" s="6" t="inlineStr">
        <is>
          <t>Patents granted to Pacificans</t>
        </is>
      </c>
      <c r="G5" s="6" t="inlineStr">
        <is>
          <t>Patents per million residents</t>
        </is>
      </c>
      <c r="H5" s="6" t="inlineStr">
        <is>
          <t>US patents per million, historical</t>
        </is>
      </c>
      <c r="I5" s="6" t="inlineStr">
        <is>
          <t>Patents per resident vs the US</t>
        </is>
      </c>
      <c r="J5" s="6" t="inlineStr">
        <is>
          <t>Home refining and bunkering margin ($/bbl)</t>
        </is>
      </c>
      <c r="K5" s="6" t="inlineStr">
        <is>
          <t>Oil: refining, bunkering, tankers at home ($m)</t>
        </is>
      </c>
      <c r="L5" s="6" t="inlineStr">
        <is>
          <t>Gulf crude output (m bbl)</t>
        </is>
      </c>
      <c r="M5" s="6" t="inlineStr">
        <is>
          <t>Share refined and sold by Pacifican firms</t>
        </is>
      </c>
      <c r="N5" s="6" t="inlineStr">
        <is>
          <t>Lamp oil, fuel and bunkers sold in Asia (m bbl)</t>
        </is>
      </c>
      <c r="O5" s="6" t="inlineStr">
        <is>
          <t>Trust margin abroad ($/bbl)</t>
        </is>
      </c>
      <c r="P5" s="6" t="inlineStr">
        <is>
          <t>Oil: earnings abroad ($m)</t>
        </is>
      </c>
      <c r="Q5" s="6" t="inlineStr">
        <is>
          <t>Oil: assets abroad ($m)</t>
        </is>
      </c>
      <c r="R5" s="6" t="inlineStr">
        <is>
          <t>Steel output (m tonnes)</t>
        </is>
      </c>
      <c r="S5" s="6" t="inlineStr">
        <is>
          <t>Value added per tonne ($)</t>
        </is>
      </c>
      <c r="T5" s="6" t="inlineStr">
        <is>
          <t>Steel ($m)</t>
        </is>
      </c>
      <c r="U5" s="6" t="inlineStr">
        <is>
          <t>Motor vehicles built (thousands)</t>
        </is>
      </c>
      <c r="V5" s="6" t="inlineStr">
        <is>
          <t>Value added per vehicle ($)</t>
        </is>
      </c>
      <c r="W5" s="6" t="inlineStr">
        <is>
          <t>Motor vehicles ($m)</t>
        </is>
      </c>
      <c r="X5" s="6" t="inlineStr">
        <is>
          <t>World chemical and drug sales ($m)</t>
        </is>
      </c>
      <c r="Y5" s="6" t="inlineStr">
        <is>
          <t>Pacifica's share of world output</t>
        </is>
      </c>
      <c r="Z5" s="6" t="inlineStr">
        <is>
          <t>Chemicals and drugs ($m)</t>
        </is>
      </c>
      <c r="AA5" s="6" t="inlineStr">
        <is>
          <t>World output made under Pacifican licence</t>
        </is>
      </c>
      <c r="AB5" s="6" t="inlineStr">
        <is>
          <t>Chemical patent royalties from abroad ($m)</t>
        </is>
      </c>
      <c r="AC5" s="6" t="inlineStr">
        <is>
          <t>World electrical equipment sales ($m)</t>
        </is>
      </c>
      <c r="AD5" s="6" t="inlineStr">
        <is>
          <t>Pacifica's production share</t>
        </is>
      </c>
      <c r="AE5" s="6" t="inlineStr">
        <is>
          <t>World sales on the Pacifican standard</t>
        </is>
      </c>
      <c r="AF5" s="6" t="inlineStr">
        <is>
          <t>Electrical equipment ($m)</t>
        </is>
      </c>
      <c r="AG5" s="6" t="inlineStr">
        <is>
          <t>Licence fees on the standard ($m)</t>
        </is>
      </c>
      <c r="AH5" s="6" t="inlineStr">
        <is>
          <t>Telegraph, cable, telephone, radio ($m)</t>
        </is>
      </c>
      <c r="AI5" s="6" t="inlineStr">
        <is>
          <t>Telecom value added, scaled ($m)</t>
        </is>
      </c>
      <c r="AJ5" s="6" t="inlineStr">
        <is>
          <t>Shipping and insurance ($m)</t>
        </is>
      </c>
      <c r="AK5" s="6" t="inlineStr">
        <is>
          <t>Shipping value added, scaled ($m)</t>
        </is>
      </c>
      <c r="AL5" s="6" t="inlineStr">
        <is>
          <t>Foreign bonds floated in San Francisco ($m)</t>
        </is>
      </c>
      <c r="AM5" s="6" t="inlineStr">
        <is>
          <t>Underwriting and banking fees ($m)</t>
        </is>
      </c>
      <c r="AN5" s="6" t="inlineStr">
        <is>
          <t>Film and sound ($m)</t>
        </is>
      </c>
      <c r="AO5" s="6" t="inlineStr">
        <is>
          <t>Aluminium and aircraft ($m)</t>
        </is>
      </c>
      <c r="AP5" s="6" t="inlineStr">
        <is>
          <t>Champions' value added at home ($m)</t>
        </is>
      </c>
      <c r="AQ5" s="6" t="inlineStr">
        <is>
          <t>Added to GDP ($m)</t>
        </is>
      </c>
      <c r="AR5" s="6" t="inlineStr">
        <is>
          <t>Champions at home / GDP</t>
        </is>
      </c>
      <c r="AS5" s="6" t="inlineStr">
        <is>
          <t>Rail, ports and canal concessions abroad ($m)</t>
        </is>
      </c>
      <c r="AT5" s="6" t="inlineStr">
        <is>
          <t>Cables and telegraphs abroad ($m)</t>
        </is>
      </c>
      <c r="AU5" s="6" t="inlineStr">
        <is>
          <t>Power companies and tramways abroad ($m)</t>
        </is>
      </c>
      <c r="AV5" s="6" t="inlineStr">
        <is>
          <t>Assembly plants abroad ($m)</t>
        </is>
      </c>
      <c r="AW5" s="6" t="inlineStr">
        <is>
          <t>Chemical and drug plants abroad ($m)</t>
        </is>
      </c>
      <c r="AX5" s="6" t="inlineStr">
        <is>
          <t>Ore mines and mills abroad ($m)</t>
        </is>
      </c>
      <c r="AY5" s="6" t="inlineStr">
        <is>
          <t>Champions' assets abroad ($m)</t>
        </is>
      </c>
      <c r="AZ5" s="6" t="inlineStr">
        <is>
          <t>Earnings abroad ($m)</t>
        </is>
      </c>
      <c r="BA5" s="6" t="inlineStr">
        <is>
          <t>Champions' profits ($m)</t>
        </is>
      </c>
      <c r="BB5" s="6" t="inlineStr">
        <is>
          <t>Profits of the chartered industries ($m)</t>
        </is>
      </c>
      <c r="BC5" s="6" t="inlineStr">
        <is>
          <t>Profits of the competitive industries ($m)</t>
        </is>
      </c>
      <c r="BD5" s="6" t="inlineStr">
        <is>
          <t>Dividends on the Crown share ($m)</t>
        </is>
      </c>
      <c r="BE5" s="6" t="inlineStr">
        <is>
          <t>Crown share, average across the champions</t>
        </is>
      </c>
    </row>
    <row r="6">
      <c r="A6" s="58" t="n">
        <v>1846</v>
      </c>
      <c r="B6" s="65">
        <f>champ_scale*(1+Labour!AP6)*(1+Partners!BX6)*(1-IF(union_resp=2,tariff_cut*Labour!S6,0))</f>
        <v/>
      </c>
      <c r="C6" s="45" t="n">
        <v>0</v>
      </c>
      <c r="D6" s="45" t="n">
        <v>0</v>
      </c>
      <c r="E6" s="45" t="n">
        <v>0</v>
      </c>
      <c r="F6" s="47">
        <f>E6*B6</f>
        <v/>
      </c>
      <c r="G6" s="47">
        <f>F6/Economy!B6*1000000</f>
        <v/>
      </c>
      <c r="H6" s="45" t="n">
        <v>0</v>
      </c>
      <c r="I6" s="67">
        <f>IF(H6&gt;0,G6/H6,0)</f>
        <v/>
      </c>
      <c r="J6" s="68" t="n">
        <v>0</v>
      </c>
      <c r="K6" s="53">
        <f>Resources!K6*J6*B6</f>
        <v/>
      </c>
      <c r="L6" s="45" t="n">
        <v>0</v>
      </c>
      <c r="M6" s="59" t="n">
        <v>0</v>
      </c>
      <c r="N6" s="45" t="n">
        <v>0</v>
      </c>
      <c r="O6" s="68" t="n">
        <v>0</v>
      </c>
      <c r="P6" s="53">
        <f>(IF(Gulf!E6=1,0,L6*M6)+N6)*O6*B6</f>
        <v/>
      </c>
      <c r="Q6" s="53">
        <f>P6*oil_book</f>
        <v/>
      </c>
      <c r="R6" s="68" t="n">
        <v>0</v>
      </c>
      <c r="S6" s="45" t="n">
        <v>0</v>
      </c>
      <c r="T6" s="53">
        <f>R6*S6*B6</f>
        <v/>
      </c>
      <c r="U6" s="45" t="n">
        <v>0</v>
      </c>
      <c r="V6" s="45" t="n">
        <v>0</v>
      </c>
      <c r="W6" s="53">
        <f>U6/1000*V6*B6</f>
        <v/>
      </c>
      <c r="X6" s="45" t="n">
        <v>0</v>
      </c>
      <c r="Y6" s="59" t="n">
        <v>0</v>
      </c>
      <c r="Z6" s="53">
        <f>X6*Y6*chem_va*B6</f>
        <v/>
      </c>
      <c r="AA6" s="59" t="n">
        <v>0</v>
      </c>
      <c r="AB6" s="53">
        <f>X6*AA6*roy_rate*B6*(1-IF(union_resp=2,lic_cut*Labour!S6,0))</f>
        <v/>
      </c>
      <c r="AC6" s="45" t="n">
        <v>0</v>
      </c>
      <c r="AD6" s="59" t="n">
        <v>0</v>
      </c>
      <c r="AE6" s="59" t="n">
        <v>0</v>
      </c>
      <c r="AF6" s="53">
        <f>AC6*AD6*elec_va*B6</f>
        <v/>
      </c>
      <c r="AG6" s="53">
        <f>MAX(0,AE6-AD6)*AC6*roy_rate*B6*(1-IF(union_resp=2,lic_cut*Labour!S6,0))</f>
        <v/>
      </c>
      <c r="AH6" s="52" t="n">
        <v>0</v>
      </c>
      <c r="AI6" s="53">
        <f>AH6*B6</f>
        <v/>
      </c>
      <c r="AJ6" s="52" t="n">
        <v>0</v>
      </c>
      <c r="AK6" s="53">
        <f>AJ6*B6</f>
        <v/>
      </c>
      <c r="AL6" s="45" t="n">
        <v>0</v>
      </c>
      <c r="AM6" s="53">
        <f>AL6*uw_fee*B6</f>
        <v/>
      </c>
      <c r="AN6" s="52" t="n">
        <v>0</v>
      </c>
      <c r="AO6" s="52" t="n">
        <v>0</v>
      </c>
      <c r="AP6" s="53">
        <f>K6+T6+W6+Z6+AF6+AI6+AK6+AM6+AN6+AO6</f>
        <v/>
      </c>
      <c r="AQ6" s="53">
        <f>AP6*(1-1/champ_prem+champ_spill)</f>
        <v/>
      </c>
      <c r="AR6" s="63">
        <f>AP6/Economy!O6</f>
        <v/>
      </c>
      <c r="AS6" s="52" t="n">
        <v>0</v>
      </c>
      <c r="AT6" s="52" t="n">
        <v>0</v>
      </c>
      <c r="AU6" s="52" t="n">
        <v>0</v>
      </c>
      <c r="AV6" s="52" t="n">
        <v>0</v>
      </c>
      <c r="AW6" s="52" t="n">
        <v>0</v>
      </c>
      <c r="AX6" s="52" t="n">
        <v>0</v>
      </c>
      <c r="AY6" s="53">
        <f>Q6+(AS6+AT6+AU6+AV6+AW6+AX6)*B6</f>
        <v/>
      </c>
      <c r="AZ6" s="53">
        <f>P6+(AS6*ret_rail+AT6*ret_tel+AU6*ret_elec+AV6*ret_auto+AW6*ret_chem+AX6*ret_steel)*B6*IF(OR($A6=1931,$A6=1932),abroad_slump,1)+AB6+AG6</f>
        <v/>
      </c>
      <c r="BA6" s="53">
        <f>AP6*champ_profit+AZ6</f>
        <v/>
      </c>
      <c r="BB6" s="53">
        <f>(K6+AI6+AK6)*champ_profit+P6+(AS6*ret_rail+AT6*ret_tel+AU6*ret_elec)*B6*IF(OR($A6=1931,$A6=1932),abroad_slump,1)</f>
        <v/>
      </c>
      <c r="BC6" s="53">
        <f>(T6+W6+Z6+AF6+AN6+AO6)*champ_profit+(AV6*ret_auto+AW6*ret_chem+AX6*ret_steel)*B6*IF(OR($A6=1931,$A6=1932),abroad_slump,1)+AB6+AG6</f>
        <v/>
      </c>
      <c r="BD6" s="53">
        <f>IF($A6&gt;=crown_start,(BB6*crown_charter+BC6*crown_comp)*crown_payout,0)</f>
        <v/>
      </c>
      <c r="BE6" s="63">
        <f>IF(BB6+BC6&gt;0,(BB6*crown_charter+BC6*crown_comp)/(BA6),0)</f>
        <v/>
      </c>
    </row>
    <row r="7">
      <c r="A7" s="58" t="n">
        <v>1847</v>
      </c>
      <c r="B7" s="65">
        <f>champ_scale*(1+Labour!AP7)*(1+Partners!BX7)*(1-IF(union_resp=2,tariff_cut*Labour!S7,0))</f>
        <v/>
      </c>
      <c r="C7" s="45" t="n">
        <v>0</v>
      </c>
      <c r="D7" s="45" t="n">
        <v>0</v>
      </c>
      <c r="E7" s="45" t="n">
        <v>0</v>
      </c>
      <c r="F7" s="47">
        <f>E7*B7</f>
        <v/>
      </c>
      <c r="G7" s="47">
        <f>F7/Economy!B7*1000000</f>
        <v/>
      </c>
      <c r="H7" s="45" t="n">
        <v>0</v>
      </c>
      <c r="I7" s="67">
        <f>IF(H7&gt;0,G7/H7,0)</f>
        <v/>
      </c>
      <c r="J7" s="68" t="n">
        <v>0</v>
      </c>
      <c r="K7" s="53">
        <f>Resources!K7*J7*B7</f>
        <v/>
      </c>
      <c r="L7" s="45" t="n">
        <v>0</v>
      </c>
      <c r="M7" s="59" t="n">
        <v>0</v>
      </c>
      <c r="N7" s="45" t="n">
        <v>0</v>
      </c>
      <c r="O7" s="68" t="n">
        <v>0</v>
      </c>
      <c r="P7" s="53">
        <f>(IF(Gulf!E7=1,0,L7*M7)+N7)*O7*B7</f>
        <v/>
      </c>
      <c r="Q7" s="53">
        <f>P7*oil_book</f>
        <v/>
      </c>
      <c r="R7" s="68" t="n">
        <v>0</v>
      </c>
      <c r="S7" s="45" t="n">
        <v>0</v>
      </c>
      <c r="T7" s="53">
        <f>R7*S7*B7</f>
        <v/>
      </c>
      <c r="U7" s="45" t="n">
        <v>0</v>
      </c>
      <c r="V7" s="45" t="n">
        <v>0</v>
      </c>
      <c r="W7" s="53">
        <f>U7/1000*V7*B7</f>
        <v/>
      </c>
      <c r="X7" s="45" t="n">
        <v>0</v>
      </c>
      <c r="Y7" s="59" t="n">
        <v>0</v>
      </c>
      <c r="Z7" s="53">
        <f>X7*Y7*chem_va*B7</f>
        <v/>
      </c>
      <c r="AA7" s="59" t="n">
        <v>0</v>
      </c>
      <c r="AB7" s="53">
        <f>X7*AA7*roy_rate*B7*(1-IF(union_resp=2,lic_cut*Labour!S7,0))</f>
        <v/>
      </c>
      <c r="AC7" s="45" t="n">
        <v>0</v>
      </c>
      <c r="AD7" s="59" t="n">
        <v>0</v>
      </c>
      <c r="AE7" s="59" t="n">
        <v>0</v>
      </c>
      <c r="AF7" s="53">
        <f>AC7*AD7*elec_va*B7</f>
        <v/>
      </c>
      <c r="AG7" s="53">
        <f>MAX(0,AE7-AD7)*AC7*roy_rate*B7*(1-IF(union_resp=2,lic_cut*Labour!S7,0))</f>
        <v/>
      </c>
      <c r="AH7" s="52" t="n">
        <v>0</v>
      </c>
      <c r="AI7" s="53">
        <f>AH7*B7</f>
        <v/>
      </c>
      <c r="AJ7" s="52" t="n">
        <v>0</v>
      </c>
      <c r="AK7" s="53">
        <f>AJ7*B7</f>
        <v/>
      </c>
      <c r="AL7" s="45" t="n">
        <v>0</v>
      </c>
      <c r="AM7" s="53">
        <f>AL7*uw_fee*B7</f>
        <v/>
      </c>
      <c r="AN7" s="52" t="n">
        <v>0</v>
      </c>
      <c r="AO7" s="52" t="n">
        <v>0</v>
      </c>
      <c r="AP7" s="53">
        <f>K7+T7+W7+Z7+AF7+AI7+AK7+AM7+AN7+AO7</f>
        <v/>
      </c>
      <c r="AQ7" s="53">
        <f>AP7*(1-1/champ_prem+champ_spill)</f>
        <v/>
      </c>
      <c r="AR7" s="63">
        <f>AP7/Economy!O7</f>
        <v/>
      </c>
      <c r="AS7" s="52" t="n">
        <v>0</v>
      </c>
      <c r="AT7" s="52" t="n">
        <v>0</v>
      </c>
      <c r="AU7" s="52" t="n">
        <v>0</v>
      </c>
      <c r="AV7" s="52" t="n">
        <v>0</v>
      </c>
      <c r="AW7" s="52" t="n">
        <v>0</v>
      </c>
      <c r="AX7" s="52" t="n">
        <v>0</v>
      </c>
      <c r="AY7" s="53">
        <f>Q7+(AS7+AT7+AU7+AV7+AW7+AX7)*B7</f>
        <v/>
      </c>
      <c r="AZ7" s="53">
        <f>P7+(AS7*ret_rail+AT7*ret_tel+AU7*ret_elec+AV7*ret_auto+AW7*ret_chem+AX7*ret_steel)*B7*IF(OR($A7=1931,$A7=1932),abroad_slump,1)+AB7+AG7</f>
        <v/>
      </c>
      <c r="BA7" s="53">
        <f>AP7*champ_profit+AZ7</f>
        <v/>
      </c>
      <c r="BB7" s="53">
        <f>(K7+AI7+AK7)*champ_profit+P7+(AS7*ret_rail+AT7*ret_tel+AU7*ret_elec)*B7*IF(OR($A7=1931,$A7=1932),abroad_slump,1)</f>
        <v/>
      </c>
      <c r="BC7" s="53">
        <f>(T7+W7+Z7+AF7+AN7+AO7)*champ_profit+(AV7*ret_auto+AW7*ret_chem+AX7*ret_steel)*B7*IF(OR($A7=1931,$A7=1932),abroad_slump,1)+AB7+AG7</f>
        <v/>
      </c>
      <c r="BD7" s="53">
        <f>IF($A7&gt;=crown_start,(BB7*crown_charter+BC7*crown_comp)*crown_payout,0)</f>
        <v/>
      </c>
      <c r="BE7" s="63">
        <f>IF(BB7+BC7&gt;0,(BB7*crown_charter+BC7*crown_comp)/(BA7),0)</f>
        <v/>
      </c>
    </row>
    <row r="8">
      <c r="A8" s="58" t="n">
        <v>1848</v>
      </c>
      <c r="B8" s="65">
        <f>champ_scale*(1+Labour!AP8)*(1+Partners!BX8)*(1-IF(union_resp=2,tariff_cut*Labour!S8,0))</f>
        <v/>
      </c>
      <c r="C8" s="45" t="n">
        <v>0</v>
      </c>
      <c r="D8" s="45" t="n">
        <v>0</v>
      </c>
      <c r="E8" s="45" t="n">
        <v>0</v>
      </c>
      <c r="F8" s="47">
        <f>E8*B8</f>
        <v/>
      </c>
      <c r="G8" s="47">
        <f>F8/Economy!B8*1000000</f>
        <v/>
      </c>
      <c r="H8" s="45" t="n">
        <v>0</v>
      </c>
      <c r="I8" s="67">
        <f>IF(H8&gt;0,G8/H8,0)</f>
        <v/>
      </c>
      <c r="J8" s="68" t="n">
        <v>0</v>
      </c>
      <c r="K8" s="53">
        <f>Resources!K8*J8*B8</f>
        <v/>
      </c>
      <c r="L8" s="45" t="n">
        <v>0</v>
      </c>
      <c r="M8" s="59" t="n">
        <v>0</v>
      </c>
      <c r="N8" s="45" t="n">
        <v>0</v>
      </c>
      <c r="O8" s="68" t="n">
        <v>0</v>
      </c>
      <c r="P8" s="53">
        <f>(IF(Gulf!E8=1,0,L8*M8)+N8)*O8*B8</f>
        <v/>
      </c>
      <c r="Q8" s="53">
        <f>P8*oil_book</f>
        <v/>
      </c>
      <c r="R8" s="68" t="n">
        <v>0</v>
      </c>
      <c r="S8" s="45" t="n">
        <v>0</v>
      </c>
      <c r="T8" s="53">
        <f>R8*S8*B8</f>
        <v/>
      </c>
      <c r="U8" s="45" t="n">
        <v>0</v>
      </c>
      <c r="V8" s="45" t="n">
        <v>0</v>
      </c>
      <c r="W8" s="53">
        <f>U8/1000*V8*B8</f>
        <v/>
      </c>
      <c r="X8" s="45" t="n">
        <v>0</v>
      </c>
      <c r="Y8" s="59" t="n">
        <v>0</v>
      </c>
      <c r="Z8" s="53">
        <f>X8*Y8*chem_va*B8</f>
        <v/>
      </c>
      <c r="AA8" s="59" t="n">
        <v>0</v>
      </c>
      <c r="AB8" s="53">
        <f>X8*AA8*roy_rate*B8*(1-IF(union_resp=2,lic_cut*Labour!S8,0))</f>
        <v/>
      </c>
      <c r="AC8" s="45" t="n">
        <v>0</v>
      </c>
      <c r="AD8" s="59" t="n">
        <v>0</v>
      </c>
      <c r="AE8" s="59" t="n">
        <v>0</v>
      </c>
      <c r="AF8" s="53">
        <f>AC8*AD8*elec_va*B8</f>
        <v/>
      </c>
      <c r="AG8" s="53">
        <f>MAX(0,AE8-AD8)*AC8*roy_rate*B8*(1-IF(union_resp=2,lic_cut*Labour!S8,0))</f>
        <v/>
      </c>
      <c r="AH8" s="52" t="n">
        <v>0</v>
      </c>
      <c r="AI8" s="53">
        <f>AH8*B8</f>
        <v/>
      </c>
      <c r="AJ8" s="52" t="n">
        <v>0</v>
      </c>
      <c r="AK8" s="53">
        <f>AJ8*B8</f>
        <v/>
      </c>
      <c r="AL8" s="45" t="n">
        <v>0</v>
      </c>
      <c r="AM8" s="53">
        <f>AL8*uw_fee*B8</f>
        <v/>
      </c>
      <c r="AN8" s="52" t="n">
        <v>0</v>
      </c>
      <c r="AO8" s="52" t="n">
        <v>0</v>
      </c>
      <c r="AP8" s="53">
        <f>K8+T8+W8+Z8+AF8+AI8+AK8+AM8+AN8+AO8</f>
        <v/>
      </c>
      <c r="AQ8" s="53">
        <f>AP8*(1-1/champ_prem+champ_spill)</f>
        <v/>
      </c>
      <c r="AR8" s="63">
        <f>AP8/Economy!O8</f>
        <v/>
      </c>
      <c r="AS8" s="52" t="n">
        <v>0</v>
      </c>
      <c r="AT8" s="52" t="n">
        <v>0</v>
      </c>
      <c r="AU8" s="52" t="n">
        <v>0</v>
      </c>
      <c r="AV8" s="52" t="n">
        <v>0</v>
      </c>
      <c r="AW8" s="52" t="n">
        <v>0</v>
      </c>
      <c r="AX8" s="52" t="n">
        <v>0</v>
      </c>
      <c r="AY8" s="53">
        <f>Q8+(AS8+AT8+AU8+AV8+AW8+AX8)*B8</f>
        <v/>
      </c>
      <c r="AZ8" s="53">
        <f>P8+(AS8*ret_rail+AT8*ret_tel+AU8*ret_elec+AV8*ret_auto+AW8*ret_chem+AX8*ret_steel)*B8*IF(OR($A8=1931,$A8=1932),abroad_slump,1)+AB8+AG8</f>
        <v/>
      </c>
      <c r="BA8" s="53">
        <f>AP8*champ_profit+AZ8</f>
        <v/>
      </c>
      <c r="BB8" s="53">
        <f>(K8+AI8+AK8)*champ_profit+P8+(AS8*ret_rail+AT8*ret_tel+AU8*ret_elec)*B8*IF(OR($A8=1931,$A8=1932),abroad_slump,1)</f>
        <v/>
      </c>
      <c r="BC8" s="53">
        <f>(T8+W8+Z8+AF8+AN8+AO8)*champ_profit+(AV8*ret_auto+AW8*ret_chem+AX8*ret_steel)*B8*IF(OR($A8=1931,$A8=1932),abroad_slump,1)+AB8+AG8</f>
        <v/>
      </c>
      <c r="BD8" s="53">
        <f>IF($A8&gt;=crown_start,(BB8*crown_charter+BC8*crown_comp)*crown_payout,0)</f>
        <v/>
      </c>
      <c r="BE8" s="63">
        <f>IF(BB8+BC8&gt;0,(BB8*crown_charter+BC8*crown_comp)/(BA8),0)</f>
        <v/>
      </c>
    </row>
    <row r="9">
      <c r="A9" s="58" t="n">
        <v>1849</v>
      </c>
      <c r="B9" s="65">
        <f>champ_scale*(1+Labour!AP9)*(1+Partners!BX9)*(1-IF(union_resp=2,tariff_cut*Labour!S9,0))</f>
        <v/>
      </c>
      <c r="C9" s="45" t="n">
        <v>0</v>
      </c>
      <c r="D9" s="45" t="n">
        <v>0</v>
      </c>
      <c r="E9" s="45" t="n">
        <v>0</v>
      </c>
      <c r="F9" s="47">
        <f>E9*B9</f>
        <v/>
      </c>
      <c r="G9" s="47">
        <f>F9/Economy!B9*1000000</f>
        <v/>
      </c>
      <c r="H9" s="45" t="n">
        <v>0</v>
      </c>
      <c r="I9" s="67">
        <f>IF(H9&gt;0,G9/H9,0)</f>
        <v/>
      </c>
      <c r="J9" s="68" t="n">
        <v>0</v>
      </c>
      <c r="K9" s="53">
        <f>Resources!K9*J9*B9</f>
        <v/>
      </c>
      <c r="L9" s="45" t="n">
        <v>0</v>
      </c>
      <c r="M9" s="59" t="n">
        <v>0</v>
      </c>
      <c r="N9" s="45" t="n">
        <v>0</v>
      </c>
      <c r="O9" s="68" t="n">
        <v>0</v>
      </c>
      <c r="P9" s="53">
        <f>(IF(Gulf!E9=1,0,L9*M9)+N9)*O9*B9</f>
        <v/>
      </c>
      <c r="Q9" s="53">
        <f>P9*oil_book</f>
        <v/>
      </c>
      <c r="R9" s="68" t="n">
        <v>0</v>
      </c>
      <c r="S9" s="45" t="n">
        <v>0</v>
      </c>
      <c r="T9" s="53">
        <f>R9*S9*B9</f>
        <v/>
      </c>
      <c r="U9" s="45" t="n">
        <v>0</v>
      </c>
      <c r="V9" s="45" t="n">
        <v>0</v>
      </c>
      <c r="W9" s="53">
        <f>U9/1000*V9*B9</f>
        <v/>
      </c>
      <c r="X9" s="45" t="n">
        <v>0</v>
      </c>
      <c r="Y9" s="59" t="n">
        <v>0</v>
      </c>
      <c r="Z9" s="53">
        <f>X9*Y9*chem_va*B9</f>
        <v/>
      </c>
      <c r="AA9" s="59" t="n">
        <v>0</v>
      </c>
      <c r="AB9" s="53">
        <f>X9*AA9*roy_rate*B9*(1-IF(union_resp=2,lic_cut*Labour!S9,0))</f>
        <v/>
      </c>
      <c r="AC9" s="45" t="n">
        <v>0</v>
      </c>
      <c r="AD9" s="59" t="n">
        <v>0</v>
      </c>
      <c r="AE9" s="59" t="n">
        <v>0</v>
      </c>
      <c r="AF9" s="53">
        <f>AC9*AD9*elec_va*B9</f>
        <v/>
      </c>
      <c r="AG9" s="53">
        <f>MAX(0,AE9-AD9)*AC9*roy_rate*B9*(1-IF(union_resp=2,lic_cut*Labour!S9,0))</f>
        <v/>
      </c>
      <c r="AH9" s="52" t="n">
        <v>0</v>
      </c>
      <c r="AI9" s="53">
        <f>AH9*B9</f>
        <v/>
      </c>
      <c r="AJ9" s="52" t="n">
        <v>0</v>
      </c>
      <c r="AK9" s="53">
        <f>AJ9*B9</f>
        <v/>
      </c>
      <c r="AL9" s="45" t="n">
        <v>0</v>
      </c>
      <c r="AM9" s="53">
        <f>AL9*uw_fee*B9</f>
        <v/>
      </c>
      <c r="AN9" s="52" t="n">
        <v>0</v>
      </c>
      <c r="AO9" s="52" t="n">
        <v>0</v>
      </c>
      <c r="AP9" s="53">
        <f>K9+T9+W9+Z9+AF9+AI9+AK9+AM9+AN9+AO9</f>
        <v/>
      </c>
      <c r="AQ9" s="53">
        <f>AP9*(1-1/champ_prem+champ_spill)</f>
        <v/>
      </c>
      <c r="AR9" s="63">
        <f>AP9/Economy!O9</f>
        <v/>
      </c>
      <c r="AS9" s="52" t="n">
        <v>0</v>
      </c>
      <c r="AT9" s="52" t="n">
        <v>0</v>
      </c>
      <c r="AU9" s="52" t="n">
        <v>0</v>
      </c>
      <c r="AV9" s="52" t="n">
        <v>0</v>
      </c>
      <c r="AW9" s="52" t="n">
        <v>0</v>
      </c>
      <c r="AX9" s="52" t="n">
        <v>0</v>
      </c>
      <c r="AY9" s="53">
        <f>Q9+(AS9+AT9+AU9+AV9+AW9+AX9)*B9</f>
        <v/>
      </c>
      <c r="AZ9" s="53">
        <f>P9+(AS9*ret_rail+AT9*ret_tel+AU9*ret_elec+AV9*ret_auto+AW9*ret_chem+AX9*ret_steel)*B9*IF(OR($A9=1931,$A9=1932),abroad_slump,1)+AB9+AG9</f>
        <v/>
      </c>
      <c r="BA9" s="53">
        <f>AP9*champ_profit+AZ9</f>
        <v/>
      </c>
      <c r="BB9" s="53">
        <f>(K9+AI9+AK9)*champ_profit+P9+(AS9*ret_rail+AT9*ret_tel+AU9*ret_elec)*B9*IF(OR($A9=1931,$A9=1932),abroad_slump,1)</f>
        <v/>
      </c>
      <c r="BC9" s="53">
        <f>(T9+W9+Z9+AF9+AN9+AO9)*champ_profit+(AV9*ret_auto+AW9*ret_chem+AX9*ret_steel)*B9*IF(OR($A9=1931,$A9=1932),abroad_slump,1)+AB9+AG9</f>
        <v/>
      </c>
      <c r="BD9" s="53">
        <f>IF($A9&gt;=crown_start,(BB9*crown_charter+BC9*crown_comp)*crown_payout,0)</f>
        <v/>
      </c>
      <c r="BE9" s="63">
        <f>IF(BB9+BC9&gt;0,(BB9*crown_charter+BC9*crown_comp)/(BA9),0)</f>
        <v/>
      </c>
    </row>
    <row r="10">
      <c r="A10" s="58" t="n">
        <v>1850</v>
      </c>
      <c r="B10" s="65">
        <f>champ_scale*(1+Labour!AP10)*(1+Partners!BX10)*(1-IF(union_resp=2,tariff_cut*Labour!S10,0))</f>
        <v/>
      </c>
      <c r="C10" s="45" t="n">
        <v>0</v>
      </c>
      <c r="D10" s="45" t="n">
        <v>0</v>
      </c>
      <c r="E10" s="45" t="n">
        <v>0</v>
      </c>
      <c r="F10" s="47">
        <f>E10*B10</f>
        <v/>
      </c>
      <c r="G10" s="47">
        <f>F10/Economy!B10*1000000</f>
        <v/>
      </c>
      <c r="H10" s="45" t="n">
        <v>0</v>
      </c>
      <c r="I10" s="67">
        <f>IF(H10&gt;0,G10/H10,0)</f>
        <v/>
      </c>
      <c r="J10" s="68" t="n">
        <v>0</v>
      </c>
      <c r="K10" s="53">
        <f>Resources!K10*J10*B10</f>
        <v/>
      </c>
      <c r="L10" s="45" t="n">
        <v>0</v>
      </c>
      <c r="M10" s="59" t="n">
        <v>0</v>
      </c>
      <c r="N10" s="45" t="n">
        <v>0</v>
      </c>
      <c r="O10" s="68" t="n">
        <v>0</v>
      </c>
      <c r="P10" s="53">
        <f>(IF(Gulf!E10=1,0,L10*M10)+N10)*O10*B10</f>
        <v/>
      </c>
      <c r="Q10" s="53">
        <f>P10*oil_book</f>
        <v/>
      </c>
      <c r="R10" s="68" t="n">
        <v>0</v>
      </c>
      <c r="S10" s="45" t="n">
        <v>0</v>
      </c>
      <c r="T10" s="53">
        <f>R10*S10*B10</f>
        <v/>
      </c>
      <c r="U10" s="45" t="n">
        <v>0</v>
      </c>
      <c r="V10" s="45" t="n">
        <v>0</v>
      </c>
      <c r="W10" s="53">
        <f>U10/1000*V10*B10</f>
        <v/>
      </c>
      <c r="X10" s="45" t="n">
        <v>0</v>
      </c>
      <c r="Y10" s="59" t="n">
        <v>0</v>
      </c>
      <c r="Z10" s="53">
        <f>X10*Y10*chem_va*B10</f>
        <v/>
      </c>
      <c r="AA10" s="59" t="n">
        <v>0</v>
      </c>
      <c r="AB10" s="53">
        <f>X10*AA10*roy_rate*B10*(1-IF(union_resp=2,lic_cut*Labour!S10,0))</f>
        <v/>
      </c>
      <c r="AC10" s="45" t="n">
        <v>0</v>
      </c>
      <c r="AD10" s="59" t="n">
        <v>0</v>
      </c>
      <c r="AE10" s="59" t="n">
        <v>0</v>
      </c>
      <c r="AF10" s="53">
        <f>AC10*AD10*elec_va*B10</f>
        <v/>
      </c>
      <c r="AG10" s="53">
        <f>MAX(0,AE10-AD10)*AC10*roy_rate*B10*(1-IF(union_resp=2,lic_cut*Labour!S10,0))</f>
        <v/>
      </c>
      <c r="AH10" s="52" t="n">
        <v>0</v>
      </c>
      <c r="AI10" s="53">
        <f>AH10*B10</f>
        <v/>
      </c>
      <c r="AJ10" s="52" t="n">
        <v>0</v>
      </c>
      <c r="AK10" s="53">
        <f>AJ10*B10</f>
        <v/>
      </c>
      <c r="AL10" s="45" t="n">
        <v>0</v>
      </c>
      <c r="AM10" s="53">
        <f>AL10*uw_fee*B10</f>
        <v/>
      </c>
      <c r="AN10" s="52" t="n">
        <v>0</v>
      </c>
      <c r="AO10" s="52" t="n">
        <v>0</v>
      </c>
      <c r="AP10" s="53">
        <f>K10+T10+W10+Z10+AF10+AI10+AK10+AM10+AN10+AO10</f>
        <v/>
      </c>
      <c r="AQ10" s="53">
        <f>AP10*(1-1/champ_prem+champ_spill)</f>
        <v/>
      </c>
      <c r="AR10" s="63">
        <f>AP10/Economy!O10</f>
        <v/>
      </c>
      <c r="AS10" s="52" t="n">
        <v>0</v>
      </c>
      <c r="AT10" s="52" t="n">
        <v>0</v>
      </c>
      <c r="AU10" s="52" t="n">
        <v>0</v>
      </c>
      <c r="AV10" s="52" t="n">
        <v>0</v>
      </c>
      <c r="AW10" s="52" t="n">
        <v>0</v>
      </c>
      <c r="AX10" s="52" t="n">
        <v>0</v>
      </c>
      <c r="AY10" s="53">
        <f>Q10+(AS10+AT10+AU10+AV10+AW10+AX10)*B10</f>
        <v/>
      </c>
      <c r="AZ10" s="53">
        <f>P10+(AS10*ret_rail+AT10*ret_tel+AU10*ret_elec+AV10*ret_auto+AW10*ret_chem+AX10*ret_steel)*B10*IF(OR($A10=1931,$A10=1932),abroad_slump,1)+AB10+AG10</f>
        <v/>
      </c>
      <c r="BA10" s="53">
        <f>AP10*champ_profit+AZ10</f>
        <v/>
      </c>
      <c r="BB10" s="53">
        <f>(K10+AI10+AK10)*champ_profit+P10+(AS10*ret_rail+AT10*ret_tel+AU10*ret_elec)*B10*IF(OR($A10=1931,$A10=1932),abroad_slump,1)</f>
        <v/>
      </c>
      <c r="BC10" s="53">
        <f>(T10+W10+Z10+AF10+AN10+AO10)*champ_profit+(AV10*ret_auto+AW10*ret_chem+AX10*ret_steel)*B10*IF(OR($A10=1931,$A10=1932),abroad_slump,1)+AB10+AG10</f>
        <v/>
      </c>
      <c r="BD10" s="53">
        <f>IF($A10&gt;=crown_start,(BB10*crown_charter+BC10*crown_comp)*crown_payout,0)</f>
        <v/>
      </c>
      <c r="BE10" s="63">
        <f>IF(BB10+BC10&gt;0,(BB10*crown_charter+BC10*crown_comp)/(BA10),0)</f>
        <v/>
      </c>
    </row>
    <row r="11">
      <c r="A11" s="58" t="n">
        <v>1851</v>
      </c>
      <c r="B11" s="65">
        <f>champ_scale*(1+Labour!AP11)*(1+Partners!BX11)*(1-IF(union_resp=2,tariff_cut*Labour!S11,0))</f>
        <v/>
      </c>
      <c r="C11" s="45" t="n">
        <v>0</v>
      </c>
      <c r="D11" s="45" t="n">
        <v>0</v>
      </c>
      <c r="E11" s="45" t="n">
        <v>0</v>
      </c>
      <c r="F11" s="47">
        <f>E11*B11</f>
        <v/>
      </c>
      <c r="G11" s="47">
        <f>F11/Economy!B11*1000000</f>
        <v/>
      </c>
      <c r="H11" s="45" t="n">
        <v>0</v>
      </c>
      <c r="I11" s="67">
        <f>IF(H11&gt;0,G11/H11,0)</f>
        <v/>
      </c>
      <c r="J11" s="68" t="n">
        <v>0</v>
      </c>
      <c r="K11" s="53">
        <f>Resources!K11*J11*B11</f>
        <v/>
      </c>
      <c r="L11" s="45" t="n">
        <v>0</v>
      </c>
      <c r="M11" s="59" t="n">
        <v>0</v>
      </c>
      <c r="N11" s="45" t="n">
        <v>0</v>
      </c>
      <c r="O11" s="68" t="n">
        <v>0</v>
      </c>
      <c r="P11" s="53">
        <f>(IF(Gulf!E11=1,0,L11*M11)+N11)*O11*B11</f>
        <v/>
      </c>
      <c r="Q11" s="53">
        <f>P11*oil_book</f>
        <v/>
      </c>
      <c r="R11" s="68" t="n">
        <v>0</v>
      </c>
      <c r="S11" s="45" t="n">
        <v>0</v>
      </c>
      <c r="T11" s="53">
        <f>R11*S11*B11</f>
        <v/>
      </c>
      <c r="U11" s="45" t="n">
        <v>0</v>
      </c>
      <c r="V11" s="45" t="n">
        <v>0</v>
      </c>
      <c r="W11" s="53">
        <f>U11/1000*V11*B11</f>
        <v/>
      </c>
      <c r="X11" s="45" t="n">
        <v>0</v>
      </c>
      <c r="Y11" s="59" t="n">
        <v>0</v>
      </c>
      <c r="Z11" s="53">
        <f>X11*Y11*chem_va*B11</f>
        <v/>
      </c>
      <c r="AA11" s="59" t="n">
        <v>0</v>
      </c>
      <c r="AB11" s="53">
        <f>X11*AA11*roy_rate*B11*(1-IF(union_resp=2,lic_cut*Labour!S11,0))</f>
        <v/>
      </c>
      <c r="AC11" s="45" t="n">
        <v>0</v>
      </c>
      <c r="AD11" s="59" t="n">
        <v>0</v>
      </c>
      <c r="AE11" s="59" t="n">
        <v>0</v>
      </c>
      <c r="AF11" s="53">
        <f>AC11*AD11*elec_va*B11</f>
        <v/>
      </c>
      <c r="AG11" s="53">
        <f>MAX(0,AE11-AD11)*AC11*roy_rate*B11*(1-IF(union_resp=2,lic_cut*Labour!S11,0))</f>
        <v/>
      </c>
      <c r="AH11" s="52" t="n">
        <v>0</v>
      </c>
      <c r="AI11" s="53">
        <f>AH11*B11</f>
        <v/>
      </c>
      <c r="AJ11" s="52" t="n">
        <v>0</v>
      </c>
      <c r="AK11" s="53">
        <f>AJ11*B11</f>
        <v/>
      </c>
      <c r="AL11" s="45" t="n">
        <v>0</v>
      </c>
      <c r="AM11" s="53">
        <f>AL11*uw_fee*B11</f>
        <v/>
      </c>
      <c r="AN11" s="52" t="n">
        <v>0</v>
      </c>
      <c r="AO11" s="52" t="n">
        <v>0</v>
      </c>
      <c r="AP11" s="53">
        <f>K11+T11+W11+Z11+AF11+AI11+AK11+AM11+AN11+AO11</f>
        <v/>
      </c>
      <c r="AQ11" s="53">
        <f>AP11*(1-1/champ_prem+champ_spill)</f>
        <v/>
      </c>
      <c r="AR11" s="63">
        <f>AP11/Economy!O11</f>
        <v/>
      </c>
      <c r="AS11" s="52" t="n">
        <v>0</v>
      </c>
      <c r="AT11" s="52" t="n">
        <v>0</v>
      </c>
      <c r="AU11" s="52" t="n">
        <v>0</v>
      </c>
      <c r="AV11" s="52" t="n">
        <v>0</v>
      </c>
      <c r="AW11" s="52" t="n">
        <v>0</v>
      </c>
      <c r="AX11" s="52" t="n">
        <v>0</v>
      </c>
      <c r="AY11" s="53">
        <f>Q11+(AS11+AT11+AU11+AV11+AW11+AX11)*B11</f>
        <v/>
      </c>
      <c r="AZ11" s="53">
        <f>P11+(AS11*ret_rail+AT11*ret_tel+AU11*ret_elec+AV11*ret_auto+AW11*ret_chem+AX11*ret_steel)*B11*IF(OR($A11=1931,$A11=1932),abroad_slump,1)+AB11+AG11</f>
        <v/>
      </c>
      <c r="BA11" s="53">
        <f>AP11*champ_profit+AZ11</f>
        <v/>
      </c>
      <c r="BB11" s="53">
        <f>(K11+AI11+AK11)*champ_profit+P11+(AS11*ret_rail+AT11*ret_tel+AU11*ret_elec)*B11*IF(OR($A11=1931,$A11=1932),abroad_slump,1)</f>
        <v/>
      </c>
      <c r="BC11" s="53">
        <f>(T11+W11+Z11+AF11+AN11+AO11)*champ_profit+(AV11*ret_auto+AW11*ret_chem+AX11*ret_steel)*B11*IF(OR($A11=1931,$A11=1932),abroad_slump,1)+AB11+AG11</f>
        <v/>
      </c>
      <c r="BD11" s="53">
        <f>IF($A11&gt;=crown_start,(BB11*crown_charter+BC11*crown_comp)*crown_payout,0)</f>
        <v/>
      </c>
      <c r="BE11" s="63">
        <f>IF(BB11+BC11&gt;0,(BB11*crown_charter+BC11*crown_comp)/(BA11),0)</f>
        <v/>
      </c>
    </row>
    <row r="12">
      <c r="A12" s="58" t="n">
        <v>1852</v>
      </c>
      <c r="B12" s="65">
        <f>champ_scale*(1+Labour!AP12)*(1+Partners!BX12)*(1-IF(union_resp=2,tariff_cut*Labour!S12,0))</f>
        <v/>
      </c>
      <c r="C12" s="45" t="n">
        <v>0</v>
      </c>
      <c r="D12" s="45" t="n">
        <v>0</v>
      </c>
      <c r="E12" s="45" t="n">
        <v>0</v>
      </c>
      <c r="F12" s="47">
        <f>E12*B12</f>
        <v/>
      </c>
      <c r="G12" s="47">
        <f>F12/Economy!B12*1000000</f>
        <v/>
      </c>
      <c r="H12" s="45" t="n">
        <v>0</v>
      </c>
      <c r="I12" s="67">
        <f>IF(H12&gt;0,G12/H12,0)</f>
        <v/>
      </c>
      <c r="J12" s="68" t="n">
        <v>0</v>
      </c>
      <c r="K12" s="53">
        <f>Resources!K12*J12*B12</f>
        <v/>
      </c>
      <c r="L12" s="45" t="n">
        <v>0</v>
      </c>
      <c r="M12" s="59" t="n">
        <v>0</v>
      </c>
      <c r="N12" s="45" t="n">
        <v>0</v>
      </c>
      <c r="O12" s="68" t="n">
        <v>0</v>
      </c>
      <c r="P12" s="53">
        <f>(IF(Gulf!E12=1,0,L12*M12)+N12)*O12*B12</f>
        <v/>
      </c>
      <c r="Q12" s="53">
        <f>P12*oil_book</f>
        <v/>
      </c>
      <c r="R12" s="68" t="n">
        <v>0</v>
      </c>
      <c r="S12" s="45" t="n">
        <v>0</v>
      </c>
      <c r="T12" s="53">
        <f>R12*S12*B12</f>
        <v/>
      </c>
      <c r="U12" s="45" t="n">
        <v>0</v>
      </c>
      <c r="V12" s="45" t="n">
        <v>0</v>
      </c>
      <c r="W12" s="53">
        <f>U12/1000*V12*B12</f>
        <v/>
      </c>
      <c r="X12" s="45" t="n">
        <v>0</v>
      </c>
      <c r="Y12" s="59" t="n">
        <v>0</v>
      </c>
      <c r="Z12" s="53">
        <f>X12*Y12*chem_va*B12</f>
        <v/>
      </c>
      <c r="AA12" s="59" t="n">
        <v>0</v>
      </c>
      <c r="AB12" s="53">
        <f>X12*AA12*roy_rate*B12*(1-IF(union_resp=2,lic_cut*Labour!S12,0))</f>
        <v/>
      </c>
      <c r="AC12" s="45" t="n">
        <v>0</v>
      </c>
      <c r="AD12" s="59" t="n">
        <v>0</v>
      </c>
      <c r="AE12" s="59" t="n">
        <v>0</v>
      </c>
      <c r="AF12" s="53">
        <f>AC12*AD12*elec_va*B12</f>
        <v/>
      </c>
      <c r="AG12" s="53">
        <f>MAX(0,AE12-AD12)*AC12*roy_rate*B12*(1-IF(union_resp=2,lic_cut*Labour!S12,0))</f>
        <v/>
      </c>
      <c r="AH12" s="52" t="n">
        <v>0</v>
      </c>
      <c r="AI12" s="53">
        <f>AH12*B12</f>
        <v/>
      </c>
      <c r="AJ12" s="52" t="n">
        <v>0</v>
      </c>
      <c r="AK12" s="53">
        <f>AJ12*B12</f>
        <v/>
      </c>
      <c r="AL12" s="45" t="n">
        <v>0</v>
      </c>
      <c r="AM12" s="53">
        <f>AL12*uw_fee*B12</f>
        <v/>
      </c>
      <c r="AN12" s="52" t="n">
        <v>0</v>
      </c>
      <c r="AO12" s="52" t="n">
        <v>0</v>
      </c>
      <c r="AP12" s="53">
        <f>K12+T12+W12+Z12+AF12+AI12+AK12+AM12+AN12+AO12</f>
        <v/>
      </c>
      <c r="AQ12" s="53">
        <f>AP12*(1-1/champ_prem+champ_spill)</f>
        <v/>
      </c>
      <c r="AR12" s="63">
        <f>AP12/Economy!O12</f>
        <v/>
      </c>
      <c r="AS12" s="52" t="n">
        <v>0</v>
      </c>
      <c r="AT12" s="52" t="n">
        <v>0</v>
      </c>
      <c r="AU12" s="52" t="n">
        <v>0</v>
      </c>
      <c r="AV12" s="52" t="n">
        <v>0</v>
      </c>
      <c r="AW12" s="52" t="n">
        <v>0</v>
      </c>
      <c r="AX12" s="52" t="n">
        <v>0</v>
      </c>
      <c r="AY12" s="53">
        <f>Q12+(AS12+AT12+AU12+AV12+AW12+AX12)*B12</f>
        <v/>
      </c>
      <c r="AZ12" s="53">
        <f>P12+(AS12*ret_rail+AT12*ret_tel+AU12*ret_elec+AV12*ret_auto+AW12*ret_chem+AX12*ret_steel)*B12*IF(OR($A12=1931,$A12=1932),abroad_slump,1)+AB12+AG12</f>
        <v/>
      </c>
      <c r="BA12" s="53">
        <f>AP12*champ_profit+AZ12</f>
        <v/>
      </c>
      <c r="BB12" s="53">
        <f>(K12+AI12+AK12)*champ_profit+P12+(AS12*ret_rail+AT12*ret_tel+AU12*ret_elec)*B12*IF(OR($A12=1931,$A12=1932),abroad_slump,1)</f>
        <v/>
      </c>
      <c r="BC12" s="53">
        <f>(T12+W12+Z12+AF12+AN12+AO12)*champ_profit+(AV12*ret_auto+AW12*ret_chem+AX12*ret_steel)*B12*IF(OR($A12=1931,$A12=1932),abroad_slump,1)+AB12+AG12</f>
        <v/>
      </c>
      <c r="BD12" s="53">
        <f>IF($A12&gt;=crown_start,(BB12*crown_charter+BC12*crown_comp)*crown_payout,0)</f>
        <v/>
      </c>
      <c r="BE12" s="63">
        <f>IF(BB12+BC12&gt;0,(BB12*crown_charter+BC12*crown_comp)/(BA12),0)</f>
        <v/>
      </c>
    </row>
    <row r="13">
      <c r="A13" s="58" t="n">
        <v>1853</v>
      </c>
      <c r="B13" s="65">
        <f>champ_scale*(1+Labour!AP13)*(1+Partners!BX13)*(1-IF(union_resp=2,tariff_cut*Labour!S13,0))</f>
        <v/>
      </c>
      <c r="C13" s="45" t="n">
        <v>0</v>
      </c>
      <c r="D13" s="45" t="n">
        <v>0</v>
      </c>
      <c r="E13" s="45" t="n">
        <v>0</v>
      </c>
      <c r="F13" s="47">
        <f>E13*B13</f>
        <v/>
      </c>
      <c r="G13" s="47">
        <f>F13/Economy!B13*1000000</f>
        <v/>
      </c>
      <c r="H13" s="45" t="n">
        <v>0</v>
      </c>
      <c r="I13" s="67">
        <f>IF(H13&gt;0,G13/H13,0)</f>
        <v/>
      </c>
      <c r="J13" s="68" t="n">
        <v>0</v>
      </c>
      <c r="K13" s="53">
        <f>Resources!K13*J13*B13</f>
        <v/>
      </c>
      <c r="L13" s="45" t="n">
        <v>0</v>
      </c>
      <c r="M13" s="59" t="n">
        <v>0</v>
      </c>
      <c r="N13" s="45" t="n">
        <v>0</v>
      </c>
      <c r="O13" s="68" t="n">
        <v>0</v>
      </c>
      <c r="P13" s="53">
        <f>(IF(Gulf!E13=1,0,L13*M13)+N13)*O13*B13</f>
        <v/>
      </c>
      <c r="Q13" s="53">
        <f>P13*oil_book</f>
        <v/>
      </c>
      <c r="R13" s="68" t="n">
        <v>0</v>
      </c>
      <c r="S13" s="45" t="n">
        <v>0</v>
      </c>
      <c r="T13" s="53">
        <f>R13*S13*B13</f>
        <v/>
      </c>
      <c r="U13" s="45" t="n">
        <v>0</v>
      </c>
      <c r="V13" s="45" t="n">
        <v>0</v>
      </c>
      <c r="W13" s="53">
        <f>U13/1000*V13*B13</f>
        <v/>
      </c>
      <c r="X13" s="45" t="n">
        <v>0</v>
      </c>
      <c r="Y13" s="59" t="n">
        <v>0</v>
      </c>
      <c r="Z13" s="53">
        <f>X13*Y13*chem_va*B13</f>
        <v/>
      </c>
      <c r="AA13" s="59" t="n">
        <v>0</v>
      </c>
      <c r="AB13" s="53">
        <f>X13*AA13*roy_rate*B13*(1-IF(union_resp=2,lic_cut*Labour!S13,0))</f>
        <v/>
      </c>
      <c r="AC13" s="45" t="n">
        <v>0</v>
      </c>
      <c r="AD13" s="59" t="n">
        <v>0</v>
      </c>
      <c r="AE13" s="59" t="n">
        <v>0</v>
      </c>
      <c r="AF13" s="53">
        <f>AC13*AD13*elec_va*B13</f>
        <v/>
      </c>
      <c r="AG13" s="53">
        <f>MAX(0,AE13-AD13)*AC13*roy_rate*B13*(1-IF(union_resp=2,lic_cut*Labour!S13,0))</f>
        <v/>
      </c>
      <c r="AH13" s="52" t="n">
        <v>0</v>
      </c>
      <c r="AI13" s="53">
        <f>AH13*B13</f>
        <v/>
      </c>
      <c r="AJ13" s="52" t="n">
        <v>0</v>
      </c>
      <c r="AK13" s="53">
        <f>AJ13*B13</f>
        <v/>
      </c>
      <c r="AL13" s="45" t="n">
        <v>0</v>
      </c>
      <c r="AM13" s="53">
        <f>AL13*uw_fee*B13</f>
        <v/>
      </c>
      <c r="AN13" s="52" t="n">
        <v>0</v>
      </c>
      <c r="AO13" s="52" t="n">
        <v>0</v>
      </c>
      <c r="AP13" s="53">
        <f>K13+T13+W13+Z13+AF13+AI13+AK13+AM13+AN13+AO13</f>
        <v/>
      </c>
      <c r="AQ13" s="53">
        <f>AP13*(1-1/champ_prem+champ_spill)</f>
        <v/>
      </c>
      <c r="AR13" s="63">
        <f>AP13/Economy!O13</f>
        <v/>
      </c>
      <c r="AS13" s="52" t="n">
        <v>0</v>
      </c>
      <c r="AT13" s="52" t="n">
        <v>0</v>
      </c>
      <c r="AU13" s="52" t="n">
        <v>0</v>
      </c>
      <c r="AV13" s="52" t="n">
        <v>0</v>
      </c>
      <c r="AW13" s="52" t="n">
        <v>0</v>
      </c>
      <c r="AX13" s="52" t="n">
        <v>0</v>
      </c>
      <c r="AY13" s="53">
        <f>Q13+(AS13+AT13+AU13+AV13+AW13+AX13)*B13</f>
        <v/>
      </c>
      <c r="AZ13" s="53">
        <f>P13+(AS13*ret_rail+AT13*ret_tel+AU13*ret_elec+AV13*ret_auto+AW13*ret_chem+AX13*ret_steel)*B13*IF(OR($A13=1931,$A13=1932),abroad_slump,1)+AB13+AG13</f>
        <v/>
      </c>
      <c r="BA13" s="53">
        <f>AP13*champ_profit+AZ13</f>
        <v/>
      </c>
      <c r="BB13" s="53">
        <f>(K13+AI13+AK13)*champ_profit+P13+(AS13*ret_rail+AT13*ret_tel+AU13*ret_elec)*B13*IF(OR($A13=1931,$A13=1932),abroad_slump,1)</f>
        <v/>
      </c>
      <c r="BC13" s="53">
        <f>(T13+W13+Z13+AF13+AN13+AO13)*champ_profit+(AV13*ret_auto+AW13*ret_chem+AX13*ret_steel)*B13*IF(OR($A13=1931,$A13=1932),abroad_slump,1)+AB13+AG13</f>
        <v/>
      </c>
      <c r="BD13" s="53">
        <f>IF($A13&gt;=crown_start,(BB13*crown_charter+BC13*crown_comp)*crown_payout,0)</f>
        <v/>
      </c>
      <c r="BE13" s="63">
        <f>IF(BB13+BC13&gt;0,(BB13*crown_charter+BC13*crown_comp)/(BA13),0)</f>
        <v/>
      </c>
    </row>
    <row r="14">
      <c r="A14" s="58" t="n">
        <v>1854</v>
      </c>
      <c r="B14" s="65">
        <f>champ_scale*(1+Labour!AP14)*(1+Partners!BX14)*(1-IF(union_resp=2,tariff_cut*Labour!S14,0))</f>
        <v/>
      </c>
      <c r="C14" s="45" t="n">
        <v>0</v>
      </c>
      <c r="D14" s="45" t="n">
        <v>0</v>
      </c>
      <c r="E14" s="45" t="n">
        <v>0</v>
      </c>
      <c r="F14" s="47">
        <f>E14*B14</f>
        <v/>
      </c>
      <c r="G14" s="47">
        <f>F14/Economy!B14*1000000</f>
        <v/>
      </c>
      <c r="H14" s="45" t="n">
        <v>0</v>
      </c>
      <c r="I14" s="67">
        <f>IF(H14&gt;0,G14/H14,0)</f>
        <v/>
      </c>
      <c r="J14" s="68" t="n">
        <v>0</v>
      </c>
      <c r="K14" s="53">
        <f>Resources!K14*J14*B14</f>
        <v/>
      </c>
      <c r="L14" s="45" t="n">
        <v>0</v>
      </c>
      <c r="M14" s="59" t="n">
        <v>0</v>
      </c>
      <c r="N14" s="45" t="n">
        <v>0</v>
      </c>
      <c r="O14" s="68" t="n">
        <v>0</v>
      </c>
      <c r="P14" s="53">
        <f>(IF(Gulf!E14=1,0,L14*M14)+N14)*O14*B14</f>
        <v/>
      </c>
      <c r="Q14" s="53">
        <f>P14*oil_book</f>
        <v/>
      </c>
      <c r="R14" s="68" t="n">
        <v>0</v>
      </c>
      <c r="S14" s="45" t="n">
        <v>0</v>
      </c>
      <c r="T14" s="53">
        <f>R14*S14*B14</f>
        <v/>
      </c>
      <c r="U14" s="45" t="n">
        <v>0</v>
      </c>
      <c r="V14" s="45" t="n">
        <v>0</v>
      </c>
      <c r="W14" s="53">
        <f>U14/1000*V14*B14</f>
        <v/>
      </c>
      <c r="X14" s="45" t="n">
        <v>0</v>
      </c>
      <c r="Y14" s="59" t="n">
        <v>0</v>
      </c>
      <c r="Z14" s="53">
        <f>X14*Y14*chem_va*B14</f>
        <v/>
      </c>
      <c r="AA14" s="59" t="n">
        <v>0</v>
      </c>
      <c r="AB14" s="53">
        <f>X14*AA14*roy_rate*B14*(1-IF(union_resp=2,lic_cut*Labour!S14,0))</f>
        <v/>
      </c>
      <c r="AC14" s="45" t="n">
        <v>0</v>
      </c>
      <c r="AD14" s="59" t="n">
        <v>0</v>
      </c>
      <c r="AE14" s="59" t="n">
        <v>0</v>
      </c>
      <c r="AF14" s="53">
        <f>AC14*AD14*elec_va*B14</f>
        <v/>
      </c>
      <c r="AG14" s="53">
        <f>MAX(0,AE14-AD14)*AC14*roy_rate*B14*(1-IF(union_resp=2,lic_cut*Labour!S14,0))</f>
        <v/>
      </c>
      <c r="AH14" s="52" t="n">
        <v>0</v>
      </c>
      <c r="AI14" s="53">
        <f>AH14*B14</f>
        <v/>
      </c>
      <c r="AJ14" s="52" t="n">
        <v>0</v>
      </c>
      <c r="AK14" s="53">
        <f>AJ14*B14</f>
        <v/>
      </c>
      <c r="AL14" s="45" t="n">
        <v>0</v>
      </c>
      <c r="AM14" s="53">
        <f>AL14*uw_fee*B14</f>
        <v/>
      </c>
      <c r="AN14" s="52" t="n">
        <v>0</v>
      </c>
      <c r="AO14" s="52" t="n">
        <v>0</v>
      </c>
      <c r="AP14" s="53">
        <f>K14+T14+W14+Z14+AF14+AI14+AK14+AM14+AN14+AO14</f>
        <v/>
      </c>
      <c r="AQ14" s="53">
        <f>AP14*(1-1/champ_prem+champ_spill)</f>
        <v/>
      </c>
      <c r="AR14" s="63">
        <f>AP14/Economy!O14</f>
        <v/>
      </c>
      <c r="AS14" s="52" t="n">
        <v>0</v>
      </c>
      <c r="AT14" s="52" t="n">
        <v>0</v>
      </c>
      <c r="AU14" s="52" t="n">
        <v>0</v>
      </c>
      <c r="AV14" s="52" t="n">
        <v>0</v>
      </c>
      <c r="AW14" s="52" t="n">
        <v>0</v>
      </c>
      <c r="AX14" s="52" t="n">
        <v>0</v>
      </c>
      <c r="AY14" s="53">
        <f>Q14+(AS14+AT14+AU14+AV14+AW14+AX14)*B14</f>
        <v/>
      </c>
      <c r="AZ14" s="53">
        <f>P14+(AS14*ret_rail+AT14*ret_tel+AU14*ret_elec+AV14*ret_auto+AW14*ret_chem+AX14*ret_steel)*B14*IF(OR($A14=1931,$A14=1932),abroad_slump,1)+AB14+AG14</f>
        <v/>
      </c>
      <c r="BA14" s="53">
        <f>AP14*champ_profit+AZ14</f>
        <v/>
      </c>
      <c r="BB14" s="53">
        <f>(K14+AI14+AK14)*champ_profit+P14+(AS14*ret_rail+AT14*ret_tel+AU14*ret_elec)*B14*IF(OR($A14=1931,$A14=1932),abroad_slump,1)</f>
        <v/>
      </c>
      <c r="BC14" s="53">
        <f>(T14+W14+Z14+AF14+AN14+AO14)*champ_profit+(AV14*ret_auto+AW14*ret_chem+AX14*ret_steel)*B14*IF(OR($A14=1931,$A14=1932),abroad_slump,1)+AB14+AG14</f>
        <v/>
      </c>
      <c r="BD14" s="53">
        <f>IF($A14&gt;=crown_start,(BB14*crown_charter+BC14*crown_comp)*crown_payout,0)</f>
        <v/>
      </c>
      <c r="BE14" s="63">
        <f>IF(BB14+BC14&gt;0,(BB14*crown_charter+BC14*crown_comp)/(BA14),0)</f>
        <v/>
      </c>
    </row>
    <row r="15">
      <c r="A15" s="58" t="n">
        <v>1855</v>
      </c>
      <c r="B15" s="65">
        <f>champ_scale*(1+Labour!AP15)*(1+Partners!BX15)*(1-IF(union_resp=2,tariff_cut*Labour!S15,0))</f>
        <v/>
      </c>
      <c r="C15" s="45" t="n">
        <v>0</v>
      </c>
      <c r="D15" s="45" t="n">
        <v>0</v>
      </c>
      <c r="E15" s="45" t="n">
        <v>0</v>
      </c>
      <c r="F15" s="47">
        <f>E15*B15</f>
        <v/>
      </c>
      <c r="G15" s="47">
        <f>F15/Economy!B15*1000000</f>
        <v/>
      </c>
      <c r="H15" s="45" t="n">
        <v>0</v>
      </c>
      <c r="I15" s="67">
        <f>IF(H15&gt;0,G15/H15,0)</f>
        <v/>
      </c>
      <c r="J15" s="68" t="n">
        <v>0</v>
      </c>
      <c r="K15" s="53">
        <f>Resources!K15*J15*B15</f>
        <v/>
      </c>
      <c r="L15" s="45" t="n">
        <v>0</v>
      </c>
      <c r="M15" s="59" t="n">
        <v>0</v>
      </c>
      <c r="N15" s="45" t="n">
        <v>0</v>
      </c>
      <c r="O15" s="68" t="n">
        <v>0</v>
      </c>
      <c r="P15" s="53">
        <f>(IF(Gulf!E15=1,0,L15*M15)+N15)*O15*B15</f>
        <v/>
      </c>
      <c r="Q15" s="53">
        <f>P15*oil_book</f>
        <v/>
      </c>
      <c r="R15" s="68" t="n">
        <v>0</v>
      </c>
      <c r="S15" s="45" t="n">
        <v>0</v>
      </c>
      <c r="T15" s="53">
        <f>R15*S15*B15</f>
        <v/>
      </c>
      <c r="U15" s="45" t="n">
        <v>0</v>
      </c>
      <c r="V15" s="45" t="n">
        <v>0</v>
      </c>
      <c r="W15" s="53">
        <f>U15/1000*V15*B15</f>
        <v/>
      </c>
      <c r="X15" s="45" t="n">
        <v>0</v>
      </c>
      <c r="Y15" s="59" t="n">
        <v>0</v>
      </c>
      <c r="Z15" s="53">
        <f>X15*Y15*chem_va*B15</f>
        <v/>
      </c>
      <c r="AA15" s="59" t="n">
        <v>0</v>
      </c>
      <c r="AB15" s="53">
        <f>X15*AA15*roy_rate*B15*(1-IF(union_resp=2,lic_cut*Labour!S15,0))</f>
        <v/>
      </c>
      <c r="AC15" s="45" t="n">
        <v>0</v>
      </c>
      <c r="AD15" s="59" t="n">
        <v>0</v>
      </c>
      <c r="AE15" s="59" t="n">
        <v>0</v>
      </c>
      <c r="AF15" s="53">
        <f>AC15*AD15*elec_va*B15</f>
        <v/>
      </c>
      <c r="AG15" s="53">
        <f>MAX(0,AE15-AD15)*AC15*roy_rate*B15*(1-IF(union_resp=2,lic_cut*Labour!S15,0))</f>
        <v/>
      </c>
      <c r="AH15" s="52" t="n">
        <v>0</v>
      </c>
      <c r="AI15" s="53">
        <f>AH15*B15</f>
        <v/>
      </c>
      <c r="AJ15" s="52" t="n">
        <v>0</v>
      </c>
      <c r="AK15" s="53">
        <f>AJ15*B15</f>
        <v/>
      </c>
      <c r="AL15" s="45" t="n">
        <v>0</v>
      </c>
      <c r="AM15" s="53">
        <f>AL15*uw_fee*B15</f>
        <v/>
      </c>
      <c r="AN15" s="52" t="n">
        <v>0</v>
      </c>
      <c r="AO15" s="52" t="n">
        <v>0</v>
      </c>
      <c r="AP15" s="53">
        <f>K15+T15+W15+Z15+AF15+AI15+AK15+AM15+AN15+AO15</f>
        <v/>
      </c>
      <c r="AQ15" s="53">
        <f>AP15*(1-1/champ_prem+champ_spill)</f>
        <v/>
      </c>
      <c r="AR15" s="63">
        <f>AP15/Economy!O15</f>
        <v/>
      </c>
      <c r="AS15" s="52" t="n">
        <v>0</v>
      </c>
      <c r="AT15" s="52" t="n">
        <v>0</v>
      </c>
      <c r="AU15" s="52" t="n">
        <v>0</v>
      </c>
      <c r="AV15" s="52" t="n">
        <v>0</v>
      </c>
      <c r="AW15" s="52" t="n">
        <v>0</v>
      </c>
      <c r="AX15" s="52" t="n">
        <v>0</v>
      </c>
      <c r="AY15" s="53">
        <f>Q15+(AS15+AT15+AU15+AV15+AW15+AX15)*B15</f>
        <v/>
      </c>
      <c r="AZ15" s="53">
        <f>P15+(AS15*ret_rail+AT15*ret_tel+AU15*ret_elec+AV15*ret_auto+AW15*ret_chem+AX15*ret_steel)*B15*IF(OR($A15=1931,$A15=1932),abroad_slump,1)+AB15+AG15</f>
        <v/>
      </c>
      <c r="BA15" s="53">
        <f>AP15*champ_profit+AZ15</f>
        <v/>
      </c>
      <c r="BB15" s="53">
        <f>(K15+AI15+AK15)*champ_profit+P15+(AS15*ret_rail+AT15*ret_tel+AU15*ret_elec)*B15*IF(OR($A15=1931,$A15=1932),abroad_slump,1)</f>
        <v/>
      </c>
      <c r="BC15" s="53">
        <f>(T15+W15+Z15+AF15+AN15+AO15)*champ_profit+(AV15*ret_auto+AW15*ret_chem+AX15*ret_steel)*B15*IF(OR($A15=1931,$A15=1932),abroad_slump,1)+AB15+AG15</f>
        <v/>
      </c>
      <c r="BD15" s="53">
        <f>IF($A15&gt;=crown_start,(BB15*crown_charter+BC15*crown_comp)*crown_payout,0)</f>
        <v/>
      </c>
      <c r="BE15" s="63">
        <f>IF(BB15+BC15&gt;0,(BB15*crown_charter+BC15*crown_comp)/(BA15),0)</f>
        <v/>
      </c>
    </row>
    <row r="16">
      <c r="A16" s="58" t="n">
        <v>1856</v>
      </c>
      <c r="B16" s="65">
        <f>champ_scale*(1+Labour!AP16)*(1+Partners!BX16)*(1-IF(union_resp=2,tariff_cut*Labour!S16,0))</f>
        <v/>
      </c>
      <c r="C16" s="45" t="n">
        <v>0</v>
      </c>
      <c r="D16" s="45" t="n">
        <v>0</v>
      </c>
      <c r="E16" s="45" t="n">
        <v>0</v>
      </c>
      <c r="F16" s="47">
        <f>E16*B16</f>
        <v/>
      </c>
      <c r="G16" s="47">
        <f>F16/Economy!B16*1000000</f>
        <v/>
      </c>
      <c r="H16" s="45" t="n">
        <v>0</v>
      </c>
      <c r="I16" s="67">
        <f>IF(H16&gt;0,G16/H16,0)</f>
        <v/>
      </c>
      <c r="J16" s="68" t="n">
        <v>0</v>
      </c>
      <c r="K16" s="53">
        <f>Resources!K16*J16*B16</f>
        <v/>
      </c>
      <c r="L16" s="45" t="n">
        <v>0</v>
      </c>
      <c r="M16" s="59" t="n">
        <v>0</v>
      </c>
      <c r="N16" s="45" t="n">
        <v>0</v>
      </c>
      <c r="O16" s="68" t="n">
        <v>0</v>
      </c>
      <c r="P16" s="53">
        <f>(IF(Gulf!E16=1,0,L16*M16)+N16)*O16*B16</f>
        <v/>
      </c>
      <c r="Q16" s="53">
        <f>P16*oil_book</f>
        <v/>
      </c>
      <c r="R16" s="68" t="n">
        <v>0</v>
      </c>
      <c r="S16" s="45" t="n">
        <v>0</v>
      </c>
      <c r="T16" s="53">
        <f>R16*S16*B16</f>
        <v/>
      </c>
      <c r="U16" s="45" t="n">
        <v>0</v>
      </c>
      <c r="V16" s="45" t="n">
        <v>0</v>
      </c>
      <c r="W16" s="53">
        <f>U16/1000*V16*B16</f>
        <v/>
      </c>
      <c r="X16" s="45" t="n">
        <v>0</v>
      </c>
      <c r="Y16" s="59" t="n">
        <v>0</v>
      </c>
      <c r="Z16" s="53">
        <f>X16*Y16*chem_va*B16</f>
        <v/>
      </c>
      <c r="AA16" s="59" t="n">
        <v>0</v>
      </c>
      <c r="AB16" s="53">
        <f>X16*AA16*roy_rate*B16*(1-IF(union_resp=2,lic_cut*Labour!S16,0))</f>
        <v/>
      </c>
      <c r="AC16" s="45" t="n">
        <v>0</v>
      </c>
      <c r="AD16" s="59" t="n">
        <v>0</v>
      </c>
      <c r="AE16" s="59" t="n">
        <v>0</v>
      </c>
      <c r="AF16" s="53">
        <f>AC16*AD16*elec_va*B16</f>
        <v/>
      </c>
      <c r="AG16" s="53">
        <f>MAX(0,AE16-AD16)*AC16*roy_rate*B16*(1-IF(union_resp=2,lic_cut*Labour!S16,0))</f>
        <v/>
      </c>
      <c r="AH16" s="52" t="n">
        <v>0</v>
      </c>
      <c r="AI16" s="53">
        <f>AH16*B16</f>
        <v/>
      </c>
      <c r="AJ16" s="52" t="n">
        <v>0</v>
      </c>
      <c r="AK16" s="53">
        <f>AJ16*B16</f>
        <v/>
      </c>
      <c r="AL16" s="45" t="n">
        <v>0</v>
      </c>
      <c r="AM16" s="53">
        <f>AL16*uw_fee*B16</f>
        <v/>
      </c>
      <c r="AN16" s="52" t="n">
        <v>0</v>
      </c>
      <c r="AO16" s="52" t="n">
        <v>0</v>
      </c>
      <c r="AP16" s="53">
        <f>K16+T16+W16+Z16+AF16+AI16+AK16+AM16+AN16+AO16</f>
        <v/>
      </c>
      <c r="AQ16" s="53">
        <f>AP16*(1-1/champ_prem+champ_spill)</f>
        <v/>
      </c>
      <c r="AR16" s="63">
        <f>AP16/Economy!O16</f>
        <v/>
      </c>
      <c r="AS16" s="52" t="n">
        <v>0</v>
      </c>
      <c r="AT16" s="52" t="n">
        <v>0</v>
      </c>
      <c r="AU16" s="52" t="n">
        <v>0</v>
      </c>
      <c r="AV16" s="52" t="n">
        <v>0</v>
      </c>
      <c r="AW16" s="52" t="n">
        <v>0</v>
      </c>
      <c r="AX16" s="52" t="n">
        <v>0</v>
      </c>
      <c r="AY16" s="53">
        <f>Q16+(AS16+AT16+AU16+AV16+AW16+AX16)*B16</f>
        <v/>
      </c>
      <c r="AZ16" s="53">
        <f>P16+(AS16*ret_rail+AT16*ret_tel+AU16*ret_elec+AV16*ret_auto+AW16*ret_chem+AX16*ret_steel)*B16*IF(OR($A16=1931,$A16=1932),abroad_slump,1)+AB16+AG16</f>
        <v/>
      </c>
      <c r="BA16" s="53">
        <f>AP16*champ_profit+AZ16</f>
        <v/>
      </c>
      <c r="BB16" s="53">
        <f>(K16+AI16+AK16)*champ_profit+P16+(AS16*ret_rail+AT16*ret_tel+AU16*ret_elec)*B16*IF(OR($A16=1931,$A16=1932),abroad_slump,1)</f>
        <v/>
      </c>
      <c r="BC16" s="53">
        <f>(T16+W16+Z16+AF16+AN16+AO16)*champ_profit+(AV16*ret_auto+AW16*ret_chem+AX16*ret_steel)*B16*IF(OR($A16=1931,$A16=1932),abroad_slump,1)+AB16+AG16</f>
        <v/>
      </c>
      <c r="BD16" s="53">
        <f>IF($A16&gt;=crown_start,(BB16*crown_charter+BC16*crown_comp)*crown_payout,0)</f>
        <v/>
      </c>
      <c r="BE16" s="63">
        <f>IF(BB16+BC16&gt;0,(BB16*crown_charter+BC16*crown_comp)/(BA16),0)</f>
        <v/>
      </c>
    </row>
    <row r="17">
      <c r="A17" s="58" t="n">
        <v>1857</v>
      </c>
      <c r="B17" s="65">
        <f>champ_scale*(1+Labour!AP17)*(1+Partners!BX17)*(1-IF(union_resp=2,tariff_cut*Labour!S17,0))</f>
        <v/>
      </c>
      <c r="C17" s="45" t="n">
        <v>0</v>
      </c>
      <c r="D17" s="45" t="n">
        <v>0</v>
      </c>
      <c r="E17" s="45" t="n">
        <v>0</v>
      </c>
      <c r="F17" s="47">
        <f>E17*B17</f>
        <v/>
      </c>
      <c r="G17" s="47">
        <f>F17/Economy!B17*1000000</f>
        <v/>
      </c>
      <c r="H17" s="45" t="n">
        <v>0</v>
      </c>
      <c r="I17" s="67">
        <f>IF(H17&gt;0,G17/H17,0)</f>
        <v/>
      </c>
      <c r="J17" s="68" t="n">
        <v>0</v>
      </c>
      <c r="K17" s="53">
        <f>Resources!K17*J17*B17</f>
        <v/>
      </c>
      <c r="L17" s="45" t="n">
        <v>0</v>
      </c>
      <c r="M17" s="59" t="n">
        <v>0</v>
      </c>
      <c r="N17" s="45" t="n">
        <v>0</v>
      </c>
      <c r="O17" s="68" t="n">
        <v>0</v>
      </c>
      <c r="P17" s="53">
        <f>(IF(Gulf!E17=1,0,L17*M17)+N17)*O17*B17</f>
        <v/>
      </c>
      <c r="Q17" s="53">
        <f>P17*oil_book</f>
        <v/>
      </c>
      <c r="R17" s="68" t="n">
        <v>0</v>
      </c>
      <c r="S17" s="45" t="n">
        <v>0</v>
      </c>
      <c r="T17" s="53">
        <f>R17*S17*B17</f>
        <v/>
      </c>
      <c r="U17" s="45" t="n">
        <v>0</v>
      </c>
      <c r="V17" s="45" t="n">
        <v>0</v>
      </c>
      <c r="W17" s="53">
        <f>U17/1000*V17*B17</f>
        <v/>
      </c>
      <c r="X17" s="45" t="n">
        <v>0</v>
      </c>
      <c r="Y17" s="59" t="n">
        <v>0</v>
      </c>
      <c r="Z17" s="53">
        <f>X17*Y17*chem_va*B17</f>
        <v/>
      </c>
      <c r="AA17" s="59" t="n">
        <v>0</v>
      </c>
      <c r="AB17" s="53">
        <f>X17*AA17*roy_rate*B17*(1-IF(union_resp=2,lic_cut*Labour!S17,0))</f>
        <v/>
      </c>
      <c r="AC17" s="45" t="n">
        <v>0</v>
      </c>
      <c r="AD17" s="59" t="n">
        <v>0</v>
      </c>
      <c r="AE17" s="59" t="n">
        <v>0</v>
      </c>
      <c r="AF17" s="53">
        <f>AC17*AD17*elec_va*B17</f>
        <v/>
      </c>
      <c r="AG17" s="53">
        <f>MAX(0,AE17-AD17)*AC17*roy_rate*B17*(1-IF(union_resp=2,lic_cut*Labour!S17,0))</f>
        <v/>
      </c>
      <c r="AH17" s="52" t="n">
        <v>0</v>
      </c>
      <c r="AI17" s="53">
        <f>AH17*B17</f>
        <v/>
      </c>
      <c r="AJ17" s="52" t="n">
        <v>0</v>
      </c>
      <c r="AK17" s="53">
        <f>AJ17*B17</f>
        <v/>
      </c>
      <c r="AL17" s="45" t="n">
        <v>0</v>
      </c>
      <c r="AM17" s="53">
        <f>AL17*uw_fee*B17</f>
        <v/>
      </c>
      <c r="AN17" s="52" t="n">
        <v>0</v>
      </c>
      <c r="AO17" s="52" t="n">
        <v>0</v>
      </c>
      <c r="AP17" s="53">
        <f>K17+T17+W17+Z17+AF17+AI17+AK17+AM17+AN17+AO17</f>
        <v/>
      </c>
      <c r="AQ17" s="53">
        <f>AP17*(1-1/champ_prem+champ_spill)</f>
        <v/>
      </c>
      <c r="AR17" s="63">
        <f>AP17/Economy!O17</f>
        <v/>
      </c>
      <c r="AS17" s="52" t="n">
        <v>0</v>
      </c>
      <c r="AT17" s="52" t="n">
        <v>0</v>
      </c>
      <c r="AU17" s="52" t="n">
        <v>0</v>
      </c>
      <c r="AV17" s="52" t="n">
        <v>0</v>
      </c>
      <c r="AW17" s="52" t="n">
        <v>0</v>
      </c>
      <c r="AX17" s="52" t="n">
        <v>0</v>
      </c>
      <c r="AY17" s="53">
        <f>Q17+(AS17+AT17+AU17+AV17+AW17+AX17)*B17</f>
        <v/>
      </c>
      <c r="AZ17" s="53">
        <f>P17+(AS17*ret_rail+AT17*ret_tel+AU17*ret_elec+AV17*ret_auto+AW17*ret_chem+AX17*ret_steel)*B17*IF(OR($A17=1931,$A17=1932),abroad_slump,1)+AB17+AG17</f>
        <v/>
      </c>
      <c r="BA17" s="53">
        <f>AP17*champ_profit+AZ17</f>
        <v/>
      </c>
      <c r="BB17" s="53">
        <f>(K17+AI17+AK17)*champ_profit+P17+(AS17*ret_rail+AT17*ret_tel+AU17*ret_elec)*B17*IF(OR($A17=1931,$A17=1932),abroad_slump,1)</f>
        <v/>
      </c>
      <c r="BC17" s="53">
        <f>(T17+W17+Z17+AF17+AN17+AO17)*champ_profit+(AV17*ret_auto+AW17*ret_chem+AX17*ret_steel)*B17*IF(OR($A17=1931,$A17=1932),abroad_slump,1)+AB17+AG17</f>
        <v/>
      </c>
      <c r="BD17" s="53">
        <f>IF($A17&gt;=crown_start,(BB17*crown_charter+BC17*crown_comp)*crown_payout,0)</f>
        <v/>
      </c>
      <c r="BE17" s="63">
        <f>IF(BB17+BC17&gt;0,(BB17*crown_charter+BC17*crown_comp)/(BA17),0)</f>
        <v/>
      </c>
    </row>
    <row r="18">
      <c r="A18" s="58" t="n">
        <v>1858</v>
      </c>
      <c r="B18" s="65">
        <f>champ_scale*(1+Labour!AP18)*(1+Partners!BX18)*(1-IF(union_resp=2,tariff_cut*Labour!S18,0))</f>
        <v/>
      </c>
      <c r="C18" s="45" t="n">
        <v>0</v>
      </c>
      <c r="D18" s="45" t="n">
        <v>0</v>
      </c>
      <c r="E18" s="45" t="n">
        <v>0</v>
      </c>
      <c r="F18" s="47">
        <f>E18*B18</f>
        <v/>
      </c>
      <c r="G18" s="47">
        <f>F18/Economy!B18*1000000</f>
        <v/>
      </c>
      <c r="H18" s="45" t="n">
        <v>0</v>
      </c>
      <c r="I18" s="67">
        <f>IF(H18&gt;0,G18/H18,0)</f>
        <v/>
      </c>
      <c r="J18" s="68" t="n">
        <v>0</v>
      </c>
      <c r="K18" s="53">
        <f>Resources!K18*J18*B18</f>
        <v/>
      </c>
      <c r="L18" s="45" t="n">
        <v>0</v>
      </c>
      <c r="M18" s="59" t="n">
        <v>0</v>
      </c>
      <c r="N18" s="45" t="n">
        <v>0</v>
      </c>
      <c r="O18" s="68" t="n">
        <v>0</v>
      </c>
      <c r="P18" s="53">
        <f>(IF(Gulf!E18=1,0,L18*M18)+N18)*O18*B18</f>
        <v/>
      </c>
      <c r="Q18" s="53">
        <f>P18*oil_book</f>
        <v/>
      </c>
      <c r="R18" s="68" t="n">
        <v>0</v>
      </c>
      <c r="S18" s="45" t="n">
        <v>0</v>
      </c>
      <c r="T18" s="53">
        <f>R18*S18*B18</f>
        <v/>
      </c>
      <c r="U18" s="45" t="n">
        <v>0</v>
      </c>
      <c r="V18" s="45" t="n">
        <v>0</v>
      </c>
      <c r="W18" s="53">
        <f>U18/1000*V18*B18</f>
        <v/>
      </c>
      <c r="X18" s="45" t="n">
        <v>0</v>
      </c>
      <c r="Y18" s="59" t="n">
        <v>0</v>
      </c>
      <c r="Z18" s="53">
        <f>X18*Y18*chem_va*B18</f>
        <v/>
      </c>
      <c r="AA18" s="59" t="n">
        <v>0</v>
      </c>
      <c r="AB18" s="53">
        <f>X18*AA18*roy_rate*B18*(1-IF(union_resp=2,lic_cut*Labour!S18,0))</f>
        <v/>
      </c>
      <c r="AC18" s="45" t="n">
        <v>0</v>
      </c>
      <c r="AD18" s="59" t="n">
        <v>0</v>
      </c>
      <c r="AE18" s="59" t="n">
        <v>0</v>
      </c>
      <c r="AF18" s="53">
        <f>AC18*AD18*elec_va*B18</f>
        <v/>
      </c>
      <c r="AG18" s="53">
        <f>MAX(0,AE18-AD18)*AC18*roy_rate*B18*(1-IF(union_resp=2,lic_cut*Labour!S18,0))</f>
        <v/>
      </c>
      <c r="AH18" s="52" t="n">
        <v>0</v>
      </c>
      <c r="AI18" s="53">
        <f>AH18*B18</f>
        <v/>
      </c>
      <c r="AJ18" s="52" t="n">
        <v>0</v>
      </c>
      <c r="AK18" s="53">
        <f>AJ18*B18</f>
        <v/>
      </c>
      <c r="AL18" s="45" t="n">
        <v>0</v>
      </c>
      <c r="AM18" s="53">
        <f>AL18*uw_fee*B18</f>
        <v/>
      </c>
      <c r="AN18" s="52" t="n">
        <v>0</v>
      </c>
      <c r="AO18" s="52" t="n">
        <v>0</v>
      </c>
      <c r="AP18" s="53">
        <f>K18+T18+W18+Z18+AF18+AI18+AK18+AM18+AN18+AO18</f>
        <v/>
      </c>
      <c r="AQ18" s="53">
        <f>AP18*(1-1/champ_prem+champ_spill)</f>
        <v/>
      </c>
      <c r="AR18" s="63">
        <f>AP18/Economy!O18</f>
        <v/>
      </c>
      <c r="AS18" s="52" t="n">
        <v>0</v>
      </c>
      <c r="AT18" s="52" t="n">
        <v>0</v>
      </c>
      <c r="AU18" s="52" t="n">
        <v>0</v>
      </c>
      <c r="AV18" s="52" t="n">
        <v>0</v>
      </c>
      <c r="AW18" s="52" t="n">
        <v>0</v>
      </c>
      <c r="AX18" s="52" t="n">
        <v>0</v>
      </c>
      <c r="AY18" s="53">
        <f>Q18+(AS18+AT18+AU18+AV18+AW18+AX18)*B18</f>
        <v/>
      </c>
      <c r="AZ18" s="53">
        <f>P18+(AS18*ret_rail+AT18*ret_tel+AU18*ret_elec+AV18*ret_auto+AW18*ret_chem+AX18*ret_steel)*B18*IF(OR($A18=1931,$A18=1932),abroad_slump,1)+AB18+AG18</f>
        <v/>
      </c>
      <c r="BA18" s="53">
        <f>AP18*champ_profit+AZ18</f>
        <v/>
      </c>
      <c r="BB18" s="53">
        <f>(K18+AI18+AK18)*champ_profit+P18+(AS18*ret_rail+AT18*ret_tel+AU18*ret_elec)*B18*IF(OR($A18=1931,$A18=1932),abroad_slump,1)</f>
        <v/>
      </c>
      <c r="BC18" s="53">
        <f>(T18+W18+Z18+AF18+AN18+AO18)*champ_profit+(AV18*ret_auto+AW18*ret_chem+AX18*ret_steel)*B18*IF(OR($A18=1931,$A18=1932),abroad_slump,1)+AB18+AG18</f>
        <v/>
      </c>
      <c r="BD18" s="53">
        <f>IF($A18&gt;=crown_start,(BB18*crown_charter+BC18*crown_comp)*crown_payout,0)</f>
        <v/>
      </c>
      <c r="BE18" s="63">
        <f>IF(BB18+BC18&gt;0,(BB18*crown_charter+BC18*crown_comp)/(BA18),0)</f>
        <v/>
      </c>
    </row>
    <row r="19">
      <c r="A19" s="58" t="n">
        <v>1859</v>
      </c>
      <c r="B19" s="65">
        <f>champ_scale*(1+Labour!AP19)*(1+Partners!BX19)*(1-IF(union_resp=2,tariff_cut*Labour!S19,0))</f>
        <v/>
      </c>
      <c r="C19" s="45" t="n">
        <v>0</v>
      </c>
      <c r="D19" s="45" t="n">
        <v>0</v>
      </c>
      <c r="E19" s="45" t="n">
        <v>0</v>
      </c>
      <c r="F19" s="47">
        <f>E19*B19</f>
        <v/>
      </c>
      <c r="G19" s="47">
        <f>F19/Economy!B19*1000000</f>
        <v/>
      </c>
      <c r="H19" s="45" t="n">
        <v>0</v>
      </c>
      <c r="I19" s="67">
        <f>IF(H19&gt;0,G19/H19,0)</f>
        <v/>
      </c>
      <c r="J19" s="68" t="n">
        <v>0</v>
      </c>
      <c r="K19" s="53">
        <f>Resources!K19*J19*B19</f>
        <v/>
      </c>
      <c r="L19" s="45" t="n">
        <v>0</v>
      </c>
      <c r="M19" s="59" t="n">
        <v>0</v>
      </c>
      <c r="N19" s="45" t="n">
        <v>0</v>
      </c>
      <c r="O19" s="68" t="n">
        <v>0</v>
      </c>
      <c r="P19" s="53">
        <f>(IF(Gulf!E19=1,0,L19*M19)+N19)*O19*B19</f>
        <v/>
      </c>
      <c r="Q19" s="53">
        <f>P19*oil_book</f>
        <v/>
      </c>
      <c r="R19" s="68" t="n">
        <v>0</v>
      </c>
      <c r="S19" s="45" t="n">
        <v>0</v>
      </c>
      <c r="T19" s="53">
        <f>R19*S19*B19</f>
        <v/>
      </c>
      <c r="U19" s="45" t="n">
        <v>0</v>
      </c>
      <c r="V19" s="45" t="n">
        <v>0</v>
      </c>
      <c r="W19" s="53">
        <f>U19/1000*V19*B19</f>
        <v/>
      </c>
      <c r="X19" s="45" t="n">
        <v>0</v>
      </c>
      <c r="Y19" s="59" t="n">
        <v>0</v>
      </c>
      <c r="Z19" s="53">
        <f>X19*Y19*chem_va*B19</f>
        <v/>
      </c>
      <c r="AA19" s="59" t="n">
        <v>0</v>
      </c>
      <c r="AB19" s="53">
        <f>X19*AA19*roy_rate*B19*(1-IF(union_resp=2,lic_cut*Labour!S19,0))</f>
        <v/>
      </c>
      <c r="AC19" s="45" t="n">
        <v>0</v>
      </c>
      <c r="AD19" s="59" t="n">
        <v>0</v>
      </c>
      <c r="AE19" s="59" t="n">
        <v>0</v>
      </c>
      <c r="AF19" s="53">
        <f>AC19*AD19*elec_va*B19</f>
        <v/>
      </c>
      <c r="AG19" s="53">
        <f>MAX(0,AE19-AD19)*AC19*roy_rate*B19*(1-IF(union_resp=2,lic_cut*Labour!S19,0))</f>
        <v/>
      </c>
      <c r="AH19" s="52" t="n">
        <v>0</v>
      </c>
      <c r="AI19" s="53">
        <f>AH19*B19</f>
        <v/>
      </c>
      <c r="AJ19" s="52" t="n">
        <v>0</v>
      </c>
      <c r="AK19" s="53">
        <f>AJ19*B19</f>
        <v/>
      </c>
      <c r="AL19" s="45" t="n">
        <v>0</v>
      </c>
      <c r="AM19" s="53">
        <f>AL19*uw_fee*B19</f>
        <v/>
      </c>
      <c r="AN19" s="52" t="n">
        <v>0</v>
      </c>
      <c r="AO19" s="52" t="n">
        <v>0</v>
      </c>
      <c r="AP19" s="53">
        <f>K19+T19+W19+Z19+AF19+AI19+AK19+AM19+AN19+AO19</f>
        <v/>
      </c>
      <c r="AQ19" s="53">
        <f>AP19*(1-1/champ_prem+champ_spill)</f>
        <v/>
      </c>
      <c r="AR19" s="63">
        <f>AP19/Economy!O19</f>
        <v/>
      </c>
      <c r="AS19" s="52" t="n">
        <v>0</v>
      </c>
      <c r="AT19" s="52" t="n">
        <v>0</v>
      </c>
      <c r="AU19" s="52" t="n">
        <v>0</v>
      </c>
      <c r="AV19" s="52" t="n">
        <v>0</v>
      </c>
      <c r="AW19" s="52" t="n">
        <v>0</v>
      </c>
      <c r="AX19" s="52" t="n">
        <v>0</v>
      </c>
      <c r="AY19" s="53">
        <f>Q19+(AS19+AT19+AU19+AV19+AW19+AX19)*B19</f>
        <v/>
      </c>
      <c r="AZ19" s="53">
        <f>P19+(AS19*ret_rail+AT19*ret_tel+AU19*ret_elec+AV19*ret_auto+AW19*ret_chem+AX19*ret_steel)*B19*IF(OR($A19=1931,$A19=1932),abroad_slump,1)+AB19+AG19</f>
        <v/>
      </c>
      <c r="BA19" s="53">
        <f>AP19*champ_profit+AZ19</f>
        <v/>
      </c>
      <c r="BB19" s="53">
        <f>(K19+AI19+AK19)*champ_profit+P19+(AS19*ret_rail+AT19*ret_tel+AU19*ret_elec)*B19*IF(OR($A19=1931,$A19=1932),abroad_slump,1)</f>
        <v/>
      </c>
      <c r="BC19" s="53">
        <f>(T19+W19+Z19+AF19+AN19+AO19)*champ_profit+(AV19*ret_auto+AW19*ret_chem+AX19*ret_steel)*B19*IF(OR($A19=1931,$A19=1932),abroad_slump,1)+AB19+AG19</f>
        <v/>
      </c>
      <c r="BD19" s="53">
        <f>IF($A19&gt;=crown_start,(BB19*crown_charter+BC19*crown_comp)*crown_payout,0)</f>
        <v/>
      </c>
      <c r="BE19" s="63">
        <f>IF(BB19+BC19&gt;0,(BB19*crown_charter+BC19*crown_comp)/(BA19),0)</f>
        <v/>
      </c>
    </row>
    <row r="20">
      <c r="A20" s="58" t="n">
        <v>1860</v>
      </c>
      <c r="B20" s="65">
        <f>champ_scale*(1+Labour!AP20)*(1+Partners!BX20)*(1-IF(union_resp=2,tariff_cut*Labour!S20,0))</f>
        <v/>
      </c>
      <c r="C20" s="45" t="n">
        <v>0</v>
      </c>
      <c r="D20" s="45" t="n">
        <v>0</v>
      </c>
      <c r="E20" s="45" t="n">
        <v>50</v>
      </c>
      <c r="F20" s="47">
        <f>E20*B20</f>
        <v/>
      </c>
      <c r="G20" s="47">
        <f>F20/Economy!B20*1000000</f>
        <v/>
      </c>
      <c r="H20" s="45" t="n">
        <v>150</v>
      </c>
      <c r="I20" s="67">
        <f>IF(H20&gt;0,G20/H20,0)</f>
        <v/>
      </c>
      <c r="J20" s="68" t="n">
        <v>0</v>
      </c>
      <c r="K20" s="53">
        <f>Resources!K20*J20*B20</f>
        <v/>
      </c>
      <c r="L20" s="45" t="n">
        <v>0</v>
      </c>
      <c r="M20" s="59" t="n">
        <v>0</v>
      </c>
      <c r="N20" s="45" t="n">
        <v>0</v>
      </c>
      <c r="O20" s="68" t="n">
        <v>0</v>
      </c>
      <c r="P20" s="53">
        <f>(IF(Gulf!E20=1,0,L20*M20)+N20)*O20*B20</f>
        <v/>
      </c>
      <c r="Q20" s="53">
        <f>P20*oil_book</f>
        <v/>
      </c>
      <c r="R20" s="68" t="n">
        <v>0</v>
      </c>
      <c r="S20" s="45" t="n">
        <v>0</v>
      </c>
      <c r="T20" s="53">
        <f>R20*S20*B20</f>
        <v/>
      </c>
      <c r="U20" s="45" t="n">
        <v>0</v>
      </c>
      <c r="V20" s="45" t="n">
        <v>0</v>
      </c>
      <c r="W20" s="53">
        <f>U20/1000*V20*B20</f>
        <v/>
      </c>
      <c r="X20" s="45" t="n">
        <v>0</v>
      </c>
      <c r="Y20" s="59" t="n">
        <v>0</v>
      </c>
      <c r="Z20" s="53">
        <f>X20*Y20*chem_va*B20</f>
        <v/>
      </c>
      <c r="AA20" s="59" t="n">
        <v>0</v>
      </c>
      <c r="AB20" s="53">
        <f>X20*AA20*roy_rate*B20*(1-IF(union_resp=2,lic_cut*Labour!S20,0))</f>
        <v/>
      </c>
      <c r="AC20" s="45" t="n">
        <v>0</v>
      </c>
      <c r="AD20" s="59" t="n">
        <v>0</v>
      </c>
      <c r="AE20" s="59" t="n">
        <v>0</v>
      </c>
      <c r="AF20" s="53">
        <f>AC20*AD20*elec_va*B20</f>
        <v/>
      </c>
      <c r="AG20" s="53">
        <f>MAX(0,AE20-AD20)*AC20*roy_rate*B20*(1-IF(union_resp=2,lic_cut*Labour!S20,0))</f>
        <v/>
      </c>
      <c r="AH20" s="52" t="n">
        <v>1</v>
      </c>
      <c r="AI20" s="53">
        <f>AH20*B20</f>
        <v/>
      </c>
      <c r="AJ20" s="52" t="n">
        <v>0</v>
      </c>
      <c r="AK20" s="53">
        <f>AJ20*B20</f>
        <v/>
      </c>
      <c r="AL20" s="45" t="n">
        <v>0</v>
      </c>
      <c r="AM20" s="53">
        <f>AL20*uw_fee*B20</f>
        <v/>
      </c>
      <c r="AN20" s="52" t="n">
        <v>0</v>
      </c>
      <c r="AO20" s="52" t="n">
        <v>0</v>
      </c>
      <c r="AP20" s="53">
        <f>K20+T20+W20+Z20+AF20+AI20+AK20+AM20+AN20+AO20</f>
        <v/>
      </c>
      <c r="AQ20" s="53">
        <f>AP20*(1-1/champ_prem+champ_spill)</f>
        <v/>
      </c>
      <c r="AR20" s="63">
        <f>AP20/Economy!O20</f>
        <v/>
      </c>
      <c r="AS20" s="52" t="n">
        <v>0</v>
      </c>
      <c r="AT20" s="52" t="n">
        <v>0</v>
      </c>
      <c r="AU20" s="52" t="n">
        <v>0</v>
      </c>
      <c r="AV20" s="52" t="n">
        <v>0</v>
      </c>
      <c r="AW20" s="52" t="n">
        <v>0</v>
      </c>
      <c r="AX20" s="52" t="n">
        <v>0</v>
      </c>
      <c r="AY20" s="53">
        <f>Q20+(AS20+AT20+AU20+AV20+AW20+AX20)*B20</f>
        <v/>
      </c>
      <c r="AZ20" s="53">
        <f>P20+(AS20*ret_rail+AT20*ret_tel+AU20*ret_elec+AV20*ret_auto+AW20*ret_chem+AX20*ret_steel)*B20*IF(OR($A20=1931,$A20=1932),abroad_slump,1)+AB20+AG20</f>
        <v/>
      </c>
      <c r="BA20" s="53">
        <f>AP20*champ_profit+AZ20</f>
        <v/>
      </c>
      <c r="BB20" s="53">
        <f>(K20+AI20+AK20)*champ_profit+P20+(AS20*ret_rail+AT20*ret_tel+AU20*ret_elec)*B20*IF(OR($A20=1931,$A20=1932),abroad_slump,1)</f>
        <v/>
      </c>
      <c r="BC20" s="53">
        <f>(T20+W20+Z20+AF20+AN20+AO20)*champ_profit+(AV20*ret_auto+AW20*ret_chem+AX20*ret_steel)*B20*IF(OR($A20=1931,$A20=1932),abroad_slump,1)+AB20+AG20</f>
        <v/>
      </c>
      <c r="BD20" s="53">
        <f>IF($A20&gt;=crown_start,(BB20*crown_charter+BC20*crown_comp)*crown_payout,0)</f>
        <v/>
      </c>
      <c r="BE20" s="63">
        <f>IF(BB20+BC20&gt;0,(BB20*crown_charter+BC20*crown_comp)/(BA20),0)</f>
        <v/>
      </c>
    </row>
    <row r="21">
      <c r="A21" s="61" t="n">
        <v>1861</v>
      </c>
      <c r="B21" s="65">
        <f>champ_scale*(1+Labour!AP21)*(1+Partners!BX21)*(1-IF(union_resp=2,tariff_cut*Labour!S21,0))</f>
        <v/>
      </c>
      <c r="C21" s="45" t="n">
        <v>0</v>
      </c>
      <c r="D21" s="45" t="n">
        <v>0</v>
      </c>
      <c r="E21" s="45" t="n">
        <v>60</v>
      </c>
      <c r="F21" s="47">
        <f>E21*B21</f>
        <v/>
      </c>
      <c r="G21" s="47">
        <f>F21/Economy!B21*1000000</f>
        <v/>
      </c>
      <c r="H21" s="45" t="n">
        <v>166</v>
      </c>
      <c r="I21" s="67">
        <f>IF(H21&gt;0,G21/H21,0)</f>
        <v/>
      </c>
      <c r="J21" s="68" t="n">
        <v>0</v>
      </c>
      <c r="K21" s="53">
        <f>Resources!K21*J21*B21</f>
        <v/>
      </c>
      <c r="L21" s="45" t="n">
        <v>0</v>
      </c>
      <c r="M21" s="59" t="n">
        <v>0</v>
      </c>
      <c r="N21" s="45" t="n">
        <v>0</v>
      </c>
      <c r="O21" s="68" t="n">
        <v>0</v>
      </c>
      <c r="P21" s="53">
        <f>(IF(Gulf!E21=1,0,L21*M21)+N21)*O21*B21</f>
        <v/>
      </c>
      <c r="Q21" s="53">
        <f>P21*oil_book</f>
        <v/>
      </c>
      <c r="R21" s="68" t="n">
        <v>0</v>
      </c>
      <c r="S21" s="45" t="n">
        <v>0</v>
      </c>
      <c r="T21" s="53">
        <f>R21*S21*B21</f>
        <v/>
      </c>
      <c r="U21" s="45" t="n">
        <v>0</v>
      </c>
      <c r="V21" s="45" t="n">
        <v>0</v>
      </c>
      <c r="W21" s="53">
        <f>U21/1000*V21*B21</f>
        <v/>
      </c>
      <c r="X21" s="45" t="n">
        <v>0</v>
      </c>
      <c r="Y21" s="59" t="n">
        <v>0</v>
      </c>
      <c r="Z21" s="53">
        <f>X21*Y21*chem_va*B21</f>
        <v/>
      </c>
      <c r="AA21" s="59" t="n">
        <v>0</v>
      </c>
      <c r="AB21" s="53">
        <f>X21*AA21*roy_rate*B21*(1-IF(union_resp=2,lic_cut*Labour!S21,0))</f>
        <v/>
      </c>
      <c r="AC21" s="45" t="n">
        <v>0</v>
      </c>
      <c r="AD21" s="59" t="n">
        <v>0</v>
      </c>
      <c r="AE21" s="59" t="n">
        <v>0</v>
      </c>
      <c r="AF21" s="53">
        <f>AC21*AD21*elec_va*B21</f>
        <v/>
      </c>
      <c r="AG21" s="53">
        <f>MAX(0,AE21-AD21)*AC21*roy_rate*B21*(1-IF(union_resp=2,lic_cut*Labour!S21,0))</f>
        <v/>
      </c>
      <c r="AH21" s="52" t="n">
        <v>1</v>
      </c>
      <c r="AI21" s="53">
        <f>AH21*B21</f>
        <v/>
      </c>
      <c r="AJ21" s="52" t="n">
        <v>0</v>
      </c>
      <c r="AK21" s="53">
        <f>AJ21*B21</f>
        <v/>
      </c>
      <c r="AL21" s="45" t="n">
        <v>0</v>
      </c>
      <c r="AM21" s="53">
        <f>AL21*uw_fee*B21</f>
        <v/>
      </c>
      <c r="AN21" s="52" t="n">
        <v>0</v>
      </c>
      <c r="AO21" s="52" t="n">
        <v>0</v>
      </c>
      <c r="AP21" s="53">
        <f>K21+T21+W21+Z21+AF21+AI21+AK21+AM21+AN21+AO21</f>
        <v/>
      </c>
      <c r="AQ21" s="53">
        <f>AP21*(1-1/champ_prem+champ_spill)</f>
        <v/>
      </c>
      <c r="AR21" s="63">
        <f>AP21/Economy!O21</f>
        <v/>
      </c>
      <c r="AS21" s="52" t="n">
        <v>0</v>
      </c>
      <c r="AT21" s="52" t="n">
        <v>0</v>
      </c>
      <c r="AU21" s="52" t="n">
        <v>0</v>
      </c>
      <c r="AV21" s="52" t="n">
        <v>0</v>
      </c>
      <c r="AW21" s="52" t="n">
        <v>0</v>
      </c>
      <c r="AX21" s="52" t="n">
        <v>0</v>
      </c>
      <c r="AY21" s="53">
        <f>Q21+(AS21+AT21+AU21+AV21+AW21+AX21)*B21</f>
        <v/>
      </c>
      <c r="AZ21" s="53">
        <f>P21+(AS21*ret_rail+AT21*ret_tel+AU21*ret_elec+AV21*ret_auto+AW21*ret_chem+AX21*ret_steel)*B21*IF(OR($A21=1931,$A21=1932),abroad_slump,1)+AB21+AG21</f>
        <v/>
      </c>
      <c r="BA21" s="53">
        <f>AP21*champ_profit+AZ21</f>
        <v/>
      </c>
      <c r="BB21" s="53">
        <f>(K21+AI21+AK21)*champ_profit+P21+(AS21*ret_rail+AT21*ret_tel+AU21*ret_elec)*B21*IF(OR($A21=1931,$A21=1932),abroad_slump,1)</f>
        <v/>
      </c>
      <c r="BC21" s="53">
        <f>(T21+W21+Z21+AF21+AN21+AO21)*champ_profit+(AV21*ret_auto+AW21*ret_chem+AX21*ret_steel)*B21*IF(OR($A21=1931,$A21=1932),abroad_slump,1)+AB21+AG21</f>
        <v/>
      </c>
      <c r="BD21" s="53">
        <f>IF($A21&gt;=crown_start,(BB21*crown_charter+BC21*crown_comp)*crown_payout,0)</f>
        <v/>
      </c>
      <c r="BE21" s="63">
        <f>IF(BB21+BC21&gt;0,(BB21*crown_charter+BC21*crown_comp)/(BA21),0)</f>
        <v/>
      </c>
    </row>
    <row r="22">
      <c r="A22" s="61" t="n">
        <v>1862</v>
      </c>
      <c r="B22" s="65">
        <f>champ_scale*(1+Labour!AP22)*(1+Partners!BX22)*(1-IF(union_resp=2,tariff_cut*Labour!S22,0))</f>
        <v/>
      </c>
      <c r="C22" s="45" t="n">
        <v>0</v>
      </c>
      <c r="D22" s="45" t="n">
        <v>0</v>
      </c>
      <c r="E22" s="45" t="n">
        <v>80</v>
      </c>
      <c r="F22" s="47">
        <f>E22*B22</f>
        <v/>
      </c>
      <c r="G22" s="47">
        <f>F22/Economy!B22*1000000</f>
        <v/>
      </c>
      <c r="H22" s="45" t="n">
        <v>183</v>
      </c>
      <c r="I22" s="67">
        <f>IF(H22&gt;0,G22/H22,0)</f>
        <v/>
      </c>
      <c r="J22" s="68" t="n">
        <v>0</v>
      </c>
      <c r="K22" s="53">
        <f>Resources!K22*J22*B22</f>
        <v/>
      </c>
      <c r="L22" s="45" t="n">
        <v>0</v>
      </c>
      <c r="M22" s="59" t="n">
        <v>0</v>
      </c>
      <c r="N22" s="45" t="n">
        <v>0</v>
      </c>
      <c r="O22" s="68" t="n">
        <v>0</v>
      </c>
      <c r="P22" s="53">
        <f>(IF(Gulf!E22=1,0,L22*M22)+N22)*O22*B22</f>
        <v/>
      </c>
      <c r="Q22" s="53">
        <f>P22*oil_book</f>
        <v/>
      </c>
      <c r="R22" s="68" t="n">
        <v>0</v>
      </c>
      <c r="S22" s="45" t="n">
        <v>0</v>
      </c>
      <c r="T22" s="53">
        <f>R22*S22*B22</f>
        <v/>
      </c>
      <c r="U22" s="45" t="n">
        <v>0</v>
      </c>
      <c r="V22" s="45" t="n">
        <v>0</v>
      </c>
      <c r="W22" s="53">
        <f>U22/1000*V22*B22</f>
        <v/>
      </c>
      <c r="X22" s="45" t="n">
        <v>0</v>
      </c>
      <c r="Y22" s="59" t="n">
        <v>0</v>
      </c>
      <c r="Z22" s="53">
        <f>X22*Y22*chem_va*B22</f>
        <v/>
      </c>
      <c r="AA22" s="59" t="n">
        <v>0</v>
      </c>
      <c r="AB22" s="53">
        <f>X22*AA22*roy_rate*B22*(1-IF(union_resp=2,lic_cut*Labour!S22,0))</f>
        <v/>
      </c>
      <c r="AC22" s="45" t="n">
        <v>0</v>
      </c>
      <c r="AD22" s="59" t="n">
        <v>0</v>
      </c>
      <c r="AE22" s="59" t="n">
        <v>0</v>
      </c>
      <c r="AF22" s="53">
        <f>AC22*AD22*elec_va*B22</f>
        <v/>
      </c>
      <c r="AG22" s="53">
        <f>MAX(0,AE22-AD22)*AC22*roy_rate*B22*(1-IF(union_resp=2,lic_cut*Labour!S22,0))</f>
        <v/>
      </c>
      <c r="AH22" s="52" t="n">
        <v>1</v>
      </c>
      <c r="AI22" s="53">
        <f>AH22*B22</f>
        <v/>
      </c>
      <c r="AJ22" s="52" t="n">
        <v>0</v>
      </c>
      <c r="AK22" s="53">
        <f>AJ22*B22</f>
        <v/>
      </c>
      <c r="AL22" s="45" t="n">
        <v>0</v>
      </c>
      <c r="AM22" s="53">
        <f>AL22*uw_fee*B22</f>
        <v/>
      </c>
      <c r="AN22" s="52" t="n">
        <v>0</v>
      </c>
      <c r="AO22" s="52" t="n">
        <v>0</v>
      </c>
      <c r="AP22" s="53">
        <f>K22+T22+W22+Z22+AF22+AI22+AK22+AM22+AN22+AO22</f>
        <v/>
      </c>
      <c r="AQ22" s="53">
        <f>AP22*(1-1/champ_prem+champ_spill)</f>
        <v/>
      </c>
      <c r="AR22" s="63">
        <f>AP22/Economy!O22</f>
        <v/>
      </c>
      <c r="AS22" s="52" t="n">
        <v>0</v>
      </c>
      <c r="AT22" s="52" t="n">
        <v>0</v>
      </c>
      <c r="AU22" s="52" t="n">
        <v>0</v>
      </c>
      <c r="AV22" s="52" t="n">
        <v>0</v>
      </c>
      <c r="AW22" s="52" t="n">
        <v>0</v>
      </c>
      <c r="AX22" s="52" t="n">
        <v>0</v>
      </c>
      <c r="AY22" s="53">
        <f>Q22+(AS22+AT22+AU22+AV22+AW22+AX22)*B22</f>
        <v/>
      </c>
      <c r="AZ22" s="53">
        <f>P22+(AS22*ret_rail+AT22*ret_tel+AU22*ret_elec+AV22*ret_auto+AW22*ret_chem+AX22*ret_steel)*B22*IF(OR($A22=1931,$A22=1932),abroad_slump,1)+AB22+AG22</f>
        <v/>
      </c>
      <c r="BA22" s="53">
        <f>AP22*champ_profit+AZ22</f>
        <v/>
      </c>
      <c r="BB22" s="53">
        <f>(K22+AI22+AK22)*champ_profit+P22+(AS22*ret_rail+AT22*ret_tel+AU22*ret_elec)*B22*IF(OR($A22=1931,$A22=1932),abroad_slump,1)</f>
        <v/>
      </c>
      <c r="BC22" s="53">
        <f>(T22+W22+Z22+AF22+AN22+AO22)*champ_profit+(AV22*ret_auto+AW22*ret_chem+AX22*ret_steel)*B22*IF(OR($A22=1931,$A22=1932),abroad_slump,1)+AB22+AG22</f>
        <v/>
      </c>
      <c r="BD22" s="53">
        <f>IF($A22&gt;=crown_start,(BB22*crown_charter+BC22*crown_comp)*crown_payout,0)</f>
        <v/>
      </c>
      <c r="BE22" s="63">
        <f>IF(BB22+BC22&gt;0,(BB22*crown_charter+BC22*crown_comp)/(BA22),0)</f>
        <v/>
      </c>
    </row>
    <row r="23">
      <c r="A23" s="61" t="n">
        <v>1863</v>
      </c>
      <c r="B23" s="65">
        <f>champ_scale*(1+Labour!AP23)*(1+Partners!BX23)*(1-IF(union_resp=2,tariff_cut*Labour!S23,0))</f>
        <v/>
      </c>
      <c r="C23" s="45" t="n">
        <v>0</v>
      </c>
      <c r="D23" s="45" t="n">
        <v>0</v>
      </c>
      <c r="E23" s="45" t="n">
        <v>100</v>
      </c>
      <c r="F23" s="47">
        <f>E23*B23</f>
        <v/>
      </c>
      <c r="G23" s="47">
        <f>F23/Economy!B23*1000000</f>
        <v/>
      </c>
      <c r="H23" s="45" t="n">
        <v>199</v>
      </c>
      <c r="I23" s="67">
        <f>IF(H23&gt;0,G23/H23,0)</f>
        <v/>
      </c>
      <c r="J23" s="68" t="n">
        <v>0</v>
      </c>
      <c r="K23" s="53">
        <f>Resources!K23*J23*B23</f>
        <v/>
      </c>
      <c r="L23" s="45" t="n">
        <v>0</v>
      </c>
      <c r="M23" s="59" t="n">
        <v>0</v>
      </c>
      <c r="N23" s="45" t="n">
        <v>0</v>
      </c>
      <c r="O23" s="68" t="n">
        <v>0</v>
      </c>
      <c r="P23" s="53">
        <f>(IF(Gulf!E23=1,0,L23*M23)+N23)*O23*B23</f>
        <v/>
      </c>
      <c r="Q23" s="53">
        <f>P23*oil_book</f>
        <v/>
      </c>
      <c r="R23" s="68" t="n">
        <v>0</v>
      </c>
      <c r="S23" s="45" t="n">
        <v>0</v>
      </c>
      <c r="T23" s="53">
        <f>R23*S23*B23</f>
        <v/>
      </c>
      <c r="U23" s="45" t="n">
        <v>0</v>
      </c>
      <c r="V23" s="45" t="n">
        <v>0</v>
      </c>
      <c r="W23" s="53">
        <f>U23/1000*V23*B23</f>
        <v/>
      </c>
      <c r="X23" s="45" t="n">
        <v>0</v>
      </c>
      <c r="Y23" s="59" t="n">
        <v>0</v>
      </c>
      <c r="Z23" s="53">
        <f>X23*Y23*chem_va*B23</f>
        <v/>
      </c>
      <c r="AA23" s="59" t="n">
        <v>0</v>
      </c>
      <c r="AB23" s="53">
        <f>X23*AA23*roy_rate*B23*(1-IF(union_resp=2,lic_cut*Labour!S23,0))</f>
        <v/>
      </c>
      <c r="AC23" s="45" t="n">
        <v>0</v>
      </c>
      <c r="AD23" s="59" t="n">
        <v>0</v>
      </c>
      <c r="AE23" s="59" t="n">
        <v>0</v>
      </c>
      <c r="AF23" s="53">
        <f>AC23*AD23*elec_va*B23</f>
        <v/>
      </c>
      <c r="AG23" s="53">
        <f>MAX(0,AE23-AD23)*AC23*roy_rate*B23*(1-IF(union_resp=2,lic_cut*Labour!S23,0))</f>
        <v/>
      </c>
      <c r="AH23" s="52" t="n">
        <v>2</v>
      </c>
      <c r="AI23" s="53">
        <f>AH23*B23</f>
        <v/>
      </c>
      <c r="AJ23" s="52" t="n">
        <v>0</v>
      </c>
      <c r="AK23" s="53">
        <f>AJ23*B23</f>
        <v/>
      </c>
      <c r="AL23" s="45" t="n">
        <v>0</v>
      </c>
      <c r="AM23" s="53">
        <f>AL23*uw_fee*B23</f>
        <v/>
      </c>
      <c r="AN23" s="52" t="n">
        <v>0</v>
      </c>
      <c r="AO23" s="52" t="n">
        <v>0</v>
      </c>
      <c r="AP23" s="53">
        <f>K23+T23+W23+Z23+AF23+AI23+AK23+AM23+AN23+AO23</f>
        <v/>
      </c>
      <c r="AQ23" s="53">
        <f>AP23*(1-1/champ_prem+champ_spill)</f>
        <v/>
      </c>
      <c r="AR23" s="63">
        <f>AP23/Economy!O23</f>
        <v/>
      </c>
      <c r="AS23" s="52" t="n">
        <v>0</v>
      </c>
      <c r="AT23" s="52" t="n">
        <v>0</v>
      </c>
      <c r="AU23" s="52" t="n">
        <v>0</v>
      </c>
      <c r="AV23" s="52" t="n">
        <v>0</v>
      </c>
      <c r="AW23" s="52" t="n">
        <v>0</v>
      </c>
      <c r="AX23" s="52" t="n">
        <v>0</v>
      </c>
      <c r="AY23" s="53">
        <f>Q23+(AS23+AT23+AU23+AV23+AW23+AX23)*B23</f>
        <v/>
      </c>
      <c r="AZ23" s="53">
        <f>P23+(AS23*ret_rail+AT23*ret_tel+AU23*ret_elec+AV23*ret_auto+AW23*ret_chem+AX23*ret_steel)*B23*IF(OR($A23=1931,$A23=1932),abroad_slump,1)+AB23+AG23</f>
        <v/>
      </c>
      <c r="BA23" s="53">
        <f>AP23*champ_profit+AZ23</f>
        <v/>
      </c>
      <c r="BB23" s="53">
        <f>(K23+AI23+AK23)*champ_profit+P23+(AS23*ret_rail+AT23*ret_tel+AU23*ret_elec)*B23*IF(OR($A23=1931,$A23=1932),abroad_slump,1)</f>
        <v/>
      </c>
      <c r="BC23" s="53">
        <f>(T23+W23+Z23+AF23+AN23+AO23)*champ_profit+(AV23*ret_auto+AW23*ret_chem+AX23*ret_steel)*B23*IF(OR($A23=1931,$A23=1932),abroad_slump,1)+AB23+AG23</f>
        <v/>
      </c>
      <c r="BD23" s="53">
        <f>IF($A23&gt;=crown_start,(BB23*crown_charter+BC23*crown_comp)*crown_payout,0)</f>
        <v/>
      </c>
      <c r="BE23" s="63">
        <f>IF(BB23+BC23&gt;0,(BB23*crown_charter+BC23*crown_comp)/(BA23),0)</f>
        <v/>
      </c>
    </row>
    <row r="24">
      <c r="A24" s="61" t="n">
        <v>1864</v>
      </c>
      <c r="B24" s="65">
        <f>champ_scale*(1+Labour!AP24)*(1+Partners!BX24)*(1-IF(union_resp=2,tariff_cut*Labour!S24,0))</f>
        <v/>
      </c>
      <c r="C24" s="45" t="n">
        <v>0</v>
      </c>
      <c r="D24" s="45" t="n">
        <v>0</v>
      </c>
      <c r="E24" s="45" t="n">
        <v>110</v>
      </c>
      <c r="F24" s="47">
        <f>E24*B24</f>
        <v/>
      </c>
      <c r="G24" s="47">
        <f>F24/Economy!B24*1000000</f>
        <v/>
      </c>
      <c r="H24" s="45" t="n">
        <v>216</v>
      </c>
      <c r="I24" s="67">
        <f>IF(H24&gt;0,G24/H24,0)</f>
        <v/>
      </c>
      <c r="J24" s="68" t="n">
        <v>0</v>
      </c>
      <c r="K24" s="53">
        <f>Resources!K24*J24*B24</f>
        <v/>
      </c>
      <c r="L24" s="45" t="n">
        <v>0</v>
      </c>
      <c r="M24" s="59" t="n">
        <v>0</v>
      </c>
      <c r="N24" s="45" t="n">
        <v>0</v>
      </c>
      <c r="O24" s="68" t="n">
        <v>0</v>
      </c>
      <c r="P24" s="53">
        <f>(IF(Gulf!E24=1,0,L24*M24)+N24)*O24*B24</f>
        <v/>
      </c>
      <c r="Q24" s="53">
        <f>P24*oil_book</f>
        <v/>
      </c>
      <c r="R24" s="68" t="n">
        <v>0</v>
      </c>
      <c r="S24" s="45" t="n">
        <v>0</v>
      </c>
      <c r="T24" s="53">
        <f>R24*S24*B24</f>
        <v/>
      </c>
      <c r="U24" s="45" t="n">
        <v>0</v>
      </c>
      <c r="V24" s="45" t="n">
        <v>0</v>
      </c>
      <c r="W24" s="53">
        <f>U24/1000*V24*B24</f>
        <v/>
      </c>
      <c r="X24" s="45" t="n">
        <v>0</v>
      </c>
      <c r="Y24" s="59" t="n">
        <v>0</v>
      </c>
      <c r="Z24" s="53">
        <f>X24*Y24*chem_va*B24</f>
        <v/>
      </c>
      <c r="AA24" s="59" t="n">
        <v>0</v>
      </c>
      <c r="AB24" s="53">
        <f>X24*AA24*roy_rate*B24*(1-IF(union_resp=2,lic_cut*Labour!S24,0))</f>
        <v/>
      </c>
      <c r="AC24" s="45" t="n">
        <v>0</v>
      </c>
      <c r="AD24" s="59" t="n">
        <v>0</v>
      </c>
      <c r="AE24" s="59" t="n">
        <v>0</v>
      </c>
      <c r="AF24" s="53">
        <f>AC24*AD24*elec_va*B24</f>
        <v/>
      </c>
      <c r="AG24" s="53">
        <f>MAX(0,AE24-AD24)*AC24*roy_rate*B24*(1-IF(union_resp=2,lic_cut*Labour!S24,0))</f>
        <v/>
      </c>
      <c r="AH24" s="52" t="n">
        <v>2</v>
      </c>
      <c r="AI24" s="53">
        <f>AH24*B24</f>
        <v/>
      </c>
      <c r="AJ24" s="52" t="n">
        <v>0</v>
      </c>
      <c r="AK24" s="53">
        <f>AJ24*B24</f>
        <v/>
      </c>
      <c r="AL24" s="45" t="n">
        <v>0</v>
      </c>
      <c r="AM24" s="53">
        <f>AL24*uw_fee*B24</f>
        <v/>
      </c>
      <c r="AN24" s="52" t="n">
        <v>0</v>
      </c>
      <c r="AO24" s="52" t="n">
        <v>0</v>
      </c>
      <c r="AP24" s="53">
        <f>K24+T24+W24+Z24+AF24+AI24+AK24+AM24+AN24+AO24</f>
        <v/>
      </c>
      <c r="AQ24" s="53">
        <f>AP24*(1-1/champ_prem+champ_spill)</f>
        <v/>
      </c>
      <c r="AR24" s="63">
        <f>AP24/Economy!O24</f>
        <v/>
      </c>
      <c r="AS24" s="52" t="n">
        <v>0</v>
      </c>
      <c r="AT24" s="52" t="n">
        <v>0</v>
      </c>
      <c r="AU24" s="52" t="n">
        <v>0</v>
      </c>
      <c r="AV24" s="52" t="n">
        <v>0</v>
      </c>
      <c r="AW24" s="52" t="n">
        <v>0</v>
      </c>
      <c r="AX24" s="52" t="n">
        <v>0</v>
      </c>
      <c r="AY24" s="53">
        <f>Q24+(AS24+AT24+AU24+AV24+AW24+AX24)*B24</f>
        <v/>
      </c>
      <c r="AZ24" s="53">
        <f>P24+(AS24*ret_rail+AT24*ret_tel+AU24*ret_elec+AV24*ret_auto+AW24*ret_chem+AX24*ret_steel)*B24*IF(OR($A24=1931,$A24=1932),abroad_slump,1)+AB24+AG24</f>
        <v/>
      </c>
      <c r="BA24" s="53">
        <f>AP24*champ_profit+AZ24</f>
        <v/>
      </c>
      <c r="BB24" s="53">
        <f>(K24+AI24+AK24)*champ_profit+P24+(AS24*ret_rail+AT24*ret_tel+AU24*ret_elec)*B24*IF(OR($A24=1931,$A24=1932),abroad_slump,1)</f>
        <v/>
      </c>
      <c r="BC24" s="53">
        <f>(T24+W24+Z24+AF24+AN24+AO24)*champ_profit+(AV24*ret_auto+AW24*ret_chem+AX24*ret_steel)*B24*IF(OR($A24=1931,$A24=1932),abroad_slump,1)+AB24+AG24</f>
        <v/>
      </c>
      <c r="BD24" s="53">
        <f>IF($A24&gt;=crown_start,(BB24*crown_charter+BC24*crown_comp)*crown_payout,0)</f>
        <v/>
      </c>
      <c r="BE24" s="63">
        <f>IF(BB24+BC24&gt;0,(BB24*crown_charter+BC24*crown_comp)/(BA24),0)</f>
        <v/>
      </c>
    </row>
    <row r="25">
      <c r="A25" s="61" t="n">
        <v>1865</v>
      </c>
      <c r="B25" s="65">
        <f>champ_scale*(1+Labour!AP25)*(1+Partners!BX25)*(1-IF(union_resp=2,tariff_cut*Labour!S25,0))</f>
        <v/>
      </c>
      <c r="C25" s="45" t="n">
        <v>0</v>
      </c>
      <c r="D25" s="45" t="n">
        <v>0</v>
      </c>
      <c r="E25" s="45" t="n">
        <v>120</v>
      </c>
      <c r="F25" s="47">
        <f>E25*B25</f>
        <v/>
      </c>
      <c r="G25" s="47">
        <f>F25/Economy!B25*1000000</f>
        <v/>
      </c>
      <c r="H25" s="45" t="n">
        <v>232</v>
      </c>
      <c r="I25" s="67">
        <f>IF(H25&gt;0,G25/H25,0)</f>
        <v/>
      </c>
      <c r="J25" s="68" t="n">
        <v>0</v>
      </c>
      <c r="K25" s="53">
        <f>Resources!K25*J25*B25</f>
        <v/>
      </c>
      <c r="L25" s="45" t="n">
        <v>0</v>
      </c>
      <c r="M25" s="59" t="n">
        <v>0</v>
      </c>
      <c r="N25" s="45" t="n">
        <v>0</v>
      </c>
      <c r="O25" s="68" t="n">
        <v>0</v>
      </c>
      <c r="P25" s="53">
        <f>(IF(Gulf!E25=1,0,L25*M25)+N25)*O25*B25</f>
        <v/>
      </c>
      <c r="Q25" s="53">
        <f>P25*oil_book</f>
        <v/>
      </c>
      <c r="R25" s="68" t="n">
        <v>0</v>
      </c>
      <c r="S25" s="45" t="n">
        <v>0</v>
      </c>
      <c r="T25" s="53">
        <f>R25*S25*B25</f>
        <v/>
      </c>
      <c r="U25" s="45" t="n">
        <v>0</v>
      </c>
      <c r="V25" s="45" t="n">
        <v>0</v>
      </c>
      <c r="W25" s="53">
        <f>U25/1000*V25*B25</f>
        <v/>
      </c>
      <c r="X25" s="45" t="n">
        <v>0</v>
      </c>
      <c r="Y25" s="59" t="n">
        <v>0</v>
      </c>
      <c r="Z25" s="53">
        <f>X25*Y25*chem_va*B25</f>
        <v/>
      </c>
      <c r="AA25" s="59" t="n">
        <v>0</v>
      </c>
      <c r="AB25" s="53">
        <f>X25*AA25*roy_rate*B25*(1-IF(union_resp=2,lic_cut*Labour!S25,0))</f>
        <v/>
      </c>
      <c r="AC25" s="45" t="n">
        <v>0</v>
      </c>
      <c r="AD25" s="59" t="n">
        <v>0</v>
      </c>
      <c r="AE25" s="59" t="n">
        <v>0</v>
      </c>
      <c r="AF25" s="53">
        <f>AC25*AD25*elec_va*B25</f>
        <v/>
      </c>
      <c r="AG25" s="53">
        <f>MAX(0,AE25-AD25)*AC25*roy_rate*B25*(1-IF(union_resp=2,lic_cut*Labour!S25,0))</f>
        <v/>
      </c>
      <c r="AH25" s="52" t="n">
        <v>2</v>
      </c>
      <c r="AI25" s="53">
        <f>AH25*B25</f>
        <v/>
      </c>
      <c r="AJ25" s="52" t="n">
        <v>0</v>
      </c>
      <c r="AK25" s="53">
        <f>AJ25*B25</f>
        <v/>
      </c>
      <c r="AL25" s="45" t="n">
        <v>0</v>
      </c>
      <c r="AM25" s="53">
        <f>AL25*uw_fee*B25</f>
        <v/>
      </c>
      <c r="AN25" s="52" t="n">
        <v>0</v>
      </c>
      <c r="AO25" s="52" t="n">
        <v>0</v>
      </c>
      <c r="AP25" s="53">
        <f>K25+T25+W25+Z25+AF25+AI25+AK25+AM25+AN25+AO25</f>
        <v/>
      </c>
      <c r="AQ25" s="53">
        <f>AP25*(1-1/champ_prem+champ_spill)</f>
        <v/>
      </c>
      <c r="AR25" s="63">
        <f>AP25/Economy!O25</f>
        <v/>
      </c>
      <c r="AS25" s="52" t="n">
        <v>0</v>
      </c>
      <c r="AT25" s="52" t="n">
        <v>0</v>
      </c>
      <c r="AU25" s="52" t="n">
        <v>0</v>
      </c>
      <c r="AV25" s="52" t="n">
        <v>0</v>
      </c>
      <c r="AW25" s="52" t="n">
        <v>0</v>
      </c>
      <c r="AX25" s="52" t="n">
        <v>0</v>
      </c>
      <c r="AY25" s="53">
        <f>Q25+(AS25+AT25+AU25+AV25+AW25+AX25)*B25</f>
        <v/>
      </c>
      <c r="AZ25" s="53">
        <f>P25+(AS25*ret_rail+AT25*ret_tel+AU25*ret_elec+AV25*ret_auto+AW25*ret_chem+AX25*ret_steel)*B25*IF(OR($A25=1931,$A25=1932),abroad_slump,1)+AB25+AG25</f>
        <v/>
      </c>
      <c r="BA25" s="53">
        <f>AP25*champ_profit+AZ25</f>
        <v/>
      </c>
      <c r="BB25" s="53">
        <f>(K25+AI25+AK25)*champ_profit+P25+(AS25*ret_rail+AT25*ret_tel+AU25*ret_elec)*B25*IF(OR($A25=1931,$A25=1932),abroad_slump,1)</f>
        <v/>
      </c>
      <c r="BC25" s="53">
        <f>(T25+W25+Z25+AF25+AN25+AO25)*champ_profit+(AV25*ret_auto+AW25*ret_chem+AX25*ret_steel)*B25*IF(OR($A25=1931,$A25=1932),abroad_slump,1)+AB25+AG25</f>
        <v/>
      </c>
      <c r="BD25" s="53">
        <f>IF($A25&gt;=crown_start,(BB25*crown_charter+BC25*crown_comp)*crown_payout,0)</f>
        <v/>
      </c>
      <c r="BE25" s="63">
        <f>IF(BB25+BC25&gt;0,(BB25*crown_charter+BC25*crown_comp)/(BA25),0)</f>
        <v/>
      </c>
    </row>
    <row r="26">
      <c r="A26" s="58" t="n">
        <v>1866</v>
      </c>
      <c r="B26" s="65">
        <f>champ_scale*(1+Labour!AP26)*(1+Partners!BX26)*(1-IF(union_resp=2,tariff_cut*Labour!S26,0))</f>
        <v/>
      </c>
      <c r="C26" s="45" t="n">
        <v>0</v>
      </c>
      <c r="D26" s="45" t="n">
        <v>0</v>
      </c>
      <c r="E26" s="45" t="n">
        <v>140</v>
      </c>
      <c r="F26" s="47">
        <f>E26*B26</f>
        <v/>
      </c>
      <c r="G26" s="47">
        <f>F26/Economy!B26*1000000</f>
        <v/>
      </c>
      <c r="H26" s="45" t="n">
        <v>248</v>
      </c>
      <c r="I26" s="67">
        <f>IF(H26&gt;0,G26/H26,0)</f>
        <v/>
      </c>
      <c r="J26" s="68" t="n">
        <v>0</v>
      </c>
      <c r="K26" s="53">
        <f>Resources!K26*J26*B26</f>
        <v/>
      </c>
      <c r="L26" s="45" t="n">
        <v>0</v>
      </c>
      <c r="M26" s="59" t="n">
        <v>0</v>
      </c>
      <c r="N26" s="45" t="n">
        <v>0</v>
      </c>
      <c r="O26" s="68" t="n">
        <v>0</v>
      </c>
      <c r="P26" s="53">
        <f>(IF(Gulf!E26=1,0,L26*M26)+N26)*O26*B26</f>
        <v/>
      </c>
      <c r="Q26" s="53">
        <f>P26*oil_book</f>
        <v/>
      </c>
      <c r="R26" s="68" t="n">
        <v>0</v>
      </c>
      <c r="S26" s="45" t="n">
        <v>0</v>
      </c>
      <c r="T26" s="53">
        <f>R26*S26*B26</f>
        <v/>
      </c>
      <c r="U26" s="45" t="n">
        <v>0</v>
      </c>
      <c r="V26" s="45" t="n">
        <v>0</v>
      </c>
      <c r="W26" s="53">
        <f>U26/1000*V26*B26</f>
        <v/>
      </c>
      <c r="X26" s="45" t="n">
        <v>0</v>
      </c>
      <c r="Y26" s="59" t="n">
        <v>0</v>
      </c>
      <c r="Z26" s="53">
        <f>X26*Y26*chem_va*B26</f>
        <v/>
      </c>
      <c r="AA26" s="59" t="n">
        <v>0</v>
      </c>
      <c r="AB26" s="53">
        <f>X26*AA26*roy_rate*B26*(1-IF(union_resp=2,lic_cut*Labour!S26,0))</f>
        <v/>
      </c>
      <c r="AC26" s="45" t="n">
        <v>0</v>
      </c>
      <c r="AD26" s="59" t="n">
        <v>0</v>
      </c>
      <c r="AE26" s="59" t="n">
        <v>0</v>
      </c>
      <c r="AF26" s="53">
        <f>AC26*AD26*elec_va*B26</f>
        <v/>
      </c>
      <c r="AG26" s="53">
        <f>MAX(0,AE26-AD26)*AC26*roy_rate*B26*(1-IF(union_resp=2,lic_cut*Labour!S26,0))</f>
        <v/>
      </c>
      <c r="AH26" s="52" t="n">
        <v>2</v>
      </c>
      <c r="AI26" s="53">
        <f>AH26*B26</f>
        <v/>
      </c>
      <c r="AJ26" s="52" t="n">
        <v>0</v>
      </c>
      <c r="AK26" s="53">
        <f>AJ26*B26</f>
        <v/>
      </c>
      <c r="AL26" s="45" t="n">
        <v>0</v>
      </c>
      <c r="AM26" s="53">
        <f>AL26*uw_fee*B26</f>
        <v/>
      </c>
      <c r="AN26" s="52" t="n">
        <v>0</v>
      </c>
      <c r="AO26" s="52" t="n">
        <v>0</v>
      </c>
      <c r="AP26" s="53">
        <f>K26+T26+W26+Z26+AF26+AI26+AK26+AM26+AN26+AO26</f>
        <v/>
      </c>
      <c r="AQ26" s="53">
        <f>AP26*(1-1/champ_prem+champ_spill)</f>
        <v/>
      </c>
      <c r="AR26" s="63">
        <f>AP26/Economy!O26</f>
        <v/>
      </c>
      <c r="AS26" s="52" t="n">
        <v>0</v>
      </c>
      <c r="AT26" s="52" t="n">
        <v>0</v>
      </c>
      <c r="AU26" s="52" t="n">
        <v>0</v>
      </c>
      <c r="AV26" s="52" t="n">
        <v>0</v>
      </c>
      <c r="AW26" s="52" t="n">
        <v>0</v>
      </c>
      <c r="AX26" s="52" t="n">
        <v>0</v>
      </c>
      <c r="AY26" s="53">
        <f>Q26+(AS26+AT26+AU26+AV26+AW26+AX26)*B26</f>
        <v/>
      </c>
      <c r="AZ26" s="53">
        <f>P26+(AS26*ret_rail+AT26*ret_tel+AU26*ret_elec+AV26*ret_auto+AW26*ret_chem+AX26*ret_steel)*B26*IF(OR($A26=1931,$A26=1932),abroad_slump,1)+AB26+AG26</f>
        <v/>
      </c>
      <c r="BA26" s="53">
        <f>AP26*champ_profit+AZ26</f>
        <v/>
      </c>
      <c r="BB26" s="53">
        <f>(K26+AI26+AK26)*champ_profit+P26+(AS26*ret_rail+AT26*ret_tel+AU26*ret_elec)*B26*IF(OR($A26=1931,$A26=1932),abroad_slump,1)</f>
        <v/>
      </c>
      <c r="BC26" s="53">
        <f>(T26+W26+Z26+AF26+AN26+AO26)*champ_profit+(AV26*ret_auto+AW26*ret_chem+AX26*ret_steel)*B26*IF(OR($A26=1931,$A26=1932),abroad_slump,1)+AB26+AG26</f>
        <v/>
      </c>
      <c r="BD26" s="53">
        <f>IF($A26&gt;=crown_start,(BB26*crown_charter+BC26*crown_comp)*crown_payout,0)</f>
        <v/>
      </c>
      <c r="BE26" s="63">
        <f>IF(BB26+BC26&gt;0,(BB26*crown_charter+BC26*crown_comp)/(BA26),0)</f>
        <v/>
      </c>
    </row>
    <row r="27">
      <c r="A27" s="58" t="n">
        <v>1867</v>
      </c>
      <c r="B27" s="65">
        <f>champ_scale*(1+Labour!AP27)*(1+Partners!BX27)*(1-IF(union_resp=2,tariff_cut*Labour!S27,0))</f>
        <v/>
      </c>
      <c r="C27" s="45" t="n">
        <v>0</v>
      </c>
      <c r="D27" s="45" t="n">
        <v>0</v>
      </c>
      <c r="E27" s="45" t="n">
        <v>160</v>
      </c>
      <c r="F27" s="47">
        <f>E27*B27</f>
        <v/>
      </c>
      <c r="G27" s="47">
        <f>F27/Economy!B27*1000000</f>
        <v/>
      </c>
      <c r="H27" s="45" t="n">
        <v>265</v>
      </c>
      <c r="I27" s="67">
        <f>IF(H27&gt;0,G27/H27,0)</f>
        <v/>
      </c>
      <c r="J27" s="68" t="n">
        <v>0</v>
      </c>
      <c r="K27" s="53">
        <f>Resources!K27*J27*B27</f>
        <v/>
      </c>
      <c r="L27" s="45" t="n">
        <v>0</v>
      </c>
      <c r="M27" s="59" t="n">
        <v>0</v>
      </c>
      <c r="N27" s="45" t="n">
        <v>0</v>
      </c>
      <c r="O27" s="68" t="n">
        <v>0</v>
      </c>
      <c r="P27" s="53">
        <f>(IF(Gulf!E27=1,0,L27*M27)+N27)*O27*B27</f>
        <v/>
      </c>
      <c r="Q27" s="53">
        <f>P27*oil_book</f>
        <v/>
      </c>
      <c r="R27" s="68" t="n">
        <v>0</v>
      </c>
      <c r="S27" s="45" t="n">
        <v>0</v>
      </c>
      <c r="T27" s="53">
        <f>R27*S27*B27</f>
        <v/>
      </c>
      <c r="U27" s="45" t="n">
        <v>0</v>
      </c>
      <c r="V27" s="45" t="n">
        <v>0</v>
      </c>
      <c r="W27" s="53">
        <f>U27/1000*V27*B27</f>
        <v/>
      </c>
      <c r="X27" s="45" t="n">
        <v>300</v>
      </c>
      <c r="Y27" s="59" t="n">
        <v>0.002</v>
      </c>
      <c r="Z27" s="53">
        <f>X27*Y27*chem_va*B27</f>
        <v/>
      </c>
      <c r="AA27" s="59" t="n">
        <v>0.002</v>
      </c>
      <c r="AB27" s="53">
        <f>X27*AA27*roy_rate*B27*(1-IF(union_resp=2,lic_cut*Labour!S27,0))</f>
        <v/>
      </c>
      <c r="AC27" s="45" t="n">
        <v>0</v>
      </c>
      <c r="AD27" s="59" t="n">
        <v>0</v>
      </c>
      <c r="AE27" s="59" t="n">
        <v>0</v>
      </c>
      <c r="AF27" s="53">
        <f>AC27*AD27*elec_va*B27</f>
        <v/>
      </c>
      <c r="AG27" s="53">
        <f>MAX(0,AE27-AD27)*AC27*roy_rate*B27*(1-IF(union_resp=2,lic_cut*Labour!S27,0))</f>
        <v/>
      </c>
      <c r="AH27" s="52" t="n">
        <v>2</v>
      </c>
      <c r="AI27" s="53">
        <f>AH27*B27</f>
        <v/>
      </c>
      <c r="AJ27" s="52" t="n">
        <v>0</v>
      </c>
      <c r="AK27" s="53">
        <f>AJ27*B27</f>
        <v/>
      </c>
      <c r="AL27" s="45" t="n">
        <v>0</v>
      </c>
      <c r="AM27" s="53">
        <f>AL27*uw_fee*B27</f>
        <v/>
      </c>
      <c r="AN27" s="52" t="n">
        <v>0</v>
      </c>
      <c r="AO27" s="52" t="n">
        <v>0</v>
      </c>
      <c r="AP27" s="53">
        <f>K27+T27+W27+Z27+AF27+AI27+AK27+AM27+AN27+AO27</f>
        <v/>
      </c>
      <c r="AQ27" s="53">
        <f>AP27*(1-1/champ_prem+champ_spill)</f>
        <v/>
      </c>
      <c r="AR27" s="63">
        <f>AP27/Economy!O27</f>
        <v/>
      </c>
      <c r="AS27" s="52" t="n">
        <v>0</v>
      </c>
      <c r="AT27" s="52" t="n">
        <v>0</v>
      </c>
      <c r="AU27" s="52" t="n">
        <v>0</v>
      </c>
      <c r="AV27" s="52" t="n">
        <v>0</v>
      </c>
      <c r="AW27" s="52" t="n">
        <v>0</v>
      </c>
      <c r="AX27" s="52" t="n">
        <v>0</v>
      </c>
      <c r="AY27" s="53">
        <f>Q27+(AS27+AT27+AU27+AV27+AW27+AX27)*B27</f>
        <v/>
      </c>
      <c r="AZ27" s="53">
        <f>P27+(AS27*ret_rail+AT27*ret_tel+AU27*ret_elec+AV27*ret_auto+AW27*ret_chem+AX27*ret_steel)*B27*IF(OR($A27=1931,$A27=1932),abroad_slump,1)+AB27+AG27</f>
        <v/>
      </c>
      <c r="BA27" s="53">
        <f>AP27*champ_profit+AZ27</f>
        <v/>
      </c>
      <c r="BB27" s="53">
        <f>(K27+AI27+AK27)*champ_profit+P27+(AS27*ret_rail+AT27*ret_tel+AU27*ret_elec)*B27*IF(OR($A27=1931,$A27=1932),abroad_slump,1)</f>
        <v/>
      </c>
      <c r="BC27" s="53">
        <f>(T27+W27+Z27+AF27+AN27+AO27)*champ_profit+(AV27*ret_auto+AW27*ret_chem+AX27*ret_steel)*B27*IF(OR($A27=1931,$A27=1932),abroad_slump,1)+AB27+AG27</f>
        <v/>
      </c>
      <c r="BD27" s="53">
        <f>IF($A27&gt;=crown_start,(BB27*crown_charter+BC27*crown_comp)*crown_payout,0)</f>
        <v/>
      </c>
      <c r="BE27" s="63">
        <f>IF(BB27+BC27&gt;0,(BB27*crown_charter+BC27*crown_comp)/(BA27),0)</f>
        <v/>
      </c>
    </row>
    <row r="28">
      <c r="A28" s="58" t="n">
        <v>1868</v>
      </c>
      <c r="B28" s="65">
        <f>champ_scale*(1+Labour!AP28)*(1+Partners!BX28)*(1-IF(union_resp=2,tariff_cut*Labour!S28,0))</f>
        <v/>
      </c>
      <c r="C28" s="45" t="n">
        <v>0</v>
      </c>
      <c r="D28" s="45" t="n">
        <v>0</v>
      </c>
      <c r="E28" s="45" t="n">
        <v>170</v>
      </c>
      <c r="F28" s="47">
        <f>E28*B28</f>
        <v/>
      </c>
      <c r="G28" s="47">
        <f>F28/Economy!B28*1000000</f>
        <v/>
      </c>
      <c r="H28" s="45" t="n">
        <v>281</v>
      </c>
      <c r="I28" s="67">
        <f>IF(H28&gt;0,G28/H28,0)</f>
        <v/>
      </c>
      <c r="J28" s="68" t="n">
        <v>0</v>
      </c>
      <c r="K28" s="53">
        <f>Resources!K28*J28*B28</f>
        <v/>
      </c>
      <c r="L28" s="45" t="n">
        <v>0</v>
      </c>
      <c r="M28" s="59" t="n">
        <v>0</v>
      </c>
      <c r="N28" s="45" t="n">
        <v>0</v>
      </c>
      <c r="O28" s="68" t="n">
        <v>0</v>
      </c>
      <c r="P28" s="53">
        <f>(IF(Gulf!E28=1,0,L28*M28)+N28)*O28*B28</f>
        <v/>
      </c>
      <c r="Q28" s="53">
        <f>P28*oil_book</f>
        <v/>
      </c>
      <c r="R28" s="68" t="n">
        <v>0.005</v>
      </c>
      <c r="S28" s="45" t="n">
        <v>40</v>
      </c>
      <c r="T28" s="53">
        <f>R28*S28*B28</f>
        <v/>
      </c>
      <c r="U28" s="45" t="n">
        <v>0</v>
      </c>
      <c r="V28" s="45" t="n">
        <v>0</v>
      </c>
      <c r="W28" s="53">
        <f>U28/1000*V28*B28</f>
        <v/>
      </c>
      <c r="X28" s="45" t="n">
        <v>323</v>
      </c>
      <c r="Y28" s="59" t="n">
        <v>0.003</v>
      </c>
      <c r="Z28" s="53">
        <f>X28*Y28*chem_va*B28</f>
        <v/>
      </c>
      <c r="AA28" s="59" t="n">
        <v>0.002</v>
      </c>
      <c r="AB28" s="53">
        <f>X28*AA28*roy_rate*B28*(1-IF(union_resp=2,lic_cut*Labour!S28,0))</f>
        <v/>
      </c>
      <c r="AC28" s="45" t="n">
        <v>0</v>
      </c>
      <c r="AD28" s="59" t="n">
        <v>0</v>
      </c>
      <c r="AE28" s="59" t="n">
        <v>0</v>
      </c>
      <c r="AF28" s="53">
        <f>AC28*AD28*elec_va*B28</f>
        <v/>
      </c>
      <c r="AG28" s="53">
        <f>MAX(0,AE28-AD28)*AC28*roy_rate*B28*(1-IF(union_resp=2,lic_cut*Labour!S28,0))</f>
        <v/>
      </c>
      <c r="AH28" s="52" t="n">
        <v>3</v>
      </c>
      <c r="AI28" s="53">
        <f>AH28*B28</f>
        <v/>
      </c>
      <c r="AJ28" s="52" t="n">
        <v>0</v>
      </c>
      <c r="AK28" s="53">
        <f>AJ28*B28</f>
        <v/>
      </c>
      <c r="AL28" s="45" t="n">
        <v>0</v>
      </c>
      <c r="AM28" s="53">
        <f>AL28*uw_fee*B28</f>
        <v/>
      </c>
      <c r="AN28" s="52" t="n">
        <v>0</v>
      </c>
      <c r="AO28" s="52" t="n">
        <v>0</v>
      </c>
      <c r="AP28" s="53">
        <f>K28+T28+W28+Z28+AF28+AI28+AK28+AM28+AN28+AO28</f>
        <v/>
      </c>
      <c r="AQ28" s="53">
        <f>AP28*(1-1/champ_prem+champ_spill)</f>
        <v/>
      </c>
      <c r="AR28" s="63">
        <f>AP28/Economy!O28</f>
        <v/>
      </c>
      <c r="AS28" s="52" t="n">
        <v>0</v>
      </c>
      <c r="AT28" s="52" t="n">
        <v>0</v>
      </c>
      <c r="AU28" s="52" t="n">
        <v>0</v>
      </c>
      <c r="AV28" s="52" t="n">
        <v>0</v>
      </c>
      <c r="AW28" s="52" t="n">
        <v>0</v>
      </c>
      <c r="AX28" s="52" t="n">
        <v>0</v>
      </c>
      <c r="AY28" s="53">
        <f>Q28+(AS28+AT28+AU28+AV28+AW28+AX28)*B28</f>
        <v/>
      </c>
      <c r="AZ28" s="53">
        <f>P28+(AS28*ret_rail+AT28*ret_tel+AU28*ret_elec+AV28*ret_auto+AW28*ret_chem+AX28*ret_steel)*B28*IF(OR($A28=1931,$A28=1932),abroad_slump,1)+AB28+AG28</f>
        <v/>
      </c>
      <c r="BA28" s="53">
        <f>AP28*champ_profit+AZ28</f>
        <v/>
      </c>
      <c r="BB28" s="53">
        <f>(K28+AI28+AK28)*champ_profit+P28+(AS28*ret_rail+AT28*ret_tel+AU28*ret_elec)*B28*IF(OR($A28=1931,$A28=1932),abroad_slump,1)</f>
        <v/>
      </c>
      <c r="BC28" s="53">
        <f>(T28+W28+Z28+AF28+AN28+AO28)*champ_profit+(AV28*ret_auto+AW28*ret_chem+AX28*ret_steel)*B28*IF(OR($A28=1931,$A28=1932),abroad_slump,1)+AB28+AG28</f>
        <v/>
      </c>
      <c r="BD28" s="53">
        <f>IF($A28&gt;=crown_start,(BB28*crown_charter+BC28*crown_comp)*crown_payout,0)</f>
        <v/>
      </c>
      <c r="BE28" s="63">
        <f>IF(BB28+BC28&gt;0,(BB28*crown_charter+BC28*crown_comp)/(BA28),0)</f>
        <v/>
      </c>
    </row>
    <row r="29">
      <c r="A29" s="58" t="n">
        <v>1869</v>
      </c>
      <c r="B29" s="65">
        <f>champ_scale*(1+Labour!AP29)*(1+Partners!BX29)*(1-IF(union_resp=2,tariff_cut*Labour!S29,0))</f>
        <v/>
      </c>
      <c r="C29" s="45" t="n">
        <v>0</v>
      </c>
      <c r="D29" s="45" t="n">
        <v>0</v>
      </c>
      <c r="E29" s="45" t="n">
        <v>180</v>
      </c>
      <c r="F29" s="47">
        <f>E29*B29</f>
        <v/>
      </c>
      <c r="G29" s="47">
        <f>F29/Economy!B29*1000000</f>
        <v/>
      </c>
      <c r="H29" s="45" t="n">
        <v>298</v>
      </c>
      <c r="I29" s="67">
        <f>IF(H29&gt;0,G29/H29,0)</f>
        <v/>
      </c>
      <c r="J29" s="68" t="n">
        <v>0</v>
      </c>
      <c r="K29" s="53">
        <f>Resources!K29*J29*B29</f>
        <v/>
      </c>
      <c r="L29" s="45" t="n">
        <v>0</v>
      </c>
      <c r="M29" s="59" t="n">
        <v>0</v>
      </c>
      <c r="N29" s="45" t="n">
        <v>0</v>
      </c>
      <c r="O29" s="68" t="n">
        <v>0</v>
      </c>
      <c r="P29" s="53">
        <f>(IF(Gulf!E29=1,0,L29*M29)+N29)*O29*B29</f>
        <v/>
      </c>
      <c r="Q29" s="53">
        <f>P29*oil_book</f>
        <v/>
      </c>
      <c r="R29" s="68" t="n">
        <v>0.013</v>
      </c>
      <c r="S29" s="45" t="n">
        <v>39</v>
      </c>
      <c r="T29" s="53">
        <f>R29*S29*B29</f>
        <v/>
      </c>
      <c r="U29" s="45" t="n">
        <v>0</v>
      </c>
      <c r="V29" s="45" t="n">
        <v>0</v>
      </c>
      <c r="W29" s="53">
        <f>U29/1000*V29*B29</f>
        <v/>
      </c>
      <c r="X29" s="45" t="n">
        <v>346</v>
      </c>
      <c r="Y29" s="59" t="n">
        <v>0.003</v>
      </c>
      <c r="Z29" s="53">
        <f>X29*Y29*chem_va*B29</f>
        <v/>
      </c>
      <c r="AA29" s="59" t="n">
        <v>0.003</v>
      </c>
      <c r="AB29" s="53">
        <f>X29*AA29*roy_rate*B29*(1-IF(union_resp=2,lic_cut*Labour!S29,0))</f>
        <v/>
      </c>
      <c r="AC29" s="45" t="n">
        <v>0</v>
      </c>
      <c r="AD29" s="59" t="n">
        <v>0</v>
      </c>
      <c r="AE29" s="59" t="n">
        <v>0</v>
      </c>
      <c r="AF29" s="53">
        <f>AC29*AD29*elec_va*B29</f>
        <v/>
      </c>
      <c r="AG29" s="53">
        <f>MAX(0,AE29-AD29)*AC29*roy_rate*B29*(1-IF(union_resp=2,lic_cut*Labour!S29,0))</f>
        <v/>
      </c>
      <c r="AH29" s="52" t="n">
        <v>3</v>
      </c>
      <c r="AI29" s="53">
        <f>AH29*B29</f>
        <v/>
      </c>
      <c r="AJ29" s="52" t="n">
        <v>0</v>
      </c>
      <c r="AK29" s="53">
        <f>AJ29*B29</f>
        <v/>
      </c>
      <c r="AL29" s="45" t="n">
        <v>0</v>
      </c>
      <c r="AM29" s="53">
        <f>AL29*uw_fee*B29</f>
        <v/>
      </c>
      <c r="AN29" s="52" t="n">
        <v>0</v>
      </c>
      <c r="AO29" s="52" t="n">
        <v>0</v>
      </c>
      <c r="AP29" s="53">
        <f>K29+T29+W29+Z29+AF29+AI29+AK29+AM29+AN29+AO29</f>
        <v/>
      </c>
      <c r="AQ29" s="53">
        <f>AP29*(1-1/champ_prem+champ_spill)</f>
        <v/>
      </c>
      <c r="AR29" s="63">
        <f>AP29/Economy!O29</f>
        <v/>
      </c>
      <c r="AS29" s="52" t="n">
        <v>0</v>
      </c>
      <c r="AT29" s="52" t="n">
        <v>0</v>
      </c>
      <c r="AU29" s="52" t="n">
        <v>0</v>
      </c>
      <c r="AV29" s="52" t="n">
        <v>0</v>
      </c>
      <c r="AW29" s="52" t="n">
        <v>0</v>
      </c>
      <c r="AX29" s="52" t="n">
        <v>0</v>
      </c>
      <c r="AY29" s="53">
        <f>Q29+(AS29+AT29+AU29+AV29+AW29+AX29)*B29</f>
        <v/>
      </c>
      <c r="AZ29" s="53">
        <f>P29+(AS29*ret_rail+AT29*ret_tel+AU29*ret_elec+AV29*ret_auto+AW29*ret_chem+AX29*ret_steel)*B29*IF(OR($A29=1931,$A29=1932),abroad_slump,1)+AB29+AG29</f>
        <v/>
      </c>
      <c r="BA29" s="53">
        <f>AP29*champ_profit+AZ29</f>
        <v/>
      </c>
      <c r="BB29" s="53">
        <f>(K29+AI29+AK29)*champ_profit+P29+(AS29*ret_rail+AT29*ret_tel+AU29*ret_elec)*B29*IF(OR($A29=1931,$A29=1932),abroad_slump,1)</f>
        <v/>
      </c>
      <c r="BC29" s="53">
        <f>(T29+W29+Z29+AF29+AN29+AO29)*champ_profit+(AV29*ret_auto+AW29*ret_chem+AX29*ret_steel)*B29*IF(OR($A29=1931,$A29=1932),abroad_slump,1)+AB29+AG29</f>
        <v/>
      </c>
      <c r="BD29" s="53">
        <f>IF($A29&gt;=crown_start,(BB29*crown_charter+BC29*crown_comp)*crown_payout,0)</f>
        <v/>
      </c>
      <c r="BE29" s="63">
        <f>IF(BB29+BC29&gt;0,(BB29*crown_charter+BC29*crown_comp)/(BA29),0)</f>
        <v/>
      </c>
    </row>
    <row r="30">
      <c r="A30" s="61" t="n">
        <v>1870</v>
      </c>
      <c r="B30" s="65">
        <f>champ_scale*(1+Labour!AP30)*(1+Partners!BX30)*(1-IF(union_resp=2,tariff_cut*Labour!S30,0))</f>
        <v/>
      </c>
      <c r="C30" s="45" t="n">
        <v>50</v>
      </c>
      <c r="D30" s="45" t="n">
        <v>20</v>
      </c>
      <c r="E30" s="45" t="n">
        <v>200</v>
      </c>
      <c r="F30" s="47">
        <f>E30*B30</f>
        <v/>
      </c>
      <c r="G30" s="47">
        <f>F30/Economy!B30*1000000</f>
        <v/>
      </c>
      <c r="H30" s="45" t="n">
        <v>314</v>
      </c>
      <c r="I30" s="67">
        <f>IF(H30&gt;0,G30/H30,0)</f>
        <v/>
      </c>
      <c r="J30" s="68" t="n">
        <v>0</v>
      </c>
      <c r="K30" s="53">
        <f>Resources!K30*J30*B30</f>
        <v/>
      </c>
      <c r="L30" s="45" t="n">
        <v>0</v>
      </c>
      <c r="M30" s="59" t="n">
        <v>0</v>
      </c>
      <c r="N30" s="45" t="n">
        <v>0</v>
      </c>
      <c r="O30" s="68" t="n">
        <v>0</v>
      </c>
      <c r="P30" s="53">
        <f>(IF(Gulf!E30=1,0,L30*M30)+N30)*O30*B30</f>
        <v/>
      </c>
      <c r="Q30" s="53">
        <f>P30*oil_book</f>
        <v/>
      </c>
      <c r="R30" s="68" t="n">
        <v>0.02</v>
      </c>
      <c r="S30" s="45" t="n">
        <v>38</v>
      </c>
      <c r="T30" s="53">
        <f>R30*S30*B30</f>
        <v/>
      </c>
      <c r="U30" s="45" t="n">
        <v>0</v>
      </c>
      <c r="V30" s="45" t="n">
        <v>0</v>
      </c>
      <c r="W30" s="53">
        <f>U30/1000*V30*B30</f>
        <v/>
      </c>
      <c r="X30" s="45" t="n">
        <v>369</v>
      </c>
      <c r="Y30" s="59" t="n">
        <v>0.004</v>
      </c>
      <c r="Z30" s="53">
        <f>X30*Y30*chem_va*B30</f>
        <v/>
      </c>
      <c r="AA30" s="59" t="n">
        <v>0.003</v>
      </c>
      <c r="AB30" s="53">
        <f>X30*AA30*roy_rate*B30*(1-IF(union_resp=2,lic_cut*Labour!S30,0))</f>
        <v/>
      </c>
      <c r="AC30" s="45" t="n">
        <v>0</v>
      </c>
      <c r="AD30" s="59" t="n">
        <v>0</v>
      </c>
      <c r="AE30" s="59" t="n">
        <v>0</v>
      </c>
      <c r="AF30" s="53">
        <f>AC30*AD30*elec_va*B30</f>
        <v/>
      </c>
      <c r="AG30" s="53">
        <f>MAX(0,AE30-AD30)*AC30*roy_rate*B30*(1-IF(union_resp=2,lic_cut*Labour!S30,0))</f>
        <v/>
      </c>
      <c r="AH30" s="52" t="n">
        <v>3</v>
      </c>
      <c r="AI30" s="53">
        <f>AH30*B30</f>
        <v/>
      </c>
      <c r="AJ30" s="52" t="n">
        <v>3</v>
      </c>
      <c r="AK30" s="53">
        <f>AJ30*B30</f>
        <v/>
      </c>
      <c r="AL30" s="45" t="n">
        <v>2</v>
      </c>
      <c r="AM30" s="53">
        <f>AL30*uw_fee*B30</f>
        <v/>
      </c>
      <c r="AN30" s="52" t="n">
        <v>0</v>
      </c>
      <c r="AO30" s="52" t="n">
        <v>0</v>
      </c>
      <c r="AP30" s="53">
        <f>K30+T30+W30+Z30+AF30+AI30+AK30+AM30+AN30+AO30</f>
        <v/>
      </c>
      <c r="AQ30" s="53">
        <f>AP30*(1-1/champ_prem+champ_spill)</f>
        <v/>
      </c>
      <c r="AR30" s="63">
        <f>AP30/Economy!O30</f>
        <v/>
      </c>
      <c r="AS30" s="52" t="n">
        <v>5</v>
      </c>
      <c r="AT30" s="52" t="n">
        <v>2</v>
      </c>
      <c r="AU30" s="52" t="n">
        <v>0</v>
      </c>
      <c r="AV30" s="52" t="n">
        <v>0</v>
      </c>
      <c r="AW30" s="52" t="n">
        <v>0</v>
      </c>
      <c r="AX30" s="52" t="n">
        <v>0</v>
      </c>
      <c r="AY30" s="53">
        <f>Q30+(AS30+AT30+AU30+AV30+AW30+AX30)*B30</f>
        <v/>
      </c>
      <c r="AZ30" s="53">
        <f>P30+(AS30*ret_rail+AT30*ret_tel+AU30*ret_elec+AV30*ret_auto+AW30*ret_chem+AX30*ret_steel)*B30*IF(OR($A30=1931,$A30=1932),abroad_slump,1)+AB30+AG30</f>
        <v/>
      </c>
      <c r="BA30" s="53">
        <f>AP30*champ_profit+AZ30</f>
        <v/>
      </c>
      <c r="BB30" s="53">
        <f>(K30+AI30+AK30)*champ_profit+P30+(AS30*ret_rail+AT30*ret_tel+AU30*ret_elec)*B30*IF(OR($A30=1931,$A30=1932),abroad_slump,1)</f>
        <v/>
      </c>
      <c r="BC30" s="53">
        <f>(T30+W30+Z30+AF30+AN30+AO30)*champ_profit+(AV30*ret_auto+AW30*ret_chem+AX30*ret_steel)*B30*IF(OR($A30=1931,$A30=1932),abroad_slump,1)+AB30+AG30</f>
        <v/>
      </c>
      <c r="BD30" s="53">
        <f>IF($A30&gt;=crown_start,(BB30*crown_charter+BC30*crown_comp)*crown_payout,0)</f>
        <v/>
      </c>
      <c r="BE30" s="63">
        <f>IF(BB30+BC30&gt;0,(BB30*crown_charter+BC30*crown_comp)/(BA30),0)</f>
        <v/>
      </c>
    </row>
    <row r="31">
      <c r="A31" s="61" t="n">
        <v>1871</v>
      </c>
      <c r="B31" s="65">
        <f>champ_scale*(1+Labour!AP31)*(1+Partners!BX31)*(1-IF(union_resp=2,tariff_cut*Labour!S31,0))</f>
        <v/>
      </c>
      <c r="C31" s="45" t="n">
        <v>80</v>
      </c>
      <c r="D31" s="45" t="n">
        <v>30</v>
      </c>
      <c r="E31" s="45" t="n">
        <v>280</v>
      </c>
      <c r="F31" s="47">
        <f>E31*B31</f>
        <v/>
      </c>
      <c r="G31" s="47">
        <f>F31/Economy!B31*1000000</f>
        <v/>
      </c>
      <c r="H31" s="45" t="n">
        <v>308</v>
      </c>
      <c r="I31" s="67">
        <f>IF(H31&gt;0,G31/H31,0)</f>
        <v/>
      </c>
      <c r="J31" s="68" t="n">
        <v>0</v>
      </c>
      <c r="K31" s="53">
        <f>Resources!K31*J31*B31</f>
        <v/>
      </c>
      <c r="L31" s="45" t="n">
        <v>0</v>
      </c>
      <c r="M31" s="59" t="n">
        <v>0</v>
      </c>
      <c r="N31" s="45" t="n">
        <v>0</v>
      </c>
      <c r="O31" s="68" t="n">
        <v>0</v>
      </c>
      <c r="P31" s="53">
        <f>(IF(Gulf!E31=1,0,L31*M31)+N31)*O31*B31</f>
        <v/>
      </c>
      <c r="Q31" s="53">
        <f>P31*oil_book</f>
        <v/>
      </c>
      <c r="R31" s="68" t="n">
        <v>0.03</v>
      </c>
      <c r="S31" s="45" t="n">
        <v>37</v>
      </c>
      <c r="T31" s="53">
        <f>R31*S31*B31</f>
        <v/>
      </c>
      <c r="U31" s="45" t="n">
        <v>0</v>
      </c>
      <c r="V31" s="45" t="n">
        <v>0</v>
      </c>
      <c r="W31" s="53">
        <f>U31/1000*V31*B31</f>
        <v/>
      </c>
      <c r="X31" s="45" t="n">
        <v>392</v>
      </c>
      <c r="Y31" s="59" t="n">
        <v>0.004</v>
      </c>
      <c r="Z31" s="53">
        <f>X31*Y31*chem_va*B31</f>
        <v/>
      </c>
      <c r="AA31" s="59" t="n">
        <v>0.003</v>
      </c>
      <c r="AB31" s="53">
        <f>X31*AA31*roy_rate*B31*(1-IF(union_resp=2,lic_cut*Labour!S31,0))</f>
        <v/>
      </c>
      <c r="AC31" s="45" t="n">
        <v>0</v>
      </c>
      <c r="AD31" s="59" t="n">
        <v>0</v>
      </c>
      <c r="AE31" s="59" t="n">
        <v>0</v>
      </c>
      <c r="AF31" s="53">
        <f>AC31*AD31*elec_va*B31</f>
        <v/>
      </c>
      <c r="AG31" s="53">
        <f>MAX(0,AE31-AD31)*AC31*roy_rate*B31*(1-IF(union_resp=2,lic_cut*Labour!S31,0))</f>
        <v/>
      </c>
      <c r="AH31" s="52" t="n">
        <v>3</v>
      </c>
      <c r="AI31" s="53">
        <f>AH31*B31</f>
        <v/>
      </c>
      <c r="AJ31" s="52" t="n">
        <v>4</v>
      </c>
      <c r="AK31" s="53">
        <f>AJ31*B31</f>
        <v/>
      </c>
      <c r="AL31" s="45" t="n">
        <v>3</v>
      </c>
      <c r="AM31" s="53">
        <f>AL31*uw_fee*B31</f>
        <v/>
      </c>
      <c r="AN31" s="52" t="n">
        <v>0</v>
      </c>
      <c r="AO31" s="52" t="n">
        <v>0</v>
      </c>
      <c r="AP31" s="53">
        <f>K31+T31+W31+Z31+AF31+AI31+AK31+AM31+AN31+AO31</f>
        <v/>
      </c>
      <c r="AQ31" s="53">
        <f>AP31*(1-1/champ_prem+champ_spill)</f>
        <v/>
      </c>
      <c r="AR31" s="63">
        <f>AP31/Economy!O31</f>
        <v/>
      </c>
      <c r="AS31" s="52" t="n">
        <v>8</v>
      </c>
      <c r="AT31" s="52" t="n">
        <v>3</v>
      </c>
      <c r="AU31" s="52" t="n">
        <v>0</v>
      </c>
      <c r="AV31" s="52" t="n">
        <v>0</v>
      </c>
      <c r="AW31" s="52" t="n">
        <v>0</v>
      </c>
      <c r="AX31" s="52" t="n">
        <v>0</v>
      </c>
      <c r="AY31" s="53">
        <f>Q31+(AS31+AT31+AU31+AV31+AW31+AX31)*B31</f>
        <v/>
      </c>
      <c r="AZ31" s="53">
        <f>P31+(AS31*ret_rail+AT31*ret_tel+AU31*ret_elec+AV31*ret_auto+AW31*ret_chem+AX31*ret_steel)*B31*IF(OR($A31=1931,$A31=1932),abroad_slump,1)+AB31+AG31</f>
        <v/>
      </c>
      <c r="BA31" s="53">
        <f>AP31*champ_profit+AZ31</f>
        <v/>
      </c>
      <c r="BB31" s="53">
        <f>(K31+AI31+AK31)*champ_profit+P31+(AS31*ret_rail+AT31*ret_tel+AU31*ret_elec)*B31*IF(OR($A31=1931,$A31=1932),abroad_slump,1)</f>
        <v/>
      </c>
      <c r="BC31" s="53">
        <f>(T31+W31+Z31+AF31+AN31+AO31)*champ_profit+(AV31*ret_auto+AW31*ret_chem+AX31*ret_steel)*B31*IF(OR($A31=1931,$A31=1932),abroad_slump,1)+AB31+AG31</f>
        <v/>
      </c>
      <c r="BD31" s="53">
        <f>IF($A31&gt;=crown_start,(BB31*crown_charter+BC31*crown_comp)*crown_payout,0)</f>
        <v/>
      </c>
      <c r="BE31" s="63">
        <f>IF(BB31+BC31&gt;0,(BB31*crown_charter+BC31*crown_comp)/(BA31),0)</f>
        <v/>
      </c>
    </row>
    <row r="32">
      <c r="A32" s="58" t="n">
        <v>1872</v>
      </c>
      <c r="B32" s="65">
        <f>champ_scale*(1+Labour!AP32)*(1+Partners!BX32)*(1-IF(union_resp=2,tariff_cut*Labour!S32,0))</f>
        <v/>
      </c>
      <c r="C32" s="45" t="n">
        <v>100</v>
      </c>
      <c r="D32" s="45" t="n">
        <v>40</v>
      </c>
      <c r="E32" s="45" t="n">
        <v>360</v>
      </c>
      <c r="F32" s="47">
        <f>E32*B32</f>
        <v/>
      </c>
      <c r="G32" s="47">
        <f>F32/Economy!B32*1000000</f>
        <v/>
      </c>
      <c r="H32" s="45" t="n">
        <v>303</v>
      </c>
      <c r="I32" s="67">
        <f>IF(H32&gt;0,G32/H32,0)</f>
        <v/>
      </c>
      <c r="J32" s="68" t="n">
        <v>0</v>
      </c>
      <c r="K32" s="53">
        <f>Resources!K32*J32*B32</f>
        <v/>
      </c>
      <c r="L32" s="45" t="n">
        <v>0</v>
      </c>
      <c r="M32" s="59" t="n">
        <v>0</v>
      </c>
      <c r="N32" s="45" t="n">
        <v>0</v>
      </c>
      <c r="O32" s="68" t="n">
        <v>0</v>
      </c>
      <c r="P32" s="53">
        <f>(IF(Gulf!E32=1,0,L32*M32)+N32)*O32*B32</f>
        <v/>
      </c>
      <c r="Q32" s="53">
        <f>P32*oil_book</f>
        <v/>
      </c>
      <c r="R32" s="68" t="n">
        <v>0.04</v>
      </c>
      <c r="S32" s="45" t="n">
        <v>36</v>
      </c>
      <c r="T32" s="53">
        <f>R32*S32*B32</f>
        <v/>
      </c>
      <c r="U32" s="45" t="n">
        <v>0</v>
      </c>
      <c r="V32" s="45" t="n">
        <v>0</v>
      </c>
      <c r="W32" s="53">
        <f>U32/1000*V32*B32</f>
        <v/>
      </c>
      <c r="X32" s="45" t="n">
        <v>415</v>
      </c>
      <c r="Y32" s="59" t="n">
        <v>0.005</v>
      </c>
      <c r="Z32" s="53">
        <f>X32*Y32*chem_va*B32</f>
        <v/>
      </c>
      <c r="AA32" s="59" t="n">
        <v>0.004</v>
      </c>
      <c r="AB32" s="53">
        <f>X32*AA32*roy_rate*B32*(1-IF(union_resp=2,lic_cut*Labour!S32,0))</f>
        <v/>
      </c>
      <c r="AC32" s="45" t="n">
        <v>0</v>
      </c>
      <c r="AD32" s="59" t="n">
        <v>0</v>
      </c>
      <c r="AE32" s="59" t="n">
        <v>0</v>
      </c>
      <c r="AF32" s="53">
        <f>AC32*AD32*elec_va*B32</f>
        <v/>
      </c>
      <c r="AG32" s="53">
        <f>MAX(0,AE32-AD32)*AC32*roy_rate*B32*(1-IF(union_resp=2,lic_cut*Labour!S32,0))</f>
        <v/>
      </c>
      <c r="AH32" s="52" t="n">
        <v>4</v>
      </c>
      <c r="AI32" s="53">
        <f>AH32*B32</f>
        <v/>
      </c>
      <c r="AJ32" s="52" t="n">
        <v>4</v>
      </c>
      <c r="AK32" s="53">
        <f>AJ32*B32</f>
        <v/>
      </c>
      <c r="AL32" s="45" t="n">
        <v>4</v>
      </c>
      <c r="AM32" s="53">
        <f>AL32*uw_fee*B32</f>
        <v/>
      </c>
      <c r="AN32" s="52" t="n">
        <v>0</v>
      </c>
      <c r="AO32" s="52" t="n">
        <v>0</v>
      </c>
      <c r="AP32" s="53">
        <f>K32+T32+W32+Z32+AF32+AI32+AK32+AM32+AN32+AO32</f>
        <v/>
      </c>
      <c r="AQ32" s="53">
        <f>AP32*(1-1/champ_prem+champ_spill)</f>
        <v/>
      </c>
      <c r="AR32" s="63">
        <f>AP32/Economy!O32</f>
        <v/>
      </c>
      <c r="AS32" s="52" t="n">
        <v>10</v>
      </c>
      <c r="AT32" s="52" t="n">
        <v>4</v>
      </c>
      <c r="AU32" s="52" t="n">
        <v>0</v>
      </c>
      <c r="AV32" s="52" t="n">
        <v>0</v>
      </c>
      <c r="AW32" s="52" t="n">
        <v>0</v>
      </c>
      <c r="AX32" s="52" t="n">
        <v>0</v>
      </c>
      <c r="AY32" s="53">
        <f>Q32+(AS32+AT32+AU32+AV32+AW32+AX32)*B32</f>
        <v/>
      </c>
      <c r="AZ32" s="53">
        <f>P32+(AS32*ret_rail+AT32*ret_tel+AU32*ret_elec+AV32*ret_auto+AW32*ret_chem+AX32*ret_steel)*B32*IF(OR($A32=1931,$A32=1932),abroad_slump,1)+AB32+AG32</f>
        <v/>
      </c>
      <c r="BA32" s="53">
        <f>AP32*champ_profit+AZ32</f>
        <v/>
      </c>
      <c r="BB32" s="53">
        <f>(K32+AI32+AK32)*champ_profit+P32+(AS32*ret_rail+AT32*ret_tel+AU32*ret_elec)*B32*IF(OR($A32=1931,$A32=1932),abroad_slump,1)</f>
        <v/>
      </c>
      <c r="BC32" s="53">
        <f>(T32+W32+Z32+AF32+AN32+AO32)*champ_profit+(AV32*ret_auto+AW32*ret_chem+AX32*ret_steel)*B32*IF(OR($A32=1931,$A32=1932),abroad_slump,1)+AB32+AG32</f>
        <v/>
      </c>
      <c r="BD32" s="53">
        <f>IF($A32&gt;=crown_start,(BB32*crown_charter+BC32*crown_comp)*crown_payout,0)</f>
        <v/>
      </c>
      <c r="BE32" s="63">
        <f>IF(BB32+BC32&gt;0,(BB32*crown_charter+BC32*crown_comp)/(BA32),0)</f>
        <v/>
      </c>
    </row>
    <row r="33">
      <c r="A33" s="58" t="n">
        <v>1873</v>
      </c>
      <c r="B33" s="65">
        <f>champ_scale*(1+Labour!AP33)*(1+Partners!BX33)*(1-IF(union_resp=2,tariff_cut*Labour!S33,0))</f>
        <v/>
      </c>
      <c r="C33" s="45" t="n">
        <v>120</v>
      </c>
      <c r="D33" s="45" t="n">
        <v>40</v>
      </c>
      <c r="E33" s="45" t="n">
        <v>440</v>
      </c>
      <c r="F33" s="47">
        <f>E33*B33</f>
        <v/>
      </c>
      <c r="G33" s="47">
        <f>F33/Economy!B33*1000000</f>
        <v/>
      </c>
      <c r="H33" s="45" t="n">
        <v>297</v>
      </c>
      <c r="I33" s="67">
        <f>IF(H33&gt;0,G33/H33,0)</f>
        <v/>
      </c>
      <c r="J33" s="68" t="n">
        <v>0</v>
      </c>
      <c r="K33" s="53">
        <f>Resources!K33*J33*B33</f>
        <v/>
      </c>
      <c r="L33" s="45" t="n">
        <v>0</v>
      </c>
      <c r="M33" s="59" t="n">
        <v>0</v>
      </c>
      <c r="N33" s="45" t="n">
        <v>0</v>
      </c>
      <c r="O33" s="68" t="n">
        <v>0</v>
      </c>
      <c r="P33" s="53">
        <f>(IF(Gulf!E33=1,0,L33*M33)+N33)*O33*B33</f>
        <v/>
      </c>
      <c r="Q33" s="53">
        <f>P33*oil_book</f>
        <v/>
      </c>
      <c r="R33" s="68" t="n">
        <v>0.05</v>
      </c>
      <c r="S33" s="45" t="n">
        <v>35</v>
      </c>
      <c r="T33" s="53">
        <f>R33*S33*B33</f>
        <v/>
      </c>
      <c r="U33" s="45" t="n">
        <v>0</v>
      </c>
      <c r="V33" s="45" t="n">
        <v>0</v>
      </c>
      <c r="W33" s="53">
        <f>U33/1000*V33*B33</f>
        <v/>
      </c>
      <c r="X33" s="45" t="n">
        <v>438</v>
      </c>
      <c r="Y33" s="59" t="n">
        <v>0.006</v>
      </c>
      <c r="Z33" s="53">
        <f>X33*Y33*chem_va*B33</f>
        <v/>
      </c>
      <c r="AA33" s="59" t="n">
        <v>0.004</v>
      </c>
      <c r="AB33" s="53">
        <f>X33*AA33*roy_rate*B33*(1-IF(union_resp=2,lic_cut*Labour!S33,0))</f>
        <v/>
      </c>
      <c r="AC33" s="45" t="n">
        <v>0</v>
      </c>
      <c r="AD33" s="59" t="n">
        <v>0</v>
      </c>
      <c r="AE33" s="59" t="n">
        <v>0</v>
      </c>
      <c r="AF33" s="53">
        <f>AC33*AD33*elec_va*B33</f>
        <v/>
      </c>
      <c r="AG33" s="53">
        <f>MAX(0,AE33-AD33)*AC33*roy_rate*B33*(1-IF(union_resp=2,lic_cut*Labour!S33,0))</f>
        <v/>
      </c>
      <c r="AH33" s="52" t="n">
        <v>4</v>
      </c>
      <c r="AI33" s="53">
        <f>AH33*B33</f>
        <v/>
      </c>
      <c r="AJ33" s="52" t="n">
        <v>5</v>
      </c>
      <c r="AK33" s="53">
        <f>AJ33*B33</f>
        <v/>
      </c>
      <c r="AL33" s="45" t="n">
        <v>4</v>
      </c>
      <c r="AM33" s="53">
        <f>AL33*uw_fee*B33</f>
        <v/>
      </c>
      <c r="AN33" s="52" t="n">
        <v>0</v>
      </c>
      <c r="AO33" s="52" t="n">
        <v>0</v>
      </c>
      <c r="AP33" s="53">
        <f>K33+T33+W33+Z33+AF33+AI33+AK33+AM33+AN33+AO33</f>
        <v/>
      </c>
      <c r="AQ33" s="53">
        <f>AP33*(1-1/champ_prem+champ_spill)</f>
        <v/>
      </c>
      <c r="AR33" s="63">
        <f>AP33/Economy!O33</f>
        <v/>
      </c>
      <c r="AS33" s="52" t="n">
        <v>12</v>
      </c>
      <c r="AT33" s="52" t="n">
        <v>4</v>
      </c>
      <c r="AU33" s="52" t="n">
        <v>0</v>
      </c>
      <c r="AV33" s="52" t="n">
        <v>0</v>
      </c>
      <c r="AW33" s="52" t="n">
        <v>0</v>
      </c>
      <c r="AX33" s="52" t="n">
        <v>0</v>
      </c>
      <c r="AY33" s="53">
        <f>Q33+(AS33+AT33+AU33+AV33+AW33+AX33)*B33</f>
        <v/>
      </c>
      <c r="AZ33" s="53">
        <f>P33+(AS33*ret_rail+AT33*ret_tel+AU33*ret_elec+AV33*ret_auto+AW33*ret_chem+AX33*ret_steel)*B33*IF(OR($A33=1931,$A33=1932),abroad_slump,1)+AB33+AG33</f>
        <v/>
      </c>
      <c r="BA33" s="53">
        <f>AP33*champ_profit+AZ33</f>
        <v/>
      </c>
      <c r="BB33" s="53">
        <f>(K33+AI33+AK33)*champ_profit+P33+(AS33*ret_rail+AT33*ret_tel+AU33*ret_elec)*B33*IF(OR($A33=1931,$A33=1932),abroad_slump,1)</f>
        <v/>
      </c>
      <c r="BC33" s="53">
        <f>(T33+W33+Z33+AF33+AN33+AO33)*champ_profit+(AV33*ret_auto+AW33*ret_chem+AX33*ret_steel)*B33*IF(OR($A33=1931,$A33=1932),abroad_slump,1)+AB33+AG33</f>
        <v/>
      </c>
      <c r="BD33" s="53">
        <f>IF($A33&gt;=crown_start,(BB33*crown_charter+BC33*crown_comp)*crown_payout,0)</f>
        <v/>
      </c>
      <c r="BE33" s="63">
        <f>IF(BB33+BC33&gt;0,(BB33*crown_charter+BC33*crown_comp)/(BA33),0)</f>
        <v/>
      </c>
    </row>
    <row r="34">
      <c r="A34" s="58" t="n">
        <v>1874</v>
      </c>
      <c r="B34" s="65">
        <f>champ_scale*(1+Labour!AP34)*(1+Partners!BX34)*(1-IF(union_resp=2,tariff_cut*Labour!S34,0))</f>
        <v/>
      </c>
      <c r="C34" s="45" t="n">
        <v>150</v>
      </c>
      <c r="D34" s="45" t="n">
        <v>50</v>
      </c>
      <c r="E34" s="45" t="n">
        <v>520</v>
      </c>
      <c r="F34" s="47">
        <f>E34*B34</f>
        <v/>
      </c>
      <c r="G34" s="47">
        <f>F34/Economy!B34*1000000</f>
        <v/>
      </c>
      <c r="H34" s="45" t="n">
        <v>292</v>
      </c>
      <c r="I34" s="67">
        <f>IF(H34&gt;0,G34/H34,0)</f>
        <v/>
      </c>
      <c r="J34" s="68" t="n">
        <v>0</v>
      </c>
      <c r="K34" s="53">
        <f>Resources!K34*J34*B34</f>
        <v/>
      </c>
      <c r="L34" s="45" t="n">
        <v>0</v>
      </c>
      <c r="M34" s="59" t="n">
        <v>0</v>
      </c>
      <c r="N34" s="45" t="n">
        <v>0</v>
      </c>
      <c r="O34" s="68" t="n">
        <v>0</v>
      </c>
      <c r="P34" s="53">
        <f>(IF(Gulf!E34=1,0,L34*M34)+N34)*O34*B34</f>
        <v/>
      </c>
      <c r="Q34" s="53">
        <f>P34*oil_book</f>
        <v/>
      </c>
      <c r="R34" s="68" t="n">
        <v>0.06</v>
      </c>
      <c r="S34" s="45" t="n">
        <v>34</v>
      </c>
      <c r="T34" s="53">
        <f>R34*S34*B34</f>
        <v/>
      </c>
      <c r="U34" s="45" t="n">
        <v>0</v>
      </c>
      <c r="V34" s="45" t="n">
        <v>0</v>
      </c>
      <c r="W34" s="53">
        <f>U34/1000*V34*B34</f>
        <v/>
      </c>
      <c r="X34" s="45" t="n">
        <v>462</v>
      </c>
      <c r="Y34" s="59" t="n">
        <v>0.006</v>
      </c>
      <c r="Z34" s="53">
        <f>X34*Y34*chem_va*B34</f>
        <v/>
      </c>
      <c r="AA34" s="59" t="n">
        <v>0.004</v>
      </c>
      <c r="AB34" s="53">
        <f>X34*AA34*roy_rate*B34*(1-IF(union_resp=2,lic_cut*Labour!S34,0))</f>
        <v/>
      </c>
      <c r="AC34" s="45" t="n">
        <v>0</v>
      </c>
      <c r="AD34" s="59" t="n">
        <v>0</v>
      </c>
      <c r="AE34" s="59" t="n">
        <v>0</v>
      </c>
      <c r="AF34" s="53">
        <f>AC34*AD34*elec_va*B34</f>
        <v/>
      </c>
      <c r="AG34" s="53">
        <f>MAX(0,AE34-AD34)*AC34*roy_rate*B34*(1-IF(union_resp=2,lic_cut*Labour!S34,0))</f>
        <v/>
      </c>
      <c r="AH34" s="52" t="n">
        <v>5</v>
      </c>
      <c r="AI34" s="53">
        <f>AH34*B34</f>
        <v/>
      </c>
      <c r="AJ34" s="52" t="n">
        <v>5</v>
      </c>
      <c r="AK34" s="53">
        <f>AJ34*B34</f>
        <v/>
      </c>
      <c r="AL34" s="45" t="n">
        <v>5</v>
      </c>
      <c r="AM34" s="53">
        <f>AL34*uw_fee*B34</f>
        <v/>
      </c>
      <c r="AN34" s="52" t="n">
        <v>0</v>
      </c>
      <c r="AO34" s="52" t="n">
        <v>0</v>
      </c>
      <c r="AP34" s="53">
        <f>K34+T34+W34+Z34+AF34+AI34+AK34+AM34+AN34+AO34</f>
        <v/>
      </c>
      <c r="AQ34" s="53">
        <f>AP34*(1-1/champ_prem+champ_spill)</f>
        <v/>
      </c>
      <c r="AR34" s="63">
        <f>AP34/Economy!O34</f>
        <v/>
      </c>
      <c r="AS34" s="52" t="n">
        <v>15</v>
      </c>
      <c r="AT34" s="52" t="n">
        <v>5</v>
      </c>
      <c r="AU34" s="52" t="n">
        <v>0</v>
      </c>
      <c r="AV34" s="52" t="n">
        <v>0</v>
      </c>
      <c r="AW34" s="52" t="n">
        <v>0</v>
      </c>
      <c r="AX34" s="52" t="n">
        <v>0</v>
      </c>
      <c r="AY34" s="53">
        <f>Q34+(AS34+AT34+AU34+AV34+AW34+AX34)*B34</f>
        <v/>
      </c>
      <c r="AZ34" s="53">
        <f>P34+(AS34*ret_rail+AT34*ret_tel+AU34*ret_elec+AV34*ret_auto+AW34*ret_chem+AX34*ret_steel)*B34*IF(OR($A34=1931,$A34=1932),abroad_slump,1)+AB34+AG34</f>
        <v/>
      </c>
      <c r="BA34" s="53">
        <f>AP34*champ_profit+AZ34</f>
        <v/>
      </c>
      <c r="BB34" s="53">
        <f>(K34+AI34+AK34)*champ_profit+P34+(AS34*ret_rail+AT34*ret_tel+AU34*ret_elec)*B34*IF(OR($A34=1931,$A34=1932),abroad_slump,1)</f>
        <v/>
      </c>
      <c r="BC34" s="53">
        <f>(T34+W34+Z34+AF34+AN34+AO34)*champ_profit+(AV34*ret_auto+AW34*ret_chem+AX34*ret_steel)*B34*IF(OR($A34=1931,$A34=1932),abroad_slump,1)+AB34+AG34</f>
        <v/>
      </c>
      <c r="BD34" s="53">
        <f>IF($A34&gt;=crown_start,(BB34*crown_charter+BC34*crown_comp)*crown_payout,0)</f>
        <v/>
      </c>
      <c r="BE34" s="63">
        <f>IF(BB34+BC34&gt;0,(BB34*crown_charter+BC34*crown_comp)/(BA34),0)</f>
        <v/>
      </c>
    </row>
    <row r="35">
      <c r="A35" s="58" t="n">
        <v>1875</v>
      </c>
      <c r="B35" s="65">
        <f>champ_scale*(1+Labour!AP35)*(1+Partners!BX35)*(1-IF(union_resp=2,tariff_cut*Labour!S35,0))</f>
        <v/>
      </c>
      <c r="C35" s="45" t="n">
        <v>180</v>
      </c>
      <c r="D35" s="45" t="n">
        <v>60</v>
      </c>
      <c r="E35" s="45" t="n">
        <v>600</v>
      </c>
      <c r="F35" s="47">
        <f>E35*B35</f>
        <v/>
      </c>
      <c r="G35" s="47">
        <f>F35/Economy!B35*1000000</f>
        <v/>
      </c>
      <c r="H35" s="45" t="n">
        <v>286</v>
      </c>
      <c r="I35" s="67">
        <f>IF(H35&gt;0,G35/H35,0)</f>
        <v/>
      </c>
      <c r="J35" s="68" t="n">
        <v>0</v>
      </c>
      <c r="K35" s="53">
        <f>Resources!K35*J35*B35</f>
        <v/>
      </c>
      <c r="L35" s="45" t="n">
        <v>0</v>
      </c>
      <c r="M35" s="59" t="n">
        <v>0</v>
      </c>
      <c r="N35" s="45" t="n">
        <v>0</v>
      </c>
      <c r="O35" s="68" t="n">
        <v>0</v>
      </c>
      <c r="P35" s="53">
        <f>(IF(Gulf!E35=1,0,L35*M35)+N35)*O35*B35</f>
        <v/>
      </c>
      <c r="Q35" s="53">
        <f>P35*oil_book</f>
        <v/>
      </c>
      <c r="R35" s="68" t="n">
        <v>0.07000000000000001</v>
      </c>
      <c r="S35" s="45" t="n">
        <v>33</v>
      </c>
      <c r="T35" s="53">
        <f>R35*S35*B35</f>
        <v/>
      </c>
      <c r="U35" s="45" t="n">
        <v>0</v>
      </c>
      <c r="V35" s="45" t="n">
        <v>0</v>
      </c>
      <c r="W35" s="53">
        <f>U35/1000*V35*B35</f>
        <v/>
      </c>
      <c r="X35" s="45" t="n">
        <v>485</v>
      </c>
      <c r="Y35" s="59" t="n">
        <v>0.007</v>
      </c>
      <c r="Z35" s="53">
        <f>X35*Y35*chem_va*B35</f>
        <v/>
      </c>
      <c r="AA35" s="59" t="n">
        <v>0.005</v>
      </c>
      <c r="AB35" s="53">
        <f>X35*AA35*roy_rate*B35*(1-IF(union_resp=2,lic_cut*Labour!S35,0))</f>
        <v/>
      </c>
      <c r="AC35" s="45" t="n">
        <v>0</v>
      </c>
      <c r="AD35" s="59" t="n">
        <v>0</v>
      </c>
      <c r="AE35" s="59" t="n">
        <v>0</v>
      </c>
      <c r="AF35" s="53">
        <f>AC35*AD35*elec_va*B35</f>
        <v/>
      </c>
      <c r="AG35" s="53">
        <f>MAX(0,AE35-AD35)*AC35*roy_rate*B35*(1-IF(union_resp=2,lic_cut*Labour!S35,0))</f>
        <v/>
      </c>
      <c r="AH35" s="52" t="n">
        <v>5</v>
      </c>
      <c r="AI35" s="53">
        <f>AH35*B35</f>
        <v/>
      </c>
      <c r="AJ35" s="52" t="n">
        <v>6</v>
      </c>
      <c r="AK35" s="53">
        <f>AJ35*B35</f>
        <v/>
      </c>
      <c r="AL35" s="45" t="n">
        <v>6</v>
      </c>
      <c r="AM35" s="53">
        <f>AL35*uw_fee*B35</f>
        <v/>
      </c>
      <c r="AN35" s="52" t="n">
        <v>0</v>
      </c>
      <c r="AO35" s="52" t="n">
        <v>0</v>
      </c>
      <c r="AP35" s="53">
        <f>K35+T35+W35+Z35+AF35+AI35+AK35+AM35+AN35+AO35</f>
        <v/>
      </c>
      <c r="AQ35" s="53">
        <f>AP35*(1-1/champ_prem+champ_spill)</f>
        <v/>
      </c>
      <c r="AR35" s="63">
        <f>AP35/Economy!O35</f>
        <v/>
      </c>
      <c r="AS35" s="52" t="n">
        <v>18</v>
      </c>
      <c r="AT35" s="52" t="n">
        <v>6</v>
      </c>
      <c r="AU35" s="52" t="n">
        <v>0</v>
      </c>
      <c r="AV35" s="52" t="n">
        <v>0</v>
      </c>
      <c r="AW35" s="52" t="n">
        <v>0</v>
      </c>
      <c r="AX35" s="52" t="n">
        <v>0</v>
      </c>
      <c r="AY35" s="53">
        <f>Q35+(AS35+AT35+AU35+AV35+AW35+AX35)*B35</f>
        <v/>
      </c>
      <c r="AZ35" s="53">
        <f>P35+(AS35*ret_rail+AT35*ret_tel+AU35*ret_elec+AV35*ret_auto+AW35*ret_chem+AX35*ret_steel)*B35*IF(OR($A35=1931,$A35=1932),abroad_slump,1)+AB35+AG35</f>
        <v/>
      </c>
      <c r="BA35" s="53">
        <f>AP35*champ_profit+AZ35</f>
        <v/>
      </c>
      <c r="BB35" s="53">
        <f>(K35+AI35+AK35)*champ_profit+P35+(AS35*ret_rail+AT35*ret_tel+AU35*ret_elec)*B35*IF(OR($A35=1931,$A35=1932),abroad_slump,1)</f>
        <v/>
      </c>
      <c r="BC35" s="53">
        <f>(T35+W35+Z35+AF35+AN35+AO35)*champ_profit+(AV35*ret_auto+AW35*ret_chem+AX35*ret_steel)*B35*IF(OR($A35=1931,$A35=1932),abroad_slump,1)+AB35+AG35</f>
        <v/>
      </c>
      <c r="BD35" s="53">
        <f>IF($A35&gt;=crown_start,(BB35*crown_charter+BC35*crown_comp)*crown_payout,0)</f>
        <v/>
      </c>
      <c r="BE35" s="63">
        <f>IF(BB35+BC35&gt;0,(BB35*crown_charter+BC35*crown_comp)/(BA35),0)</f>
        <v/>
      </c>
    </row>
    <row r="36">
      <c r="A36" s="58" t="n">
        <v>1876</v>
      </c>
      <c r="B36" s="65">
        <f>champ_scale*(1+Labour!AP36)*(1+Partners!BX36)*(1-IF(union_resp=2,tariff_cut*Labour!S36,0))</f>
        <v/>
      </c>
      <c r="C36" s="45" t="n">
        <v>200</v>
      </c>
      <c r="D36" s="45" t="n">
        <v>70</v>
      </c>
      <c r="E36" s="45" t="n">
        <v>680</v>
      </c>
      <c r="F36" s="47">
        <f>E36*B36</f>
        <v/>
      </c>
      <c r="G36" s="47">
        <f>F36/Economy!B36*1000000</f>
        <v/>
      </c>
      <c r="H36" s="45" t="n">
        <v>280</v>
      </c>
      <c r="I36" s="67">
        <f>IF(H36&gt;0,G36/H36,0)</f>
        <v/>
      </c>
      <c r="J36" s="68" t="n">
        <v>0</v>
      </c>
      <c r="K36" s="53">
        <f>Resources!K36*J36*B36</f>
        <v/>
      </c>
      <c r="L36" s="45" t="n">
        <v>0</v>
      </c>
      <c r="M36" s="59" t="n">
        <v>0</v>
      </c>
      <c r="N36" s="45" t="n">
        <v>0</v>
      </c>
      <c r="O36" s="68" t="n">
        <v>0</v>
      </c>
      <c r="P36" s="53">
        <f>(IF(Gulf!E36=1,0,L36*M36)+N36)*O36*B36</f>
        <v/>
      </c>
      <c r="Q36" s="53">
        <f>P36*oil_book</f>
        <v/>
      </c>
      <c r="R36" s="68" t="n">
        <v>0.08</v>
      </c>
      <c r="S36" s="45" t="n">
        <v>32</v>
      </c>
      <c r="T36" s="53">
        <f>R36*S36*B36</f>
        <v/>
      </c>
      <c r="U36" s="45" t="n">
        <v>0</v>
      </c>
      <c r="V36" s="45" t="n">
        <v>0</v>
      </c>
      <c r="W36" s="53">
        <f>U36/1000*V36*B36</f>
        <v/>
      </c>
      <c r="X36" s="45" t="n">
        <v>508</v>
      </c>
      <c r="Y36" s="59" t="n">
        <v>0.008</v>
      </c>
      <c r="Z36" s="53">
        <f>X36*Y36*chem_va*B36</f>
        <v/>
      </c>
      <c r="AA36" s="59" t="n">
        <v>0.005</v>
      </c>
      <c r="AB36" s="53">
        <f>X36*AA36*roy_rate*B36*(1-IF(union_resp=2,lic_cut*Labour!S36,0))</f>
        <v/>
      </c>
      <c r="AC36" s="45" t="n">
        <v>0</v>
      </c>
      <c r="AD36" s="59" t="n">
        <v>0</v>
      </c>
      <c r="AE36" s="59" t="n">
        <v>0</v>
      </c>
      <c r="AF36" s="53">
        <f>AC36*AD36*elec_va*B36</f>
        <v/>
      </c>
      <c r="AG36" s="53">
        <f>MAX(0,AE36-AD36)*AC36*roy_rate*B36*(1-IF(union_resp=2,lic_cut*Labour!S36,0))</f>
        <v/>
      </c>
      <c r="AH36" s="52" t="n">
        <v>5</v>
      </c>
      <c r="AI36" s="53">
        <f>AH36*B36</f>
        <v/>
      </c>
      <c r="AJ36" s="52" t="n">
        <v>7</v>
      </c>
      <c r="AK36" s="53">
        <f>AJ36*B36</f>
        <v/>
      </c>
      <c r="AL36" s="45" t="n">
        <v>7</v>
      </c>
      <c r="AM36" s="53">
        <f>AL36*uw_fee*B36</f>
        <v/>
      </c>
      <c r="AN36" s="52" t="n">
        <v>0</v>
      </c>
      <c r="AO36" s="52" t="n">
        <v>0</v>
      </c>
      <c r="AP36" s="53">
        <f>K36+T36+W36+Z36+AF36+AI36+AK36+AM36+AN36+AO36</f>
        <v/>
      </c>
      <c r="AQ36" s="53">
        <f>AP36*(1-1/champ_prem+champ_spill)</f>
        <v/>
      </c>
      <c r="AR36" s="63">
        <f>AP36/Economy!O36</f>
        <v/>
      </c>
      <c r="AS36" s="52" t="n">
        <v>20</v>
      </c>
      <c r="AT36" s="52" t="n">
        <v>7</v>
      </c>
      <c r="AU36" s="52" t="n">
        <v>0</v>
      </c>
      <c r="AV36" s="52" t="n">
        <v>0</v>
      </c>
      <c r="AW36" s="52" t="n">
        <v>0</v>
      </c>
      <c r="AX36" s="52" t="n">
        <v>0</v>
      </c>
      <c r="AY36" s="53">
        <f>Q36+(AS36+AT36+AU36+AV36+AW36+AX36)*B36</f>
        <v/>
      </c>
      <c r="AZ36" s="53">
        <f>P36+(AS36*ret_rail+AT36*ret_tel+AU36*ret_elec+AV36*ret_auto+AW36*ret_chem+AX36*ret_steel)*B36*IF(OR($A36=1931,$A36=1932),abroad_slump,1)+AB36+AG36</f>
        <v/>
      </c>
      <c r="BA36" s="53">
        <f>AP36*champ_profit+AZ36</f>
        <v/>
      </c>
      <c r="BB36" s="53">
        <f>(K36+AI36+AK36)*champ_profit+P36+(AS36*ret_rail+AT36*ret_tel+AU36*ret_elec)*B36*IF(OR($A36=1931,$A36=1932),abroad_slump,1)</f>
        <v/>
      </c>
      <c r="BC36" s="53">
        <f>(T36+W36+Z36+AF36+AN36+AO36)*champ_profit+(AV36*ret_auto+AW36*ret_chem+AX36*ret_steel)*B36*IF(OR($A36=1931,$A36=1932),abroad_slump,1)+AB36+AG36</f>
        <v/>
      </c>
      <c r="BD36" s="53">
        <f>IF($A36&gt;=crown_start,(BB36*crown_charter+BC36*crown_comp)*crown_payout,0)</f>
        <v/>
      </c>
      <c r="BE36" s="63">
        <f>IF(BB36+BC36&gt;0,(BB36*crown_charter+BC36*crown_comp)/(BA36),0)</f>
        <v/>
      </c>
    </row>
    <row r="37">
      <c r="A37" s="58" t="n">
        <v>1877</v>
      </c>
      <c r="B37" s="65">
        <f>champ_scale*(1+Labour!AP37)*(1+Partners!BX37)*(1-IF(union_resp=2,tariff_cut*Labour!S37,0))</f>
        <v/>
      </c>
      <c r="C37" s="45" t="n">
        <v>220</v>
      </c>
      <c r="D37" s="45" t="n">
        <v>80</v>
      </c>
      <c r="E37" s="45" t="n">
        <v>760</v>
      </c>
      <c r="F37" s="47">
        <f>E37*B37</f>
        <v/>
      </c>
      <c r="G37" s="47">
        <f>F37/Economy!B37*1000000</f>
        <v/>
      </c>
      <c r="H37" s="45" t="n">
        <v>275</v>
      </c>
      <c r="I37" s="67">
        <f>IF(H37&gt;0,G37/H37,0)</f>
        <v/>
      </c>
      <c r="J37" s="68" t="n">
        <v>0</v>
      </c>
      <c r="K37" s="53">
        <f>Resources!K37*J37*B37</f>
        <v/>
      </c>
      <c r="L37" s="45" t="n">
        <v>0</v>
      </c>
      <c r="M37" s="59" t="n">
        <v>0</v>
      </c>
      <c r="N37" s="45" t="n">
        <v>0</v>
      </c>
      <c r="O37" s="68" t="n">
        <v>0</v>
      </c>
      <c r="P37" s="53">
        <f>(IF(Gulf!E37=1,0,L37*M37)+N37)*O37*B37</f>
        <v/>
      </c>
      <c r="Q37" s="53">
        <f>P37*oil_book</f>
        <v/>
      </c>
      <c r="R37" s="68" t="n">
        <v>0.09</v>
      </c>
      <c r="S37" s="45" t="n">
        <v>31</v>
      </c>
      <c r="T37" s="53">
        <f>R37*S37*B37</f>
        <v/>
      </c>
      <c r="U37" s="45" t="n">
        <v>0</v>
      </c>
      <c r="V37" s="45" t="n">
        <v>0</v>
      </c>
      <c r="W37" s="53">
        <f>U37/1000*V37*B37</f>
        <v/>
      </c>
      <c r="X37" s="45" t="n">
        <v>531</v>
      </c>
      <c r="Y37" s="59" t="n">
        <v>0.008</v>
      </c>
      <c r="Z37" s="53">
        <f>X37*Y37*chem_va*B37</f>
        <v/>
      </c>
      <c r="AA37" s="59" t="n">
        <v>0.005</v>
      </c>
      <c r="AB37" s="53">
        <f>X37*AA37*roy_rate*B37*(1-IF(union_resp=2,lic_cut*Labour!S37,0))</f>
        <v/>
      </c>
      <c r="AC37" s="45" t="n">
        <v>0</v>
      </c>
      <c r="AD37" s="59" t="n">
        <v>0</v>
      </c>
      <c r="AE37" s="59" t="n">
        <v>0</v>
      </c>
      <c r="AF37" s="53">
        <f>AC37*AD37*elec_va*B37</f>
        <v/>
      </c>
      <c r="AG37" s="53">
        <f>MAX(0,AE37-AD37)*AC37*roy_rate*B37*(1-IF(union_resp=2,lic_cut*Labour!S37,0))</f>
        <v/>
      </c>
      <c r="AH37" s="52" t="n">
        <v>6</v>
      </c>
      <c r="AI37" s="53">
        <f>AH37*B37</f>
        <v/>
      </c>
      <c r="AJ37" s="52" t="n">
        <v>7</v>
      </c>
      <c r="AK37" s="53">
        <f>AJ37*B37</f>
        <v/>
      </c>
      <c r="AL37" s="45" t="n">
        <v>8</v>
      </c>
      <c r="AM37" s="53">
        <f>AL37*uw_fee*B37</f>
        <v/>
      </c>
      <c r="AN37" s="52" t="n">
        <v>0</v>
      </c>
      <c r="AO37" s="52" t="n">
        <v>0</v>
      </c>
      <c r="AP37" s="53">
        <f>K37+T37+W37+Z37+AF37+AI37+AK37+AM37+AN37+AO37</f>
        <v/>
      </c>
      <c r="AQ37" s="53">
        <f>AP37*(1-1/champ_prem+champ_spill)</f>
        <v/>
      </c>
      <c r="AR37" s="63">
        <f>AP37/Economy!O37</f>
        <v/>
      </c>
      <c r="AS37" s="52" t="n">
        <v>22</v>
      </c>
      <c r="AT37" s="52" t="n">
        <v>8</v>
      </c>
      <c r="AU37" s="52" t="n">
        <v>0</v>
      </c>
      <c r="AV37" s="52" t="n">
        <v>0</v>
      </c>
      <c r="AW37" s="52" t="n">
        <v>0</v>
      </c>
      <c r="AX37" s="52" t="n">
        <v>0</v>
      </c>
      <c r="AY37" s="53">
        <f>Q37+(AS37+AT37+AU37+AV37+AW37+AX37)*B37</f>
        <v/>
      </c>
      <c r="AZ37" s="53">
        <f>P37+(AS37*ret_rail+AT37*ret_tel+AU37*ret_elec+AV37*ret_auto+AW37*ret_chem+AX37*ret_steel)*B37*IF(OR($A37=1931,$A37=1932),abroad_slump,1)+AB37+AG37</f>
        <v/>
      </c>
      <c r="BA37" s="53">
        <f>AP37*champ_profit+AZ37</f>
        <v/>
      </c>
      <c r="BB37" s="53">
        <f>(K37+AI37+AK37)*champ_profit+P37+(AS37*ret_rail+AT37*ret_tel+AU37*ret_elec)*B37*IF(OR($A37=1931,$A37=1932),abroad_slump,1)</f>
        <v/>
      </c>
      <c r="BC37" s="53">
        <f>(T37+W37+Z37+AF37+AN37+AO37)*champ_profit+(AV37*ret_auto+AW37*ret_chem+AX37*ret_steel)*B37*IF(OR($A37=1931,$A37=1932),abroad_slump,1)+AB37+AG37</f>
        <v/>
      </c>
      <c r="BD37" s="53">
        <f>IF($A37&gt;=crown_start,(BB37*crown_charter+BC37*crown_comp)*crown_payout,0)</f>
        <v/>
      </c>
      <c r="BE37" s="63">
        <f>IF(BB37+BC37&gt;0,(BB37*crown_charter+BC37*crown_comp)/(BA37),0)</f>
        <v/>
      </c>
    </row>
    <row r="38">
      <c r="A38" s="58" t="n">
        <v>1878</v>
      </c>
      <c r="B38" s="65">
        <f>champ_scale*(1+Labour!AP38)*(1+Partners!BX38)*(1-IF(union_resp=2,tariff_cut*Labour!S38,0))</f>
        <v/>
      </c>
      <c r="C38" s="45" t="n">
        <v>250</v>
      </c>
      <c r="D38" s="45" t="n">
        <v>80</v>
      </c>
      <c r="E38" s="45" t="n">
        <v>840</v>
      </c>
      <c r="F38" s="47">
        <f>E38*B38</f>
        <v/>
      </c>
      <c r="G38" s="47">
        <f>F38/Economy!B38*1000000</f>
        <v/>
      </c>
      <c r="H38" s="45" t="n">
        <v>269</v>
      </c>
      <c r="I38" s="67">
        <f>IF(H38&gt;0,G38/H38,0)</f>
        <v/>
      </c>
      <c r="J38" s="68" t="n">
        <v>0</v>
      </c>
      <c r="K38" s="53">
        <f>Resources!K38*J38*B38</f>
        <v/>
      </c>
      <c r="L38" s="45" t="n">
        <v>0</v>
      </c>
      <c r="M38" s="59" t="n">
        <v>0</v>
      </c>
      <c r="N38" s="45" t="n">
        <v>0</v>
      </c>
      <c r="O38" s="68" t="n">
        <v>0</v>
      </c>
      <c r="P38" s="53">
        <f>(IF(Gulf!E38=1,0,L38*M38)+N38)*O38*B38</f>
        <v/>
      </c>
      <c r="Q38" s="53">
        <f>P38*oil_book</f>
        <v/>
      </c>
      <c r="R38" s="68" t="n">
        <v>0.1</v>
      </c>
      <c r="S38" s="45" t="n">
        <v>30</v>
      </c>
      <c r="T38" s="53">
        <f>R38*S38*B38</f>
        <v/>
      </c>
      <c r="U38" s="45" t="n">
        <v>0</v>
      </c>
      <c r="V38" s="45" t="n">
        <v>0</v>
      </c>
      <c r="W38" s="53">
        <f>U38/1000*V38*B38</f>
        <v/>
      </c>
      <c r="X38" s="45" t="n">
        <v>554</v>
      </c>
      <c r="Y38" s="59" t="n">
        <v>0.008999999999999999</v>
      </c>
      <c r="Z38" s="53">
        <f>X38*Y38*chem_va*B38</f>
        <v/>
      </c>
      <c r="AA38" s="59" t="n">
        <v>0.006</v>
      </c>
      <c r="AB38" s="53">
        <f>X38*AA38*roy_rate*B38*(1-IF(union_resp=2,lic_cut*Labour!S38,0))</f>
        <v/>
      </c>
      <c r="AC38" s="45" t="n">
        <v>0</v>
      </c>
      <c r="AD38" s="59" t="n">
        <v>0</v>
      </c>
      <c r="AE38" s="59" t="n">
        <v>0</v>
      </c>
      <c r="AF38" s="53">
        <f>AC38*AD38*elec_va*B38</f>
        <v/>
      </c>
      <c r="AG38" s="53">
        <f>MAX(0,AE38-AD38)*AC38*roy_rate*B38*(1-IF(union_resp=2,lic_cut*Labour!S38,0))</f>
        <v/>
      </c>
      <c r="AH38" s="52" t="n">
        <v>6</v>
      </c>
      <c r="AI38" s="53">
        <f>AH38*B38</f>
        <v/>
      </c>
      <c r="AJ38" s="52" t="n">
        <v>8</v>
      </c>
      <c r="AK38" s="53">
        <f>AJ38*B38</f>
        <v/>
      </c>
      <c r="AL38" s="45" t="n">
        <v>8</v>
      </c>
      <c r="AM38" s="53">
        <f>AL38*uw_fee*B38</f>
        <v/>
      </c>
      <c r="AN38" s="52" t="n">
        <v>0</v>
      </c>
      <c r="AO38" s="52" t="n">
        <v>0</v>
      </c>
      <c r="AP38" s="53">
        <f>K38+T38+W38+Z38+AF38+AI38+AK38+AM38+AN38+AO38</f>
        <v/>
      </c>
      <c r="AQ38" s="53">
        <f>AP38*(1-1/champ_prem+champ_spill)</f>
        <v/>
      </c>
      <c r="AR38" s="63">
        <f>AP38/Economy!O38</f>
        <v/>
      </c>
      <c r="AS38" s="52" t="n">
        <v>25</v>
      </c>
      <c r="AT38" s="52" t="n">
        <v>8</v>
      </c>
      <c r="AU38" s="52" t="n">
        <v>0</v>
      </c>
      <c r="AV38" s="52" t="n">
        <v>0</v>
      </c>
      <c r="AW38" s="52" t="n">
        <v>0</v>
      </c>
      <c r="AX38" s="52" t="n">
        <v>0</v>
      </c>
      <c r="AY38" s="53">
        <f>Q38+(AS38+AT38+AU38+AV38+AW38+AX38)*B38</f>
        <v/>
      </c>
      <c r="AZ38" s="53">
        <f>P38+(AS38*ret_rail+AT38*ret_tel+AU38*ret_elec+AV38*ret_auto+AW38*ret_chem+AX38*ret_steel)*B38*IF(OR($A38=1931,$A38=1932),abroad_slump,1)+AB38+AG38</f>
        <v/>
      </c>
      <c r="BA38" s="53">
        <f>AP38*champ_profit+AZ38</f>
        <v/>
      </c>
      <c r="BB38" s="53">
        <f>(K38+AI38+AK38)*champ_profit+P38+(AS38*ret_rail+AT38*ret_tel+AU38*ret_elec)*B38*IF(OR($A38=1931,$A38=1932),abroad_slump,1)</f>
        <v/>
      </c>
      <c r="BC38" s="53">
        <f>(T38+W38+Z38+AF38+AN38+AO38)*champ_profit+(AV38*ret_auto+AW38*ret_chem+AX38*ret_steel)*B38*IF(OR($A38=1931,$A38=1932),abroad_slump,1)+AB38+AG38</f>
        <v/>
      </c>
      <c r="BD38" s="53">
        <f>IF($A38&gt;=crown_start,(BB38*crown_charter+BC38*crown_comp)*crown_payout,0)</f>
        <v/>
      </c>
      <c r="BE38" s="63">
        <f>IF(BB38+BC38&gt;0,(BB38*crown_charter+BC38*crown_comp)/(BA38),0)</f>
        <v/>
      </c>
    </row>
    <row r="39">
      <c r="A39" s="58" t="n">
        <v>1879</v>
      </c>
      <c r="B39" s="65">
        <f>champ_scale*(1+Labour!AP39)*(1+Partners!BX39)*(1-IF(union_resp=2,tariff_cut*Labour!S39,0))</f>
        <v/>
      </c>
      <c r="C39" s="45" t="n">
        <v>280</v>
      </c>
      <c r="D39" s="45" t="n">
        <v>90</v>
      </c>
      <c r="E39" s="45" t="n">
        <v>920</v>
      </c>
      <c r="F39" s="47">
        <f>E39*B39</f>
        <v/>
      </c>
      <c r="G39" s="47">
        <f>F39/Economy!B39*1000000</f>
        <v/>
      </c>
      <c r="H39" s="45" t="n">
        <v>264</v>
      </c>
      <c r="I39" s="67">
        <f>IF(H39&gt;0,G39/H39,0)</f>
        <v/>
      </c>
      <c r="J39" s="68" t="n">
        <v>0</v>
      </c>
      <c r="K39" s="53">
        <f>Resources!K39*J39*B39</f>
        <v/>
      </c>
      <c r="L39" s="45" t="n">
        <v>0</v>
      </c>
      <c r="M39" s="59" t="n">
        <v>0</v>
      </c>
      <c r="N39" s="45" t="n">
        <v>0</v>
      </c>
      <c r="O39" s="68" t="n">
        <v>0</v>
      </c>
      <c r="P39" s="53">
        <f>(IF(Gulf!E39=1,0,L39*M39)+N39)*O39*B39</f>
        <v/>
      </c>
      <c r="Q39" s="53">
        <f>P39*oil_book</f>
        <v/>
      </c>
      <c r="R39" s="68" t="n">
        <v>0.11</v>
      </c>
      <c r="S39" s="45" t="n">
        <v>29</v>
      </c>
      <c r="T39" s="53">
        <f>R39*S39*B39</f>
        <v/>
      </c>
      <c r="U39" s="45" t="n">
        <v>0</v>
      </c>
      <c r="V39" s="45" t="n">
        <v>0</v>
      </c>
      <c r="W39" s="53">
        <f>U39/1000*V39*B39</f>
        <v/>
      </c>
      <c r="X39" s="45" t="n">
        <v>577</v>
      </c>
      <c r="Y39" s="59" t="n">
        <v>0.008999999999999999</v>
      </c>
      <c r="Z39" s="53">
        <f>X39*Y39*chem_va*B39</f>
        <v/>
      </c>
      <c r="AA39" s="59" t="n">
        <v>0.006</v>
      </c>
      <c r="AB39" s="53">
        <f>X39*AA39*roy_rate*B39*(1-IF(union_resp=2,lic_cut*Labour!S39,0))</f>
        <v/>
      </c>
      <c r="AC39" s="45" t="n">
        <v>0</v>
      </c>
      <c r="AD39" s="59" t="n">
        <v>0</v>
      </c>
      <c r="AE39" s="59" t="n">
        <v>0</v>
      </c>
      <c r="AF39" s="53">
        <f>AC39*AD39*elec_va*B39</f>
        <v/>
      </c>
      <c r="AG39" s="53">
        <f>MAX(0,AE39-AD39)*AC39*roy_rate*B39*(1-IF(union_resp=2,lic_cut*Labour!S39,0))</f>
        <v/>
      </c>
      <c r="AH39" s="52" t="n">
        <v>7</v>
      </c>
      <c r="AI39" s="53">
        <f>AH39*B39</f>
        <v/>
      </c>
      <c r="AJ39" s="52" t="n">
        <v>8</v>
      </c>
      <c r="AK39" s="53">
        <f>AJ39*B39</f>
        <v/>
      </c>
      <c r="AL39" s="45" t="n">
        <v>9</v>
      </c>
      <c r="AM39" s="53">
        <f>AL39*uw_fee*B39</f>
        <v/>
      </c>
      <c r="AN39" s="52" t="n">
        <v>0</v>
      </c>
      <c r="AO39" s="52" t="n">
        <v>0</v>
      </c>
      <c r="AP39" s="53">
        <f>K39+T39+W39+Z39+AF39+AI39+AK39+AM39+AN39+AO39</f>
        <v/>
      </c>
      <c r="AQ39" s="53">
        <f>AP39*(1-1/champ_prem+champ_spill)</f>
        <v/>
      </c>
      <c r="AR39" s="63">
        <f>AP39/Economy!O39</f>
        <v/>
      </c>
      <c r="AS39" s="52" t="n">
        <v>28</v>
      </c>
      <c r="AT39" s="52" t="n">
        <v>9</v>
      </c>
      <c r="AU39" s="52" t="n">
        <v>0</v>
      </c>
      <c r="AV39" s="52" t="n">
        <v>0</v>
      </c>
      <c r="AW39" s="52" t="n">
        <v>0</v>
      </c>
      <c r="AX39" s="52" t="n">
        <v>0</v>
      </c>
      <c r="AY39" s="53">
        <f>Q39+(AS39+AT39+AU39+AV39+AW39+AX39)*B39</f>
        <v/>
      </c>
      <c r="AZ39" s="53">
        <f>P39+(AS39*ret_rail+AT39*ret_tel+AU39*ret_elec+AV39*ret_auto+AW39*ret_chem+AX39*ret_steel)*B39*IF(OR($A39=1931,$A39=1932),abroad_slump,1)+AB39+AG39</f>
        <v/>
      </c>
      <c r="BA39" s="53">
        <f>AP39*champ_profit+AZ39</f>
        <v/>
      </c>
      <c r="BB39" s="53">
        <f>(K39+AI39+AK39)*champ_profit+P39+(AS39*ret_rail+AT39*ret_tel+AU39*ret_elec)*B39*IF(OR($A39=1931,$A39=1932),abroad_slump,1)</f>
        <v/>
      </c>
      <c r="BC39" s="53">
        <f>(T39+W39+Z39+AF39+AN39+AO39)*champ_profit+(AV39*ret_auto+AW39*ret_chem+AX39*ret_steel)*B39*IF(OR($A39=1931,$A39=1932),abroad_slump,1)+AB39+AG39</f>
        <v/>
      </c>
      <c r="BD39" s="53">
        <f>IF($A39&gt;=crown_start,(BB39*crown_charter+BC39*crown_comp)*crown_payout,0)</f>
        <v/>
      </c>
      <c r="BE39" s="63">
        <f>IF(BB39+BC39&gt;0,(BB39*crown_charter+BC39*crown_comp)/(BA39),0)</f>
        <v/>
      </c>
    </row>
    <row r="40">
      <c r="A40" s="58" t="n">
        <v>1880</v>
      </c>
      <c r="B40" s="65">
        <f>champ_scale*(1+Labour!AP40)*(1+Partners!BX40)*(1-IF(union_resp=2,tariff_cut*Labour!S40,0))</f>
        <v/>
      </c>
      <c r="C40" s="45" t="n">
        <v>300</v>
      </c>
      <c r="D40" s="45" t="n">
        <v>100</v>
      </c>
      <c r="E40" s="45" t="n">
        <v>1000</v>
      </c>
      <c r="F40" s="47">
        <f>E40*B40</f>
        <v/>
      </c>
      <c r="G40" s="47">
        <f>F40/Economy!B40*1000000</f>
        <v/>
      </c>
      <c r="H40" s="45" t="n">
        <v>258</v>
      </c>
      <c r="I40" s="67">
        <f>IF(H40&gt;0,G40/H40,0)</f>
        <v/>
      </c>
      <c r="J40" s="68" t="n">
        <v>0</v>
      </c>
      <c r="K40" s="53">
        <f>Resources!K40*J40*B40</f>
        <v/>
      </c>
      <c r="L40" s="45" t="n">
        <v>0</v>
      </c>
      <c r="M40" s="59" t="n">
        <v>0</v>
      </c>
      <c r="N40" s="45" t="n">
        <v>1</v>
      </c>
      <c r="O40" s="68" t="n">
        <v>0.6</v>
      </c>
      <c r="P40" s="53">
        <f>(IF(Gulf!E40=1,0,L40*M40)+N40)*O40*B40</f>
        <v/>
      </c>
      <c r="Q40" s="53">
        <f>P40*oil_book</f>
        <v/>
      </c>
      <c r="R40" s="68" t="n">
        <v>0.12</v>
      </c>
      <c r="S40" s="45" t="n">
        <v>28</v>
      </c>
      <c r="T40" s="53">
        <f>R40*S40*B40</f>
        <v/>
      </c>
      <c r="U40" s="45" t="n">
        <v>0</v>
      </c>
      <c r="V40" s="45" t="n">
        <v>0</v>
      </c>
      <c r="W40" s="53">
        <f>U40/1000*V40*B40</f>
        <v/>
      </c>
      <c r="X40" s="45" t="n">
        <v>600</v>
      </c>
      <c r="Y40" s="59" t="n">
        <v>0.01</v>
      </c>
      <c r="Z40" s="53">
        <f>X40*Y40*chem_va*B40</f>
        <v/>
      </c>
      <c r="AA40" s="59" t="n">
        <v>0.007</v>
      </c>
      <c r="AB40" s="53">
        <f>X40*AA40*roy_rate*B40*(1-IF(union_resp=2,lic_cut*Labour!S40,0))</f>
        <v/>
      </c>
      <c r="AC40" s="45" t="n">
        <v>0</v>
      </c>
      <c r="AD40" s="59" t="n">
        <v>0</v>
      </c>
      <c r="AE40" s="59" t="n">
        <v>0</v>
      </c>
      <c r="AF40" s="53">
        <f>AC40*AD40*elec_va*B40</f>
        <v/>
      </c>
      <c r="AG40" s="53">
        <f>MAX(0,AE40-AD40)*AC40*roy_rate*B40*(1-IF(union_resp=2,lic_cut*Labour!S40,0))</f>
        <v/>
      </c>
      <c r="AH40" s="52" t="n">
        <v>7</v>
      </c>
      <c r="AI40" s="53">
        <f>AH40*B40</f>
        <v/>
      </c>
      <c r="AJ40" s="52" t="n">
        <v>9</v>
      </c>
      <c r="AK40" s="53">
        <f>AJ40*B40</f>
        <v/>
      </c>
      <c r="AL40" s="45" t="n">
        <v>10</v>
      </c>
      <c r="AM40" s="53">
        <f>AL40*uw_fee*B40</f>
        <v/>
      </c>
      <c r="AN40" s="52" t="n">
        <v>0</v>
      </c>
      <c r="AO40" s="52" t="n">
        <v>0</v>
      </c>
      <c r="AP40" s="53">
        <f>K40+T40+W40+Z40+AF40+AI40+AK40+AM40+AN40+AO40</f>
        <v/>
      </c>
      <c r="AQ40" s="53">
        <f>AP40*(1-1/champ_prem+champ_spill)</f>
        <v/>
      </c>
      <c r="AR40" s="63">
        <f>AP40/Economy!O40</f>
        <v/>
      </c>
      <c r="AS40" s="52" t="n">
        <v>30</v>
      </c>
      <c r="AT40" s="52" t="n">
        <v>10</v>
      </c>
      <c r="AU40" s="52" t="n">
        <v>0</v>
      </c>
      <c r="AV40" s="52" t="n">
        <v>0</v>
      </c>
      <c r="AW40" s="52" t="n">
        <v>1</v>
      </c>
      <c r="AX40" s="52" t="n">
        <v>0</v>
      </c>
      <c r="AY40" s="53">
        <f>Q40+(AS40+AT40+AU40+AV40+AW40+AX40)*B40</f>
        <v/>
      </c>
      <c r="AZ40" s="53">
        <f>P40+(AS40*ret_rail+AT40*ret_tel+AU40*ret_elec+AV40*ret_auto+AW40*ret_chem+AX40*ret_steel)*B40*IF(OR($A40=1931,$A40=1932),abroad_slump,1)+AB40+AG40</f>
        <v/>
      </c>
      <c r="BA40" s="53">
        <f>AP40*champ_profit+AZ40</f>
        <v/>
      </c>
      <c r="BB40" s="53">
        <f>(K40+AI40+AK40)*champ_profit+P40+(AS40*ret_rail+AT40*ret_tel+AU40*ret_elec)*B40*IF(OR($A40=1931,$A40=1932),abroad_slump,1)</f>
        <v/>
      </c>
      <c r="BC40" s="53">
        <f>(T40+W40+Z40+AF40+AN40+AO40)*champ_profit+(AV40*ret_auto+AW40*ret_chem+AX40*ret_steel)*B40*IF(OR($A40=1931,$A40=1932),abroad_slump,1)+AB40+AG40</f>
        <v/>
      </c>
      <c r="BD40" s="53">
        <f>IF($A40&gt;=crown_start,(BB40*crown_charter+BC40*crown_comp)*crown_payout,0)</f>
        <v/>
      </c>
      <c r="BE40" s="63">
        <f>IF(BB40+BC40&gt;0,(BB40*crown_charter+BC40*crown_comp)/(BA40),0)</f>
        <v/>
      </c>
    </row>
    <row r="41">
      <c r="A41" s="58" t="n">
        <v>1881</v>
      </c>
      <c r="B41" s="65">
        <f>champ_scale*(1+Labour!AP41)*(1+Partners!BX41)*(1-IF(union_resp=2,tariff_cut*Labour!S41,0))</f>
        <v/>
      </c>
      <c r="C41" s="45" t="n">
        <v>360</v>
      </c>
      <c r="D41" s="45" t="n">
        <v>120</v>
      </c>
      <c r="E41" s="45" t="n">
        <v>1150</v>
      </c>
      <c r="F41" s="47">
        <f>E41*B41</f>
        <v/>
      </c>
      <c r="G41" s="47">
        <f>F41/Economy!B41*1000000</f>
        <v/>
      </c>
      <c r="H41" s="45" t="n">
        <v>272</v>
      </c>
      <c r="I41" s="67">
        <f>IF(H41&gt;0,G41/H41,0)</f>
        <v/>
      </c>
      <c r="J41" s="68" t="n">
        <v>0</v>
      </c>
      <c r="K41" s="53">
        <f>Resources!K41*J41*B41</f>
        <v/>
      </c>
      <c r="L41" s="45" t="n">
        <v>0</v>
      </c>
      <c r="M41" s="59" t="n">
        <v>0</v>
      </c>
      <c r="N41" s="45" t="n">
        <v>1</v>
      </c>
      <c r="O41" s="68" t="n">
        <v>0.598</v>
      </c>
      <c r="P41" s="53">
        <f>(IF(Gulf!E41=1,0,L41*M41)+N41)*O41*B41</f>
        <v/>
      </c>
      <c r="Q41" s="53">
        <f>P41*oil_book</f>
        <v/>
      </c>
      <c r="R41" s="68" t="n">
        <v>0.153</v>
      </c>
      <c r="S41" s="45" t="n">
        <v>27</v>
      </c>
      <c r="T41" s="53">
        <f>R41*S41*B41</f>
        <v/>
      </c>
      <c r="U41" s="45" t="n">
        <v>0</v>
      </c>
      <c r="V41" s="45" t="n">
        <v>0</v>
      </c>
      <c r="W41" s="53">
        <f>U41/1000*V41*B41</f>
        <v/>
      </c>
      <c r="X41" s="45" t="n">
        <v>630</v>
      </c>
      <c r="Y41" s="59" t="n">
        <v>0.011</v>
      </c>
      <c r="Z41" s="53">
        <f>X41*Y41*chem_va*B41</f>
        <v/>
      </c>
      <c r="AA41" s="59" t="n">
        <v>0.007</v>
      </c>
      <c r="AB41" s="53">
        <f>X41*AA41*roy_rate*B41*(1-IF(union_resp=2,lic_cut*Labour!S41,0))</f>
        <v/>
      </c>
      <c r="AC41" s="45" t="n">
        <v>0</v>
      </c>
      <c r="AD41" s="59" t="n">
        <v>0</v>
      </c>
      <c r="AE41" s="59" t="n">
        <v>0</v>
      </c>
      <c r="AF41" s="53">
        <f>AC41*AD41*elec_va*B41</f>
        <v/>
      </c>
      <c r="AG41" s="53">
        <f>MAX(0,AE41-AD41)*AC41*roy_rate*B41*(1-IF(union_resp=2,lic_cut*Labour!S41,0))</f>
        <v/>
      </c>
      <c r="AH41" s="52" t="n">
        <v>8</v>
      </c>
      <c r="AI41" s="53">
        <f>AH41*B41</f>
        <v/>
      </c>
      <c r="AJ41" s="52" t="n">
        <v>10</v>
      </c>
      <c r="AK41" s="53">
        <f>AJ41*B41</f>
        <v/>
      </c>
      <c r="AL41" s="45" t="n">
        <v>12</v>
      </c>
      <c r="AM41" s="53">
        <f>AL41*uw_fee*B41</f>
        <v/>
      </c>
      <c r="AN41" s="52" t="n">
        <v>0</v>
      </c>
      <c r="AO41" s="52" t="n">
        <v>0</v>
      </c>
      <c r="AP41" s="53">
        <f>K41+T41+W41+Z41+AF41+AI41+AK41+AM41+AN41+AO41</f>
        <v/>
      </c>
      <c r="AQ41" s="53">
        <f>AP41*(1-1/champ_prem+champ_spill)</f>
        <v/>
      </c>
      <c r="AR41" s="63">
        <f>AP41/Economy!O41</f>
        <v/>
      </c>
      <c r="AS41" s="52" t="n">
        <v>35</v>
      </c>
      <c r="AT41" s="52" t="n">
        <v>12</v>
      </c>
      <c r="AU41" s="52" t="n">
        <v>0</v>
      </c>
      <c r="AV41" s="52" t="n">
        <v>0</v>
      </c>
      <c r="AW41" s="52" t="n">
        <v>1</v>
      </c>
      <c r="AX41" s="52" t="n">
        <v>0</v>
      </c>
      <c r="AY41" s="53">
        <f>Q41+(AS41+AT41+AU41+AV41+AW41+AX41)*B41</f>
        <v/>
      </c>
      <c r="AZ41" s="53">
        <f>P41+(AS41*ret_rail+AT41*ret_tel+AU41*ret_elec+AV41*ret_auto+AW41*ret_chem+AX41*ret_steel)*B41*IF(OR($A41=1931,$A41=1932),abroad_slump,1)+AB41+AG41</f>
        <v/>
      </c>
      <c r="BA41" s="53">
        <f>AP41*champ_profit+AZ41</f>
        <v/>
      </c>
      <c r="BB41" s="53">
        <f>(K41+AI41+AK41)*champ_profit+P41+(AS41*ret_rail+AT41*ret_tel+AU41*ret_elec)*B41*IF(OR($A41=1931,$A41=1932),abroad_slump,1)</f>
        <v/>
      </c>
      <c r="BC41" s="53">
        <f>(T41+W41+Z41+AF41+AN41+AO41)*champ_profit+(AV41*ret_auto+AW41*ret_chem+AX41*ret_steel)*B41*IF(OR($A41=1931,$A41=1932),abroad_slump,1)+AB41+AG41</f>
        <v/>
      </c>
      <c r="BD41" s="53">
        <f>IF($A41&gt;=crown_start,(BB41*crown_charter+BC41*crown_comp)*crown_payout,0)</f>
        <v/>
      </c>
      <c r="BE41" s="63">
        <f>IF(BB41+BC41&gt;0,(BB41*crown_charter+BC41*crown_comp)/(BA41),0)</f>
        <v/>
      </c>
    </row>
    <row r="42">
      <c r="A42" s="58" t="n">
        <v>1882</v>
      </c>
      <c r="B42" s="65">
        <f>champ_scale*(1+Labour!AP42)*(1+Partners!BX42)*(1-IF(union_resp=2,tariff_cut*Labour!S42,0))</f>
        <v/>
      </c>
      <c r="C42" s="45" t="n">
        <v>420</v>
      </c>
      <c r="D42" s="45" t="n">
        <v>140</v>
      </c>
      <c r="E42" s="45" t="n">
        <v>1300</v>
      </c>
      <c r="F42" s="47">
        <f>E42*B42</f>
        <v/>
      </c>
      <c r="G42" s="47">
        <f>F42/Economy!B42*1000000</f>
        <v/>
      </c>
      <c r="H42" s="45" t="n">
        <v>287</v>
      </c>
      <c r="I42" s="67">
        <f>IF(H42&gt;0,G42/H42,0)</f>
        <v/>
      </c>
      <c r="J42" s="68" t="n">
        <v>0</v>
      </c>
      <c r="K42" s="53">
        <f>Resources!K42*J42*B42</f>
        <v/>
      </c>
      <c r="L42" s="45" t="n">
        <v>0</v>
      </c>
      <c r="M42" s="59" t="n">
        <v>0</v>
      </c>
      <c r="N42" s="45" t="n">
        <v>2</v>
      </c>
      <c r="O42" s="68" t="n">
        <v>0.595</v>
      </c>
      <c r="P42" s="53">
        <f>(IF(Gulf!E42=1,0,L42*M42)+N42)*O42*B42</f>
        <v/>
      </c>
      <c r="Q42" s="53">
        <f>P42*oil_book</f>
        <v/>
      </c>
      <c r="R42" s="68" t="n">
        <v>0.186</v>
      </c>
      <c r="S42" s="45" t="n">
        <v>26</v>
      </c>
      <c r="T42" s="53">
        <f>R42*S42*B42</f>
        <v/>
      </c>
      <c r="U42" s="45" t="n">
        <v>0</v>
      </c>
      <c r="V42" s="45" t="n">
        <v>0</v>
      </c>
      <c r="W42" s="53">
        <f>U42/1000*V42*B42</f>
        <v/>
      </c>
      <c r="X42" s="45" t="n">
        <v>660</v>
      </c>
      <c r="Y42" s="59" t="n">
        <v>0.013</v>
      </c>
      <c r="Z42" s="53">
        <f>X42*Y42*chem_va*B42</f>
        <v/>
      </c>
      <c r="AA42" s="59" t="n">
        <v>0.007</v>
      </c>
      <c r="AB42" s="53">
        <f>X42*AA42*roy_rate*B42*(1-IF(union_resp=2,lic_cut*Labour!S42,0))</f>
        <v/>
      </c>
      <c r="AC42" s="45" t="n">
        <v>0</v>
      </c>
      <c r="AD42" s="59" t="n">
        <v>0</v>
      </c>
      <c r="AE42" s="59" t="n">
        <v>0</v>
      </c>
      <c r="AF42" s="53">
        <f>AC42*AD42*elec_va*B42</f>
        <v/>
      </c>
      <c r="AG42" s="53">
        <f>MAX(0,AE42-AD42)*AC42*roy_rate*B42*(1-IF(union_resp=2,lic_cut*Labour!S42,0))</f>
        <v/>
      </c>
      <c r="AH42" s="52" t="n">
        <v>9</v>
      </c>
      <c r="AI42" s="53">
        <f>AH42*B42</f>
        <v/>
      </c>
      <c r="AJ42" s="52" t="n">
        <v>10</v>
      </c>
      <c r="AK42" s="53">
        <f>AJ42*B42</f>
        <v/>
      </c>
      <c r="AL42" s="45" t="n">
        <v>14</v>
      </c>
      <c r="AM42" s="53">
        <f>AL42*uw_fee*B42</f>
        <v/>
      </c>
      <c r="AN42" s="52" t="n">
        <v>0</v>
      </c>
      <c r="AO42" s="52" t="n">
        <v>0</v>
      </c>
      <c r="AP42" s="53">
        <f>K42+T42+W42+Z42+AF42+AI42+AK42+AM42+AN42+AO42</f>
        <v/>
      </c>
      <c r="AQ42" s="53">
        <f>AP42*(1-1/champ_prem+champ_spill)</f>
        <v/>
      </c>
      <c r="AR42" s="63">
        <f>AP42/Economy!O42</f>
        <v/>
      </c>
      <c r="AS42" s="52" t="n">
        <v>40</v>
      </c>
      <c r="AT42" s="52" t="n">
        <v>13</v>
      </c>
      <c r="AU42" s="52" t="n">
        <v>0</v>
      </c>
      <c r="AV42" s="52" t="n">
        <v>0</v>
      </c>
      <c r="AW42" s="52" t="n">
        <v>1</v>
      </c>
      <c r="AX42" s="52" t="n">
        <v>0</v>
      </c>
      <c r="AY42" s="53">
        <f>Q42+(AS42+AT42+AU42+AV42+AW42+AX42)*B42</f>
        <v/>
      </c>
      <c r="AZ42" s="53">
        <f>P42+(AS42*ret_rail+AT42*ret_tel+AU42*ret_elec+AV42*ret_auto+AW42*ret_chem+AX42*ret_steel)*B42*IF(OR($A42=1931,$A42=1932),abroad_slump,1)+AB42+AG42</f>
        <v/>
      </c>
      <c r="BA42" s="53">
        <f>AP42*champ_profit+AZ42</f>
        <v/>
      </c>
      <c r="BB42" s="53">
        <f>(K42+AI42+AK42)*champ_profit+P42+(AS42*ret_rail+AT42*ret_tel+AU42*ret_elec)*B42*IF(OR($A42=1931,$A42=1932),abroad_slump,1)</f>
        <v/>
      </c>
      <c r="BC42" s="53">
        <f>(T42+W42+Z42+AF42+AN42+AO42)*champ_profit+(AV42*ret_auto+AW42*ret_chem+AX42*ret_steel)*B42*IF(OR($A42=1931,$A42=1932),abroad_slump,1)+AB42+AG42</f>
        <v/>
      </c>
      <c r="BD42" s="53">
        <f>IF($A42&gt;=crown_start,(BB42*crown_charter+BC42*crown_comp)*crown_payout,0)</f>
        <v/>
      </c>
      <c r="BE42" s="63">
        <f>IF(BB42+BC42&gt;0,(BB42*crown_charter+BC42*crown_comp)/(BA42),0)</f>
        <v/>
      </c>
    </row>
    <row r="43">
      <c r="A43" s="58" t="n">
        <v>1883</v>
      </c>
      <c r="B43" s="65">
        <f>champ_scale*(1+Labour!AP43)*(1+Partners!BX43)*(1-IF(union_resp=2,tariff_cut*Labour!S43,0))</f>
        <v/>
      </c>
      <c r="C43" s="45" t="n">
        <v>480</v>
      </c>
      <c r="D43" s="45" t="n">
        <v>160</v>
      </c>
      <c r="E43" s="45" t="n">
        <v>1450</v>
      </c>
      <c r="F43" s="47">
        <f>E43*B43</f>
        <v/>
      </c>
      <c r="G43" s="47">
        <f>F43/Economy!B43*1000000</f>
        <v/>
      </c>
      <c r="H43" s="45" t="n">
        <v>301</v>
      </c>
      <c r="I43" s="67">
        <f>IF(H43&gt;0,G43/H43,0)</f>
        <v/>
      </c>
      <c r="J43" s="68" t="n">
        <v>0</v>
      </c>
      <c r="K43" s="53">
        <f>Resources!K43*J43*B43</f>
        <v/>
      </c>
      <c r="L43" s="45" t="n">
        <v>0</v>
      </c>
      <c r="M43" s="59" t="n">
        <v>0</v>
      </c>
      <c r="N43" s="45" t="n">
        <v>2</v>
      </c>
      <c r="O43" s="68" t="n">
        <v>0.593</v>
      </c>
      <c r="P43" s="53">
        <f>(IF(Gulf!E43=1,0,L43*M43)+N43)*O43*B43</f>
        <v/>
      </c>
      <c r="Q43" s="53">
        <f>P43*oil_book</f>
        <v/>
      </c>
      <c r="R43" s="68" t="n">
        <v>0.219</v>
      </c>
      <c r="S43" s="45" t="n">
        <v>25</v>
      </c>
      <c r="T43" s="53">
        <f>R43*S43*B43</f>
        <v/>
      </c>
      <c r="U43" s="45" t="n">
        <v>0</v>
      </c>
      <c r="V43" s="45" t="n">
        <v>0</v>
      </c>
      <c r="W43" s="53">
        <f>U43/1000*V43*B43</f>
        <v/>
      </c>
      <c r="X43" s="45" t="n">
        <v>690</v>
      </c>
      <c r="Y43" s="59" t="n">
        <v>0.015</v>
      </c>
      <c r="Z43" s="53">
        <f>X43*Y43*chem_va*B43</f>
        <v/>
      </c>
      <c r="AA43" s="59" t="n">
        <v>0.008</v>
      </c>
      <c r="AB43" s="53">
        <f>X43*AA43*roy_rate*B43*(1-IF(union_resp=2,lic_cut*Labour!S43,0))</f>
        <v/>
      </c>
      <c r="AC43" s="45" t="n">
        <v>0</v>
      </c>
      <c r="AD43" s="59" t="n">
        <v>0</v>
      </c>
      <c r="AE43" s="59" t="n">
        <v>0</v>
      </c>
      <c r="AF43" s="53">
        <f>AC43*AD43*elec_va*B43</f>
        <v/>
      </c>
      <c r="AG43" s="53">
        <f>MAX(0,AE43-AD43)*AC43*roy_rate*B43*(1-IF(union_resp=2,lic_cut*Labour!S43,0))</f>
        <v/>
      </c>
      <c r="AH43" s="52" t="n">
        <v>9</v>
      </c>
      <c r="AI43" s="53">
        <f>AH43*B43</f>
        <v/>
      </c>
      <c r="AJ43" s="52" t="n">
        <v>11</v>
      </c>
      <c r="AK43" s="53">
        <f>AJ43*B43</f>
        <v/>
      </c>
      <c r="AL43" s="45" t="n">
        <v>16</v>
      </c>
      <c r="AM43" s="53">
        <f>AL43*uw_fee*B43</f>
        <v/>
      </c>
      <c r="AN43" s="52" t="n">
        <v>0</v>
      </c>
      <c r="AO43" s="52" t="n">
        <v>0</v>
      </c>
      <c r="AP43" s="53">
        <f>K43+T43+W43+Z43+AF43+AI43+AK43+AM43+AN43+AO43</f>
        <v/>
      </c>
      <c r="AQ43" s="53">
        <f>AP43*(1-1/champ_prem+champ_spill)</f>
        <v/>
      </c>
      <c r="AR43" s="63">
        <f>AP43/Economy!O43</f>
        <v/>
      </c>
      <c r="AS43" s="52" t="n">
        <v>45</v>
      </c>
      <c r="AT43" s="52" t="n">
        <v>14</v>
      </c>
      <c r="AU43" s="52" t="n">
        <v>0</v>
      </c>
      <c r="AV43" s="52" t="n">
        <v>0</v>
      </c>
      <c r="AW43" s="52" t="n">
        <v>2</v>
      </c>
      <c r="AX43" s="52" t="n">
        <v>0</v>
      </c>
      <c r="AY43" s="53">
        <f>Q43+(AS43+AT43+AU43+AV43+AW43+AX43)*B43</f>
        <v/>
      </c>
      <c r="AZ43" s="53">
        <f>P43+(AS43*ret_rail+AT43*ret_tel+AU43*ret_elec+AV43*ret_auto+AW43*ret_chem+AX43*ret_steel)*B43*IF(OR($A43=1931,$A43=1932),abroad_slump,1)+AB43+AG43</f>
        <v/>
      </c>
      <c r="BA43" s="53">
        <f>AP43*champ_profit+AZ43</f>
        <v/>
      </c>
      <c r="BB43" s="53">
        <f>(K43+AI43+AK43)*champ_profit+P43+(AS43*ret_rail+AT43*ret_tel+AU43*ret_elec)*B43*IF(OR($A43=1931,$A43=1932),abroad_slump,1)</f>
        <v/>
      </c>
      <c r="BC43" s="53">
        <f>(T43+W43+Z43+AF43+AN43+AO43)*champ_profit+(AV43*ret_auto+AW43*ret_chem+AX43*ret_steel)*B43*IF(OR($A43=1931,$A43=1932),abroad_slump,1)+AB43+AG43</f>
        <v/>
      </c>
      <c r="BD43" s="53">
        <f>IF($A43&gt;=crown_start,(BB43*crown_charter+BC43*crown_comp)*crown_payout,0)</f>
        <v/>
      </c>
      <c r="BE43" s="63">
        <f>IF(BB43+BC43&gt;0,(BB43*crown_charter+BC43*crown_comp)/(BA43),0)</f>
        <v/>
      </c>
    </row>
    <row r="44">
      <c r="A44" s="58" t="n">
        <v>1884</v>
      </c>
      <c r="B44" s="65">
        <f>champ_scale*(1+Labour!AP44)*(1+Partners!BX44)*(1-IF(union_resp=2,tariff_cut*Labour!S44,0))</f>
        <v/>
      </c>
      <c r="C44" s="45" t="n">
        <v>540</v>
      </c>
      <c r="D44" s="45" t="n">
        <v>180</v>
      </c>
      <c r="E44" s="45" t="n">
        <v>1600</v>
      </c>
      <c r="F44" s="47">
        <f>E44*B44</f>
        <v/>
      </c>
      <c r="G44" s="47">
        <f>F44/Economy!B44*1000000</f>
        <v/>
      </c>
      <c r="H44" s="45" t="n">
        <v>316</v>
      </c>
      <c r="I44" s="67">
        <f>IF(H44&gt;0,G44/H44,0)</f>
        <v/>
      </c>
      <c r="J44" s="68" t="n">
        <v>0</v>
      </c>
      <c r="K44" s="53">
        <f>Resources!K44*J44*B44</f>
        <v/>
      </c>
      <c r="L44" s="45" t="n">
        <v>0</v>
      </c>
      <c r="M44" s="59" t="n">
        <v>0</v>
      </c>
      <c r="N44" s="45" t="n">
        <v>3</v>
      </c>
      <c r="O44" s="68" t="n">
        <v>0.59</v>
      </c>
      <c r="P44" s="53">
        <f>(IF(Gulf!E44=1,0,L44*M44)+N44)*O44*B44</f>
        <v/>
      </c>
      <c r="Q44" s="53">
        <f>P44*oil_book</f>
        <v/>
      </c>
      <c r="R44" s="68" t="n">
        <v>0.252</v>
      </c>
      <c r="S44" s="45" t="n">
        <v>24</v>
      </c>
      <c r="T44" s="53">
        <f>R44*S44*B44</f>
        <v/>
      </c>
      <c r="U44" s="45" t="n">
        <v>0</v>
      </c>
      <c r="V44" s="45" t="n">
        <v>0</v>
      </c>
      <c r="W44" s="53">
        <f>U44/1000*V44*B44</f>
        <v/>
      </c>
      <c r="X44" s="45" t="n">
        <v>720</v>
      </c>
      <c r="Y44" s="59" t="n">
        <v>0.016</v>
      </c>
      <c r="Z44" s="53">
        <f>X44*Y44*chem_va*B44</f>
        <v/>
      </c>
      <c r="AA44" s="59" t="n">
        <v>0.008</v>
      </c>
      <c r="AB44" s="53">
        <f>X44*AA44*roy_rate*B44*(1-IF(union_resp=2,lic_cut*Labour!S44,0))</f>
        <v/>
      </c>
      <c r="AC44" s="45" t="n">
        <v>0</v>
      </c>
      <c r="AD44" s="59" t="n">
        <v>0</v>
      </c>
      <c r="AE44" s="59" t="n">
        <v>0</v>
      </c>
      <c r="AF44" s="53">
        <f>AC44*AD44*elec_va*B44</f>
        <v/>
      </c>
      <c r="AG44" s="53">
        <f>MAX(0,AE44-AD44)*AC44*roy_rate*B44*(1-IF(union_resp=2,lic_cut*Labour!S44,0))</f>
        <v/>
      </c>
      <c r="AH44" s="52" t="n">
        <v>10</v>
      </c>
      <c r="AI44" s="53">
        <f>AH44*B44</f>
        <v/>
      </c>
      <c r="AJ44" s="52" t="n">
        <v>11</v>
      </c>
      <c r="AK44" s="53">
        <f>AJ44*B44</f>
        <v/>
      </c>
      <c r="AL44" s="45" t="n">
        <v>18</v>
      </c>
      <c r="AM44" s="53">
        <f>AL44*uw_fee*B44</f>
        <v/>
      </c>
      <c r="AN44" s="52" t="n">
        <v>0</v>
      </c>
      <c r="AO44" s="52" t="n">
        <v>0</v>
      </c>
      <c r="AP44" s="53">
        <f>K44+T44+W44+Z44+AF44+AI44+AK44+AM44+AN44+AO44</f>
        <v/>
      </c>
      <c r="AQ44" s="53">
        <f>AP44*(1-1/champ_prem+champ_spill)</f>
        <v/>
      </c>
      <c r="AR44" s="63">
        <f>AP44/Economy!O44</f>
        <v/>
      </c>
      <c r="AS44" s="52" t="n">
        <v>50</v>
      </c>
      <c r="AT44" s="52" t="n">
        <v>16</v>
      </c>
      <c r="AU44" s="52" t="n">
        <v>0</v>
      </c>
      <c r="AV44" s="52" t="n">
        <v>0</v>
      </c>
      <c r="AW44" s="52" t="n">
        <v>2</v>
      </c>
      <c r="AX44" s="52" t="n">
        <v>0</v>
      </c>
      <c r="AY44" s="53">
        <f>Q44+(AS44+AT44+AU44+AV44+AW44+AX44)*B44</f>
        <v/>
      </c>
      <c r="AZ44" s="53">
        <f>P44+(AS44*ret_rail+AT44*ret_tel+AU44*ret_elec+AV44*ret_auto+AW44*ret_chem+AX44*ret_steel)*B44*IF(OR($A44=1931,$A44=1932),abroad_slump,1)+AB44+AG44</f>
        <v/>
      </c>
      <c r="BA44" s="53">
        <f>AP44*champ_profit+AZ44</f>
        <v/>
      </c>
      <c r="BB44" s="53">
        <f>(K44+AI44+AK44)*champ_profit+P44+(AS44*ret_rail+AT44*ret_tel+AU44*ret_elec)*B44*IF(OR($A44=1931,$A44=1932),abroad_slump,1)</f>
        <v/>
      </c>
      <c r="BC44" s="53">
        <f>(T44+W44+Z44+AF44+AN44+AO44)*champ_profit+(AV44*ret_auto+AW44*ret_chem+AX44*ret_steel)*B44*IF(OR($A44=1931,$A44=1932),abroad_slump,1)+AB44+AG44</f>
        <v/>
      </c>
      <c r="BD44" s="53">
        <f>IF($A44&gt;=crown_start,(BB44*crown_charter+BC44*crown_comp)*crown_payout,0)</f>
        <v/>
      </c>
      <c r="BE44" s="63">
        <f>IF(BB44+BC44&gt;0,(BB44*crown_charter+BC44*crown_comp)/(BA44),0)</f>
        <v/>
      </c>
    </row>
    <row r="45">
      <c r="A45" s="58" t="n">
        <v>1885</v>
      </c>
      <c r="B45" s="65">
        <f>champ_scale*(1+Labour!AP45)*(1+Partners!BX45)*(1-IF(union_resp=2,tariff_cut*Labour!S45,0))</f>
        <v/>
      </c>
      <c r="C45" s="45" t="n">
        <v>600</v>
      </c>
      <c r="D45" s="45" t="n">
        <v>200</v>
      </c>
      <c r="E45" s="45" t="n">
        <v>1750</v>
      </c>
      <c r="F45" s="47">
        <f>E45*B45</f>
        <v/>
      </c>
      <c r="G45" s="47">
        <f>F45/Economy!B45*1000000</f>
        <v/>
      </c>
      <c r="H45" s="45" t="n">
        <v>330</v>
      </c>
      <c r="I45" s="67">
        <f>IF(H45&gt;0,G45/H45,0)</f>
        <v/>
      </c>
      <c r="J45" s="68" t="n">
        <v>0</v>
      </c>
      <c r="K45" s="53">
        <f>Resources!K45*J45*B45</f>
        <v/>
      </c>
      <c r="L45" s="45" t="n">
        <v>0</v>
      </c>
      <c r="M45" s="59" t="n">
        <v>0</v>
      </c>
      <c r="N45" s="45" t="n">
        <v>3</v>
      </c>
      <c r="O45" s="68" t="n">
        <v>0.588</v>
      </c>
      <c r="P45" s="53">
        <f>(IF(Gulf!E45=1,0,L45*M45)+N45)*O45*B45</f>
        <v/>
      </c>
      <c r="Q45" s="53">
        <f>P45*oil_book</f>
        <v/>
      </c>
      <c r="R45" s="68" t="n">
        <v>0.285</v>
      </c>
      <c r="S45" s="45" t="n">
        <v>23</v>
      </c>
      <c r="T45" s="53">
        <f>R45*S45*B45</f>
        <v/>
      </c>
      <c r="U45" s="45" t="n">
        <v>0</v>
      </c>
      <c r="V45" s="45" t="n">
        <v>0</v>
      </c>
      <c r="W45" s="53">
        <f>U45/1000*V45*B45</f>
        <v/>
      </c>
      <c r="X45" s="45" t="n">
        <v>750</v>
      </c>
      <c r="Y45" s="59" t="n">
        <v>0.018</v>
      </c>
      <c r="Z45" s="53">
        <f>X45*Y45*chem_va*B45</f>
        <v/>
      </c>
      <c r="AA45" s="59" t="n">
        <v>0.008</v>
      </c>
      <c r="AB45" s="53">
        <f>X45*AA45*roy_rate*B45*(1-IF(union_resp=2,lic_cut*Labour!S45,0))</f>
        <v/>
      </c>
      <c r="AC45" s="45" t="n">
        <v>30</v>
      </c>
      <c r="AD45" s="59" t="n">
        <v>0.15</v>
      </c>
      <c r="AE45" s="59" t="n">
        <v>0.15</v>
      </c>
      <c r="AF45" s="53">
        <f>AC45*AD45*elec_va*B45</f>
        <v/>
      </c>
      <c r="AG45" s="53">
        <f>MAX(0,AE45-AD45)*AC45*roy_rate*B45*(1-IF(union_resp=2,lic_cut*Labour!S45,0))</f>
        <v/>
      </c>
      <c r="AH45" s="52" t="n">
        <v>11</v>
      </c>
      <c r="AI45" s="53">
        <f>AH45*B45</f>
        <v/>
      </c>
      <c r="AJ45" s="52" t="n">
        <v>12</v>
      </c>
      <c r="AK45" s="53">
        <f>AJ45*B45</f>
        <v/>
      </c>
      <c r="AL45" s="45" t="n">
        <v>20</v>
      </c>
      <c r="AM45" s="53">
        <f>AL45*uw_fee*B45</f>
        <v/>
      </c>
      <c r="AN45" s="52" t="n">
        <v>0</v>
      </c>
      <c r="AO45" s="52" t="n">
        <v>0</v>
      </c>
      <c r="AP45" s="53">
        <f>K45+T45+W45+Z45+AF45+AI45+AK45+AM45+AN45+AO45</f>
        <v/>
      </c>
      <c r="AQ45" s="53">
        <f>AP45*(1-1/champ_prem+champ_spill)</f>
        <v/>
      </c>
      <c r="AR45" s="63">
        <f>AP45/Economy!O45</f>
        <v/>
      </c>
      <c r="AS45" s="52" t="n">
        <v>55</v>
      </c>
      <c r="AT45" s="52" t="n">
        <v>18</v>
      </c>
      <c r="AU45" s="52" t="n">
        <v>0</v>
      </c>
      <c r="AV45" s="52" t="n">
        <v>0</v>
      </c>
      <c r="AW45" s="52" t="n">
        <v>2</v>
      </c>
      <c r="AX45" s="52" t="n">
        <v>0</v>
      </c>
      <c r="AY45" s="53">
        <f>Q45+(AS45+AT45+AU45+AV45+AW45+AX45)*B45</f>
        <v/>
      </c>
      <c r="AZ45" s="53">
        <f>P45+(AS45*ret_rail+AT45*ret_tel+AU45*ret_elec+AV45*ret_auto+AW45*ret_chem+AX45*ret_steel)*B45*IF(OR($A45=1931,$A45=1932),abroad_slump,1)+AB45+AG45</f>
        <v/>
      </c>
      <c r="BA45" s="53">
        <f>AP45*champ_profit+AZ45</f>
        <v/>
      </c>
      <c r="BB45" s="53">
        <f>(K45+AI45+AK45)*champ_profit+P45+(AS45*ret_rail+AT45*ret_tel+AU45*ret_elec)*B45*IF(OR($A45=1931,$A45=1932),abroad_slump,1)</f>
        <v/>
      </c>
      <c r="BC45" s="53">
        <f>(T45+W45+Z45+AF45+AN45+AO45)*champ_profit+(AV45*ret_auto+AW45*ret_chem+AX45*ret_steel)*B45*IF(OR($A45=1931,$A45=1932),abroad_slump,1)+AB45+AG45</f>
        <v/>
      </c>
      <c r="BD45" s="53">
        <f>IF($A45&gt;=crown_start,(BB45*crown_charter+BC45*crown_comp)*crown_payout,0)</f>
        <v/>
      </c>
      <c r="BE45" s="63">
        <f>IF(BB45+BC45&gt;0,(BB45*crown_charter+BC45*crown_comp)/(BA45),0)</f>
        <v/>
      </c>
    </row>
    <row r="46">
      <c r="A46" s="58" t="n">
        <v>1886</v>
      </c>
      <c r="B46" s="65">
        <f>champ_scale*(1+Labour!AP46)*(1+Partners!BX46)*(1-IF(union_resp=2,tariff_cut*Labour!S46,0))</f>
        <v/>
      </c>
      <c r="C46" s="45" t="n">
        <v>660</v>
      </c>
      <c r="D46" s="45" t="n">
        <v>220</v>
      </c>
      <c r="E46" s="45" t="n">
        <v>1900</v>
      </c>
      <c r="F46" s="47">
        <f>E46*B46</f>
        <v/>
      </c>
      <c r="G46" s="47">
        <f>F46/Economy!B46*1000000</f>
        <v/>
      </c>
      <c r="H46" s="45" t="n">
        <v>344</v>
      </c>
      <c r="I46" s="67">
        <f>IF(H46&gt;0,G46/H46,0)</f>
        <v/>
      </c>
      <c r="J46" s="68" t="n">
        <v>0</v>
      </c>
      <c r="K46" s="53">
        <f>Resources!K46*J46*B46</f>
        <v/>
      </c>
      <c r="L46" s="45" t="n">
        <v>0</v>
      </c>
      <c r="M46" s="59" t="n">
        <v>0</v>
      </c>
      <c r="N46" s="45" t="n">
        <v>4</v>
      </c>
      <c r="O46" s="68" t="n">
        <v>0.585</v>
      </c>
      <c r="P46" s="53">
        <f>(IF(Gulf!E46=1,0,L46*M46)+N46)*O46*B46</f>
        <v/>
      </c>
      <c r="Q46" s="53">
        <f>P46*oil_book</f>
        <v/>
      </c>
      <c r="R46" s="68" t="n">
        <v>0.318</v>
      </c>
      <c r="S46" s="45" t="n">
        <v>22</v>
      </c>
      <c r="T46" s="53">
        <f>R46*S46*B46</f>
        <v/>
      </c>
      <c r="U46" s="45" t="n">
        <v>0</v>
      </c>
      <c r="V46" s="45" t="n">
        <v>0</v>
      </c>
      <c r="W46" s="53">
        <f>U46/1000*V46*B46</f>
        <v/>
      </c>
      <c r="X46" s="45" t="n">
        <v>780</v>
      </c>
      <c r="Y46" s="59" t="n">
        <v>0.019</v>
      </c>
      <c r="Z46" s="53">
        <f>X46*Y46*chem_va*B46</f>
        <v/>
      </c>
      <c r="AA46" s="59" t="n">
        <v>0.008999999999999999</v>
      </c>
      <c r="AB46" s="53">
        <f>X46*AA46*roy_rate*B46*(1-IF(union_resp=2,lic_cut*Labour!S46,0))</f>
        <v/>
      </c>
      <c r="AC46" s="45" t="n">
        <v>44</v>
      </c>
      <c r="AD46" s="59" t="n">
        <v>0.16</v>
      </c>
      <c r="AE46" s="59" t="n">
        <v>0.17</v>
      </c>
      <c r="AF46" s="53">
        <f>AC46*AD46*elec_va*B46</f>
        <v/>
      </c>
      <c r="AG46" s="53">
        <f>MAX(0,AE46-AD46)*AC46*roy_rate*B46*(1-IF(union_resp=2,lic_cut*Labour!S46,0))</f>
        <v/>
      </c>
      <c r="AH46" s="52" t="n">
        <v>12</v>
      </c>
      <c r="AI46" s="53">
        <f>AH46*B46</f>
        <v/>
      </c>
      <c r="AJ46" s="52" t="n">
        <v>13</v>
      </c>
      <c r="AK46" s="53">
        <f>AJ46*B46</f>
        <v/>
      </c>
      <c r="AL46" s="45" t="n">
        <v>22</v>
      </c>
      <c r="AM46" s="53">
        <f>AL46*uw_fee*B46</f>
        <v/>
      </c>
      <c r="AN46" s="52" t="n">
        <v>0</v>
      </c>
      <c r="AO46" s="52" t="n">
        <v>0</v>
      </c>
      <c r="AP46" s="53">
        <f>K46+T46+W46+Z46+AF46+AI46+AK46+AM46+AN46+AO46</f>
        <v/>
      </c>
      <c r="AQ46" s="53">
        <f>AP46*(1-1/champ_prem+champ_spill)</f>
        <v/>
      </c>
      <c r="AR46" s="63">
        <f>AP46/Economy!O46</f>
        <v/>
      </c>
      <c r="AS46" s="52" t="n">
        <v>60</v>
      </c>
      <c r="AT46" s="52" t="n">
        <v>19</v>
      </c>
      <c r="AU46" s="52" t="n">
        <v>0</v>
      </c>
      <c r="AV46" s="52" t="n">
        <v>0</v>
      </c>
      <c r="AW46" s="52" t="n">
        <v>2</v>
      </c>
      <c r="AX46" s="52" t="n">
        <v>0</v>
      </c>
      <c r="AY46" s="53">
        <f>Q46+(AS46+AT46+AU46+AV46+AW46+AX46)*B46</f>
        <v/>
      </c>
      <c r="AZ46" s="53">
        <f>P46+(AS46*ret_rail+AT46*ret_tel+AU46*ret_elec+AV46*ret_auto+AW46*ret_chem+AX46*ret_steel)*B46*IF(OR($A46=1931,$A46=1932),abroad_slump,1)+AB46+AG46</f>
        <v/>
      </c>
      <c r="BA46" s="53">
        <f>AP46*champ_profit+AZ46</f>
        <v/>
      </c>
      <c r="BB46" s="53">
        <f>(K46+AI46+AK46)*champ_profit+P46+(AS46*ret_rail+AT46*ret_tel+AU46*ret_elec)*B46*IF(OR($A46=1931,$A46=1932),abroad_slump,1)</f>
        <v/>
      </c>
      <c r="BC46" s="53">
        <f>(T46+W46+Z46+AF46+AN46+AO46)*champ_profit+(AV46*ret_auto+AW46*ret_chem+AX46*ret_steel)*B46*IF(OR($A46=1931,$A46=1932),abroad_slump,1)+AB46+AG46</f>
        <v/>
      </c>
      <c r="BD46" s="53">
        <f>IF($A46&gt;=crown_start,(BB46*crown_charter+BC46*crown_comp)*crown_payout,0)</f>
        <v/>
      </c>
      <c r="BE46" s="63">
        <f>IF(BB46+BC46&gt;0,(BB46*crown_charter+BC46*crown_comp)/(BA46),0)</f>
        <v/>
      </c>
    </row>
    <row r="47">
      <c r="A47" s="58" t="n">
        <v>1887</v>
      </c>
      <c r="B47" s="65">
        <f>champ_scale*(1+Labour!AP47)*(1+Partners!BX47)*(1-IF(union_resp=2,tariff_cut*Labour!S47,0))</f>
        <v/>
      </c>
      <c r="C47" s="45" t="n">
        <v>720</v>
      </c>
      <c r="D47" s="45" t="n">
        <v>240</v>
      </c>
      <c r="E47" s="45" t="n">
        <v>2050</v>
      </c>
      <c r="F47" s="47">
        <f>E47*B47</f>
        <v/>
      </c>
      <c r="G47" s="47">
        <f>F47/Economy!B47*1000000</f>
        <v/>
      </c>
      <c r="H47" s="45" t="n">
        <v>359</v>
      </c>
      <c r="I47" s="67">
        <f>IF(H47&gt;0,G47/H47,0)</f>
        <v/>
      </c>
      <c r="J47" s="68" t="n">
        <v>0</v>
      </c>
      <c r="K47" s="53">
        <f>Resources!K47*J47*B47</f>
        <v/>
      </c>
      <c r="L47" s="45" t="n">
        <v>0</v>
      </c>
      <c r="M47" s="59" t="n">
        <v>0</v>
      </c>
      <c r="N47" s="45" t="n">
        <v>4</v>
      </c>
      <c r="O47" s="68" t="n">
        <v>0.583</v>
      </c>
      <c r="P47" s="53">
        <f>(IF(Gulf!E47=1,0,L47*M47)+N47)*O47*B47</f>
        <v/>
      </c>
      <c r="Q47" s="53">
        <f>P47*oil_book</f>
        <v/>
      </c>
      <c r="R47" s="68" t="n">
        <v>0.351</v>
      </c>
      <c r="S47" s="45" t="n">
        <v>21</v>
      </c>
      <c r="T47" s="53">
        <f>R47*S47*B47</f>
        <v/>
      </c>
      <c r="U47" s="45" t="n">
        <v>0</v>
      </c>
      <c r="V47" s="45" t="n">
        <v>0</v>
      </c>
      <c r="W47" s="53">
        <f>U47/1000*V47*B47</f>
        <v/>
      </c>
      <c r="X47" s="45" t="n">
        <v>810</v>
      </c>
      <c r="Y47" s="59" t="n">
        <v>0.021</v>
      </c>
      <c r="Z47" s="53">
        <f>X47*Y47*chem_va*B47</f>
        <v/>
      </c>
      <c r="AA47" s="59" t="n">
        <v>0.008999999999999999</v>
      </c>
      <c r="AB47" s="53">
        <f>X47*AA47*roy_rate*B47*(1-IF(union_resp=2,lic_cut*Labour!S47,0))</f>
        <v/>
      </c>
      <c r="AC47" s="45" t="n">
        <v>58</v>
      </c>
      <c r="AD47" s="59" t="n">
        <v>0.17</v>
      </c>
      <c r="AE47" s="59" t="n">
        <v>0.19</v>
      </c>
      <c r="AF47" s="53">
        <f>AC47*AD47*elec_va*B47</f>
        <v/>
      </c>
      <c r="AG47" s="53">
        <f>MAX(0,AE47-AD47)*AC47*roy_rate*B47*(1-IF(union_resp=2,lic_cut*Labour!S47,0))</f>
        <v/>
      </c>
      <c r="AH47" s="52" t="n">
        <v>13</v>
      </c>
      <c r="AI47" s="53">
        <f>AH47*B47</f>
        <v/>
      </c>
      <c r="AJ47" s="52" t="n">
        <v>13</v>
      </c>
      <c r="AK47" s="53">
        <f>AJ47*B47</f>
        <v/>
      </c>
      <c r="AL47" s="45" t="n">
        <v>24</v>
      </c>
      <c r="AM47" s="53">
        <f>AL47*uw_fee*B47</f>
        <v/>
      </c>
      <c r="AN47" s="52" t="n">
        <v>0</v>
      </c>
      <c r="AO47" s="52" t="n">
        <v>0</v>
      </c>
      <c r="AP47" s="53">
        <f>K47+T47+W47+Z47+AF47+AI47+AK47+AM47+AN47+AO47</f>
        <v/>
      </c>
      <c r="AQ47" s="53">
        <f>AP47*(1-1/champ_prem+champ_spill)</f>
        <v/>
      </c>
      <c r="AR47" s="63">
        <f>AP47/Economy!O47</f>
        <v/>
      </c>
      <c r="AS47" s="52" t="n">
        <v>65</v>
      </c>
      <c r="AT47" s="52" t="n">
        <v>20</v>
      </c>
      <c r="AU47" s="52" t="n">
        <v>0</v>
      </c>
      <c r="AV47" s="52" t="n">
        <v>0</v>
      </c>
      <c r="AW47" s="52" t="n">
        <v>2</v>
      </c>
      <c r="AX47" s="52" t="n">
        <v>0</v>
      </c>
      <c r="AY47" s="53">
        <f>Q47+(AS47+AT47+AU47+AV47+AW47+AX47)*B47</f>
        <v/>
      </c>
      <c r="AZ47" s="53">
        <f>P47+(AS47*ret_rail+AT47*ret_tel+AU47*ret_elec+AV47*ret_auto+AW47*ret_chem+AX47*ret_steel)*B47*IF(OR($A47=1931,$A47=1932),abroad_slump,1)+AB47+AG47</f>
        <v/>
      </c>
      <c r="BA47" s="53">
        <f>AP47*champ_profit+AZ47</f>
        <v/>
      </c>
      <c r="BB47" s="53">
        <f>(K47+AI47+AK47)*champ_profit+P47+(AS47*ret_rail+AT47*ret_tel+AU47*ret_elec)*B47*IF(OR($A47=1931,$A47=1932),abroad_slump,1)</f>
        <v/>
      </c>
      <c r="BC47" s="53">
        <f>(T47+W47+Z47+AF47+AN47+AO47)*champ_profit+(AV47*ret_auto+AW47*ret_chem+AX47*ret_steel)*B47*IF(OR($A47=1931,$A47=1932),abroad_slump,1)+AB47+AG47</f>
        <v/>
      </c>
      <c r="BD47" s="53">
        <f>IF($A47&gt;=crown_start,(BB47*crown_charter+BC47*crown_comp)*crown_payout,0)</f>
        <v/>
      </c>
      <c r="BE47" s="63">
        <f>IF(BB47+BC47&gt;0,(BB47*crown_charter+BC47*crown_comp)/(BA47),0)</f>
        <v/>
      </c>
    </row>
    <row r="48">
      <c r="A48" s="58" t="n">
        <v>1888</v>
      </c>
      <c r="B48" s="65">
        <f>champ_scale*(1+Labour!AP48)*(1+Partners!BX48)*(1-IF(union_resp=2,tariff_cut*Labour!S48,0))</f>
        <v/>
      </c>
      <c r="C48" s="45" t="n">
        <v>780</v>
      </c>
      <c r="D48" s="45" t="n">
        <v>260</v>
      </c>
      <c r="E48" s="45" t="n">
        <v>2200</v>
      </c>
      <c r="F48" s="47">
        <f>E48*B48</f>
        <v/>
      </c>
      <c r="G48" s="47">
        <f>F48/Economy!B48*1000000</f>
        <v/>
      </c>
      <c r="H48" s="45" t="n">
        <v>373</v>
      </c>
      <c r="I48" s="67">
        <f>IF(H48&gt;0,G48/H48,0)</f>
        <v/>
      </c>
      <c r="J48" s="68" t="n">
        <v>0</v>
      </c>
      <c r="K48" s="53">
        <f>Resources!K48*J48*B48</f>
        <v/>
      </c>
      <c r="L48" s="45" t="n">
        <v>0</v>
      </c>
      <c r="M48" s="59" t="n">
        <v>0</v>
      </c>
      <c r="N48" s="45" t="n">
        <v>5</v>
      </c>
      <c r="O48" s="68" t="n">
        <v>0.58</v>
      </c>
      <c r="P48" s="53">
        <f>(IF(Gulf!E48=1,0,L48*M48)+N48)*O48*B48</f>
        <v/>
      </c>
      <c r="Q48" s="53">
        <f>P48*oil_book</f>
        <v/>
      </c>
      <c r="R48" s="68" t="n">
        <v>0.384</v>
      </c>
      <c r="S48" s="45" t="n">
        <v>20</v>
      </c>
      <c r="T48" s="53">
        <f>R48*S48*B48</f>
        <v/>
      </c>
      <c r="U48" s="45" t="n">
        <v>0</v>
      </c>
      <c r="V48" s="45" t="n">
        <v>0</v>
      </c>
      <c r="W48" s="53">
        <f>U48/1000*V48*B48</f>
        <v/>
      </c>
      <c r="X48" s="45" t="n">
        <v>840</v>
      </c>
      <c r="Y48" s="59" t="n">
        <v>0.022</v>
      </c>
      <c r="Z48" s="53">
        <f>X48*Y48*chem_va*B48</f>
        <v/>
      </c>
      <c r="AA48" s="59" t="n">
        <v>0.008999999999999999</v>
      </c>
      <c r="AB48" s="53">
        <f>X48*AA48*roy_rate*B48*(1-IF(union_resp=2,lic_cut*Labour!S48,0))</f>
        <v/>
      </c>
      <c r="AC48" s="45" t="n">
        <v>72</v>
      </c>
      <c r="AD48" s="59" t="n">
        <v>0.18</v>
      </c>
      <c r="AE48" s="59" t="n">
        <v>0.21</v>
      </c>
      <c r="AF48" s="53">
        <f>AC48*AD48*elec_va*B48</f>
        <v/>
      </c>
      <c r="AG48" s="53">
        <f>MAX(0,AE48-AD48)*AC48*roy_rate*B48*(1-IF(union_resp=2,lic_cut*Labour!S48,0))</f>
        <v/>
      </c>
      <c r="AH48" s="52" t="n">
        <v>13</v>
      </c>
      <c r="AI48" s="53">
        <f>AH48*B48</f>
        <v/>
      </c>
      <c r="AJ48" s="52" t="n">
        <v>14</v>
      </c>
      <c r="AK48" s="53">
        <f>AJ48*B48</f>
        <v/>
      </c>
      <c r="AL48" s="45" t="n">
        <v>26</v>
      </c>
      <c r="AM48" s="53">
        <f>AL48*uw_fee*B48</f>
        <v/>
      </c>
      <c r="AN48" s="52" t="n">
        <v>0</v>
      </c>
      <c r="AO48" s="52" t="n">
        <v>0</v>
      </c>
      <c r="AP48" s="53">
        <f>K48+T48+W48+Z48+AF48+AI48+AK48+AM48+AN48+AO48</f>
        <v/>
      </c>
      <c r="AQ48" s="53">
        <f>AP48*(1-1/champ_prem+champ_spill)</f>
        <v/>
      </c>
      <c r="AR48" s="63">
        <f>AP48/Economy!O48</f>
        <v/>
      </c>
      <c r="AS48" s="52" t="n">
        <v>70</v>
      </c>
      <c r="AT48" s="52" t="n">
        <v>22</v>
      </c>
      <c r="AU48" s="52" t="n">
        <v>0</v>
      </c>
      <c r="AV48" s="52" t="n">
        <v>0</v>
      </c>
      <c r="AW48" s="52" t="n">
        <v>3</v>
      </c>
      <c r="AX48" s="52" t="n">
        <v>0</v>
      </c>
      <c r="AY48" s="53">
        <f>Q48+(AS48+AT48+AU48+AV48+AW48+AX48)*B48</f>
        <v/>
      </c>
      <c r="AZ48" s="53">
        <f>P48+(AS48*ret_rail+AT48*ret_tel+AU48*ret_elec+AV48*ret_auto+AW48*ret_chem+AX48*ret_steel)*B48*IF(OR($A48=1931,$A48=1932),abroad_slump,1)+AB48+AG48</f>
        <v/>
      </c>
      <c r="BA48" s="53">
        <f>AP48*champ_profit+AZ48</f>
        <v/>
      </c>
      <c r="BB48" s="53">
        <f>(K48+AI48+AK48)*champ_profit+P48+(AS48*ret_rail+AT48*ret_tel+AU48*ret_elec)*B48*IF(OR($A48=1931,$A48=1932),abroad_slump,1)</f>
        <v/>
      </c>
      <c r="BC48" s="53">
        <f>(T48+W48+Z48+AF48+AN48+AO48)*champ_profit+(AV48*ret_auto+AW48*ret_chem+AX48*ret_steel)*B48*IF(OR($A48=1931,$A48=1932),abroad_slump,1)+AB48+AG48</f>
        <v/>
      </c>
      <c r="BD48" s="53">
        <f>IF($A48&gt;=crown_start,(BB48*crown_charter+BC48*crown_comp)*crown_payout,0)</f>
        <v/>
      </c>
      <c r="BE48" s="63">
        <f>IF(BB48+BC48&gt;0,(BB48*crown_charter+BC48*crown_comp)/(BA48),0)</f>
        <v/>
      </c>
    </row>
    <row r="49">
      <c r="A49" s="58" t="n">
        <v>1889</v>
      </c>
      <c r="B49" s="65">
        <f>champ_scale*(1+Labour!AP49)*(1+Partners!BX49)*(1-IF(union_resp=2,tariff_cut*Labour!S49,0))</f>
        <v/>
      </c>
      <c r="C49" s="45" t="n">
        <v>840</v>
      </c>
      <c r="D49" s="45" t="n">
        <v>280</v>
      </c>
      <c r="E49" s="45" t="n">
        <v>2350</v>
      </c>
      <c r="F49" s="47">
        <f>E49*B49</f>
        <v/>
      </c>
      <c r="G49" s="47">
        <f>F49/Economy!B49*1000000</f>
        <v/>
      </c>
      <c r="H49" s="45" t="n">
        <v>388</v>
      </c>
      <c r="I49" s="67">
        <f>IF(H49&gt;0,G49/H49,0)</f>
        <v/>
      </c>
      <c r="J49" s="68" t="n">
        <v>0</v>
      </c>
      <c r="K49" s="53">
        <f>Resources!K49*J49*B49</f>
        <v/>
      </c>
      <c r="L49" s="45" t="n">
        <v>0</v>
      </c>
      <c r="M49" s="59" t="n">
        <v>0</v>
      </c>
      <c r="N49" s="45" t="n">
        <v>5</v>
      </c>
      <c r="O49" s="68" t="n">
        <v>0.578</v>
      </c>
      <c r="P49" s="53">
        <f>(IF(Gulf!E49=1,0,L49*M49)+N49)*O49*B49</f>
        <v/>
      </c>
      <c r="Q49" s="53">
        <f>P49*oil_book</f>
        <v/>
      </c>
      <c r="R49" s="68" t="n">
        <v>0.417</v>
      </c>
      <c r="S49" s="45" t="n">
        <v>19</v>
      </c>
      <c r="T49" s="53">
        <f>R49*S49*B49</f>
        <v/>
      </c>
      <c r="U49" s="45" t="n">
        <v>0</v>
      </c>
      <c r="V49" s="45" t="n">
        <v>0</v>
      </c>
      <c r="W49" s="53">
        <f>U49/1000*V49*B49</f>
        <v/>
      </c>
      <c r="X49" s="45" t="n">
        <v>870</v>
      </c>
      <c r="Y49" s="59" t="n">
        <v>0.024</v>
      </c>
      <c r="Z49" s="53">
        <f>X49*Y49*chem_va*B49</f>
        <v/>
      </c>
      <c r="AA49" s="59" t="n">
        <v>0.01</v>
      </c>
      <c r="AB49" s="53">
        <f>X49*AA49*roy_rate*B49*(1-IF(union_resp=2,lic_cut*Labour!S49,0))</f>
        <v/>
      </c>
      <c r="AC49" s="45" t="n">
        <v>86</v>
      </c>
      <c r="AD49" s="59" t="n">
        <v>0.19</v>
      </c>
      <c r="AE49" s="59" t="n">
        <v>0.23</v>
      </c>
      <c r="AF49" s="53">
        <f>AC49*AD49*elec_va*B49</f>
        <v/>
      </c>
      <c r="AG49" s="53">
        <f>MAX(0,AE49-AD49)*AC49*roy_rate*B49*(1-IF(union_resp=2,lic_cut*Labour!S49,0))</f>
        <v/>
      </c>
      <c r="AH49" s="52" t="n">
        <v>14</v>
      </c>
      <c r="AI49" s="53">
        <f>AH49*B49</f>
        <v/>
      </c>
      <c r="AJ49" s="52" t="n">
        <v>14</v>
      </c>
      <c r="AK49" s="53">
        <f>AJ49*B49</f>
        <v/>
      </c>
      <c r="AL49" s="45" t="n">
        <v>28</v>
      </c>
      <c r="AM49" s="53">
        <f>AL49*uw_fee*B49</f>
        <v/>
      </c>
      <c r="AN49" s="52" t="n">
        <v>0</v>
      </c>
      <c r="AO49" s="52" t="n">
        <v>0</v>
      </c>
      <c r="AP49" s="53">
        <f>K49+T49+W49+Z49+AF49+AI49+AK49+AM49+AN49+AO49</f>
        <v/>
      </c>
      <c r="AQ49" s="53">
        <f>AP49*(1-1/champ_prem+champ_spill)</f>
        <v/>
      </c>
      <c r="AR49" s="63">
        <f>AP49/Economy!O49</f>
        <v/>
      </c>
      <c r="AS49" s="52" t="n">
        <v>75</v>
      </c>
      <c r="AT49" s="52" t="n">
        <v>24</v>
      </c>
      <c r="AU49" s="52" t="n">
        <v>0</v>
      </c>
      <c r="AV49" s="52" t="n">
        <v>0</v>
      </c>
      <c r="AW49" s="52" t="n">
        <v>3</v>
      </c>
      <c r="AX49" s="52" t="n">
        <v>0</v>
      </c>
      <c r="AY49" s="53">
        <f>Q49+(AS49+AT49+AU49+AV49+AW49+AX49)*B49</f>
        <v/>
      </c>
      <c r="AZ49" s="53">
        <f>P49+(AS49*ret_rail+AT49*ret_tel+AU49*ret_elec+AV49*ret_auto+AW49*ret_chem+AX49*ret_steel)*B49*IF(OR($A49=1931,$A49=1932),abroad_slump,1)+AB49+AG49</f>
        <v/>
      </c>
      <c r="BA49" s="53">
        <f>AP49*champ_profit+AZ49</f>
        <v/>
      </c>
      <c r="BB49" s="53">
        <f>(K49+AI49+AK49)*champ_profit+P49+(AS49*ret_rail+AT49*ret_tel+AU49*ret_elec)*B49*IF(OR($A49=1931,$A49=1932),abroad_slump,1)</f>
        <v/>
      </c>
      <c r="BC49" s="53">
        <f>(T49+W49+Z49+AF49+AN49+AO49)*champ_profit+(AV49*ret_auto+AW49*ret_chem+AX49*ret_steel)*B49*IF(OR($A49=1931,$A49=1932),abroad_slump,1)+AB49+AG49</f>
        <v/>
      </c>
      <c r="BD49" s="53">
        <f>IF($A49&gt;=crown_start,(BB49*crown_charter+BC49*crown_comp)*crown_payout,0)</f>
        <v/>
      </c>
      <c r="BE49" s="63">
        <f>IF(BB49+BC49&gt;0,(BB49*crown_charter+BC49*crown_comp)/(BA49),0)</f>
        <v/>
      </c>
    </row>
    <row r="50">
      <c r="A50" s="58" t="n">
        <v>1890</v>
      </c>
      <c r="B50" s="65">
        <f>champ_scale*(1+Labour!AP50)*(1+Partners!BX50)*(1-IF(union_resp=2,tariff_cut*Labour!S50,0))</f>
        <v/>
      </c>
      <c r="C50" s="45" t="n">
        <v>900</v>
      </c>
      <c r="D50" s="45" t="n">
        <v>300</v>
      </c>
      <c r="E50" s="45" t="n">
        <v>2500</v>
      </c>
      <c r="F50" s="47">
        <f>E50*B50</f>
        <v/>
      </c>
      <c r="G50" s="47">
        <f>F50/Economy!B50*1000000</f>
        <v/>
      </c>
      <c r="H50" s="45" t="n">
        <v>402</v>
      </c>
      <c r="I50" s="67">
        <f>IF(H50&gt;0,G50/H50,0)</f>
        <v/>
      </c>
      <c r="J50" s="68" t="n">
        <v>0.3</v>
      </c>
      <c r="K50" s="53">
        <f>Resources!K50*J50*B50</f>
        <v/>
      </c>
      <c r="L50" s="45" t="n">
        <v>0</v>
      </c>
      <c r="M50" s="59" t="n">
        <v>0</v>
      </c>
      <c r="N50" s="45" t="n">
        <v>6</v>
      </c>
      <c r="O50" s="68" t="n">
        <v>0.575</v>
      </c>
      <c r="P50" s="53">
        <f>(IF(Gulf!E50=1,0,L50*M50)+N50)*O50*B50</f>
        <v/>
      </c>
      <c r="Q50" s="53">
        <f>P50*oil_book</f>
        <v/>
      </c>
      <c r="R50" s="68" t="n">
        <v>0.45</v>
      </c>
      <c r="S50" s="45" t="n">
        <v>18</v>
      </c>
      <c r="T50" s="53">
        <f>R50*S50*B50</f>
        <v/>
      </c>
      <c r="U50" s="45" t="n">
        <v>0</v>
      </c>
      <c r="V50" s="45" t="n">
        <v>0</v>
      </c>
      <c r="W50" s="53">
        <f>U50/1000*V50*B50</f>
        <v/>
      </c>
      <c r="X50" s="45" t="n">
        <v>900</v>
      </c>
      <c r="Y50" s="59" t="n">
        <v>0.025</v>
      </c>
      <c r="Z50" s="53">
        <f>X50*Y50*chem_va*B50</f>
        <v/>
      </c>
      <c r="AA50" s="59" t="n">
        <v>0.01</v>
      </c>
      <c r="AB50" s="53">
        <f>X50*AA50*roy_rate*B50*(1-IF(union_resp=2,lic_cut*Labour!S50,0))</f>
        <v/>
      </c>
      <c r="AC50" s="45" t="n">
        <v>100</v>
      </c>
      <c r="AD50" s="59" t="n">
        <v>0.2</v>
      </c>
      <c r="AE50" s="59" t="n">
        <v>0.25</v>
      </c>
      <c r="AF50" s="53">
        <f>AC50*AD50*elec_va*B50</f>
        <v/>
      </c>
      <c r="AG50" s="53">
        <f>MAX(0,AE50-AD50)*AC50*roy_rate*B50*(1-IF(union_resp=2,lic_cut*Labour!S50,0))</f>
        <v/>
      </c>
      <c r="AH50" s="52" t="n">
        <v>15</v>
      </c>
      <c r="AI50" s="53">
        <f>AH50*B50</f>
        <v/>
      </c>
      <c r="AJ50" s="52" t="n">
        <v>15</v>
      </c>
      <c r="AK50" s="53">
        <f>AJ50*B50</f>
        <v/>
      </c>
      <c r="AL50" s="45" t="n">
        <v>30</v>
      </c>
      <c r="AM50" s="53">
        <f>AL50*uw_fee*B50</f>
        <v/>
      </c>
      <c r="AN50" s="52" t="n">
        <v>0</v>
      </c>
      <c r="AO50" s="52" t="n">
        <v>0</v>
      </c>
      <c r="AP50" s="53">
        <f>K50+T50+W50+Z50+AF50+AI50+AK50+AM50+AN50+AO50</f>
        <v/>
      </c>
      <c r="AQ50" s="53">
        <f>AP50*(1-1/champ_prem+champ_spill)</f>
        <v/>
      </c>
      <c r="AR50" s="63">
        <f>AP50/Economy!O50</f>
        <v/>
      </c>
      <c r="AS50" s="52" t="n">
        <v>80</v>
      </c>
      <c r="AT50" s="52" t="n">
        <v>25</v>
      </c>
      <c r="AU50" s="52" t="n">
        <v>5</v>
      </c>
      <c r="AV50" s="52" t="n">
        <v>0</v>
      </c>
      <c r="AW50" s="52" t="n">
        <v>3</v>
      </c>
      <c r="AX50" s="52" t="n">
        <v>0</v>
      </c>
      <c r="AY50" s="53">
        <f>Q50+(AS50+AT50+AU50+AV50+AW50+AX50)*B50</f>
        <v/>
      </c>
      <c r="AZ50" s="53">
        <f>P50+(AS50*ret_rail+AT50*ret_tel+AU50*ret_elec+AV50*ret_auto+AW50*ret_chem+AX50*ret_steel)*B50*IF(OR($A50=1931,$A50=1932),abroad_slump,1)+AB50+AG50</f>
        <v/>
      </c>
      <c r="BA50" s="53">
        <f>AP50*champ_profit+AZ50</f>
        <v/>
      </c>
      <c r="BB50" s="53">
        <f>(K50+AI50+AK50)*champ_profit+P50+(AS50*ret_rail+AT50*ret_tel+AU50*ret_elec)*B50*IF(OR($A50=1931,$A50=1932),abroad_slump,1)</f>
        <v/>
      </c>
      <c r="BC50" s="53">
        <f>(T50+W50+Z50+AF50+AN50+AO50)*champ_profit+(AV50*ret_auto+AW50*ret_chem+AX50*ret_steel)*B50*IF(OR($A50=1931,$A50=1932),abroad_slump,1)+AB50+AG50</f>
        <v/>
      </c>
      <c r="BD50" s="53">
        <f>IF($A50&gt;=crown_start,(BB50*crown_charter+BC50*crown_comp)*crown_payout,0)</f>
        <v/>
      </c>
      <c r="BE50" s="63">
        <f>IF(BB50+BC50&gt;0,(BB50*crown_charter+BC50*crown_comp)/(BA50),0)</f>
        <v/>
      </c>
    </row>
    <row r="51">
      <c r="A51" s="58" t="n">
        <v>1891</v>
      </c>
      <c r="B51" s="65">
        <f>champ_scale*(1+Labour!AP51)*(1+Partners!BX51)*(1-IF(union_resp=2,tariff_cut*Labour!S51,0))</f>
        <v/>
      </c>
      <c r="C51" s="45" t="n">
        <v>1010</v>
      </c>
      <c r="D51" s="45" t="n">
        <v>320</v>
      </c>
      <c r="E51" s="45" t="n">
        <v>2700</v>
      </c>
      <c r="F51" s="47">
        <f>E51*B51</f>
        <v/>
      </c>
      <c r="G51" s="47">
        <f>F51/Economy!B51*1000000</f>
        <v/>
      </c>
      <c r="H51" s="45" t="n">
        <v>394</v>
      </c>
      <c r="I51" s="67">
        <f>IF(H51&gt;0,G51/H51,0)</f>
        <v/>
      </c>
      <c r="J51" s="68" t="n">
        <v>0.307</v>
      </c>
      <c r="K51" s="53">
        <f>Resources!K51*J51*B51</f>
        <v/>
      </c>
      <c r="L51" s="45" t="n">
        <v>0</v>
      </c>
      <c r="M51" s="59" t="n">
        <v>0</v>
      </c>
      <c r="N51" s="45" t="n">
        <v>7</v>
      </c>
      <c r="O51" s="68" t="n">
        <v>0.573</v>
      </c>
      <c r="P51" s="53">
        <f>(IF(Gulf!E51=1,0,L51*M51)+N51)*O51*B51</f>
        <v/>
      </c>
      <c r="Q51" s="53">
        <f>P51*oil_book</f>
        <v/>
      </c>
      <c r="R51" s="68" t="n">
        <v>0.545</v>
      </c>
      <c r="S51" s="45" t="n">
        <v>18</v>
      </c>
      <c r="T51" s="53">
        <f>R51*S51*B51</f>
        <v/>
      </c>
      <c r="U51" s="45" t="n">
        <v>0</v>
      </c>
      <c r="V51" s="45" t="n">
        <v>0</v>
      </c>
      <c r="W51" s="53">
        <f>U51/1000*V51*B51</f>
        <v/>
      </c>
      <c r="X51" s="45" t="n">
        <v>960</v>
      </c>
      <c r="Y51" s="59" t="n">
        <v>0.027</v>
      </c>
      <c r="Z51" s="53">
        <f>X51*Y51*chem_va*B51</f>
        <v/>
      </c>
      <c r="AA51" s="59" t="n">
        <v>0.011</v>
      </c>
      <c r="AB51" s="53">
        <f>X51*AA51*roy_rate*B51*(1-IF(union_resp=2,lic_cut*Labour!S51,0))</f>
        <v/>
      </c>
      <c r="AC51" s="45" t="n">
        <v>130</v>
      </c>
      <c r="AD51" s="59" t="n">
        <v>0.202</v>
      </c>
      <c r="AE51" s="59" t="n">
        <v>0.257</v>
      </c>
      <c r="AF51" s="53">
        <f>AC51*AD51*elec_va*B51</f>
        <v/>
      </c>
      <c r="AG51" s="53">
        <f>MAX(0,AE51-AD51)*AC51*roy_rate*B51*(1-IF(union_resp=2,lic_cut*Labour!S51,0))</f>
        <v/>
      </c>
      <c r="AH51" s="52" t="n">
        <v>17</v>
      </c>
      <c r="AI51" s="53">
        <f>AH51*B51</f>
        <v/>
      </c>
      <c r="AJ51" s="52" t="n">
        <v>16</v>
      </c>
      <c r="AK51" s="53">
        <f>AJ51*B51</f>
        <v/>
      </c>
      <c r="AL51" s="45" t="n">
        <v>36</v>
      </c>
      <c r="AM51" s="53">
        <f>AL51*uw_fee*B51</f>
        <v/>
      </c>
      <c r="AN51" s="52" t="n">
        <v>0</v>
      </c>
      <c r="AO51" s="52" t="n">
        <v>0</v>
      </c>
      <c r="AP51" s="53">
        <f>K51+T51+W51+Z51+AF51+AI51+AK51+AM51+AN51+AO51</f>
        <v/>
      </c>
      <c r="AQ51" s="53">
        <f>AP51*(1-1/champ_prem+champ_spill)</f>
        <v/>
      </c>
      <c r="AR51" s="63">
        <f>AP51/Economy!O51</f>
        <v/>
      </c>
      <c r="AS51" s="52" t="n">
        <v>97</v>
      </c>
      <c r="AT51" s="52" t="n">
        <v>30</v>
      </c>
      <c r="AU51" s="52" t="n">
        <v>8</v>
      </c>
      <c r="AV51" s="52" t="n">
        <v>0</v>
      </c>
      <c r="AW51" s="52" t="n">
        <v>3</v>
      </c>
      <c r="AX51" s="52" t="n">
        <v>0</v>
      </c>
      <c r="AY51" s="53">
        <f>Q51+(AS51+AT51+AU51+AV51+AW51+AX51)*B51</f>
        <v/>
      </c>
      <c r="AZ51" s="53">
        <f>P51+(AS51*ret_rail+AT51*ret_tel+AU51*ret_elec+AV51*ret_auto+AW51*ret_chem+AX51*ret_steel)*B51*IF(OR($A51=1931,$A51=1932),abroad_slump,1)+AB51+AG51</f>
        <v/>
      </c>
      <c r="BA51" s="53">
        <f>AP51*champ_profit+AZ51</f>
        <v/>
      </c>
      <c r="BB51" s="53">
        <f>(K51+AI51+AK51)*champ_profit+P51+(AS51*ret_rail+AT51*ret_tel+AU51*ret_elec)*B51*IF(OR($A51=1931,$A51=1932),abroad_slump,1)</f>
        <v/>
      </c>
      <c r="BC51" s="53">
        <f>(T51+W51+Z51+AF51+AN51+AO51)*champ_profit+(AV51*ret_auto+AW51*ret_chem+AX51*ret_steel)*B51*IF(OR($A51=1931,$A51=1932),abroad_slump,1)+AB51+AG51</f>
        <v/>
      </c>
      <c r="BD51" s="53">
        <f>IF($A51&gt;=crown_start,(BB51*crown_charter+BC51*crown_comp)*crown_payout,0)</f>
        <v/>
      </c>
      <c r="BE51" s="63">
        <f>IF(BB51+BC51&gt;0,(BB51*crown_charter+BC51*crown_comp)/(BA51),0)</f>
        <v/>
      </c>
    </row>
    <row r="52">
      <c r="A52" s="58" t="n">
        <v>1892</v>
      </c>
      <c r="B52" s="65">
        <f>champ_scale*(1+Labour!AP52)*(1+Partners!BX52)*(1-IF(union_resp=2,tariff_cut*Labour!S52,0))</f>
        <v/>
      </c>
      <c r="C52" s="45" t="n">
        <v>1120</v>
      </c>
      <c r="D52" s="45" t="n">
        <v>340</v>
      </c>
      <c r="E52" s="45" t="n">
        <v>2900</v>
      </c>
      <c r="F52" s="47">
        <f>E52*B52</f>
        <v/>
      </c>
      <c r="G52" s="47">
        <f>F52/Economy!B52*1000000</f>
        <v/>
      </c>
      <c r="H52" s="45" t="n">
        <v>386</v>
      </c>
      <c r="I52" s="67">
        <f>IF(H52&gt;0,G52/H52,0)</f>
        <v/>
      </c>
      <c r="J52" s="68" t="n">
        <v>0.313</v>
      </c>
      <c r="K52" s="53">
        <f>Resources!K52*J52*B52</f>
        <v/>
      </c>
      <c r="L52" s="45" t="n">
        <v>0</v>
      </c>
      <c r="M52" s="59" t="n">
        <v>0</v>
      </c>
      <c r="N52" s="45" t="n">
        <v>8</v>
      </c>
      <c r="O52" s="68" t="n">
        <v>0.57</v>
      </c>
      <c r="P52" s="53">
        <f>(IF(Gulf!E52=1,0,L52*M52)+N52)*O52*B52</f>
        <v/>
      </c>
      <c r="Q52" s="53">
        <f>P52*oil_book</f>
        <v/>
      </c>
      <c r="R52" s="68" t="n">
        <v>0.64</v>
      </c>
      <c r="S52" s="45" t="n">
        <v>18</v>
      </c>
      <c r="T52" s="53">
        <f>R52*S52*B52</f>
        <v/>
      </c>
      <c r="U52" s="45" t="n">
        <v>0</v>
      </c>
      <c r="V52" s="45" t="n">
        <v>0</v>
      </c>
      <c r="W52" s="53">
        <f>U52/1000*V52*B52</f>
        <v/>
      </c>
      <c r="X52" s="45" t="n">
        <v>1020</v>
      </c>
      <c r="Y52" s="59" t="n">
        <v>0.029</v>
      </c>
      <c r="Z52" s="53">
        <f>X52*Y52*chem_va*B52</f>
        <v/>
      </c>
      <c r="AA52" s="59" t="n">
        <v>0.012</v>
      </c>
      <c r="AB52" s="53">
        <f>X52*AA52*roy_rate*B52*(1-IF(union_resp=2,lic_cut*Labour!S52,0))</f>
        <v/>
      </c>
      <c r="AC52" s="45" t="n">
        <v>160</v>
      </c>
      <c r="AD52" s="59" t="n">
        <v>0.204</v>
      </c>
      <c r="AE52" s="59" t="n">
        <v>0.264</v>
      </c>
      <c r="AF52" s="53">
        <f>AC52*AD52*elec_va*B52</f>
        <v/>
      </c>
      <c r="AG52" s="53">
        <f>MAX(0,AE52-AD52)*AC52*roy_rate*B52*(1-IF(union_resp=2,lic_cut*Labour!S52,0))</f>
        <v/>
      </c>
      <c r="AH52" s="52" t="n">
        <v>18</v>
      </c>
      <c r="AI52" s="53">
        <f>AH52*B52</f>
        <v/>
      </c>
      <c r="AJ52" s="52" t="n">
        <v>18</v>
      </c>
      <c r="AK52" s="53">
        <f>AJ52*B52</f>
        <v/>
      </c>
      <c r="AL52" s="45" t="n">
        <v>42</v>
      </c>
      <c r="AM52" s="53">
        <f>AL52*uw_fee*B52</f>
        <v/>
      </c>
      <c r="AN52" s="52" t="n">
        <v>0</v>
      </c>
      <c r="AO52" s="52" t="n">
        <v>0</v>
      </c>
      <c r="AP52" s="53">
        <f>K52+T52+W52+Z52+AF52+AI52+AK52+AM52+AN52+AO52</f>
        <v/>
      </c>
      <c r="AQ52" s="53">
        <f>AP52*(1-1/champ_prem+champ_spill)</f>
        <v/>
      </c>
      <c r="AR52" s="63">
        <f>AP52/Economy!O52</f>
        <v/>
      </c>
      <c r="AS52" s="52" t="n">
        <v>114</v>
      </c>
      <c r="AT52" s="52" t="n">
        <v>34</v>
      </c>
      <c r="AU52" s="52" t="n">
        <v>12</v>
      </c>
      <c r="AV52" s="52" t="n">
        <v>0</v>
      </c>
      <c r="AW52" s="52" t="n">
        <v>3</v>
      </c>
      <c r="AX52" s="52" t="n">
        <v>0</v>
      </c>
      <c r="AY52" s="53">
        <f>Q52+(AS52+AT52+AU52+AV52+AW52+AX52)*B52</f>
        <v/>
      </c>
      <c r="AZ52" s="53">
        <f>P52+(AS52*ret_rail+AT52*ret_tel+AU52*ret_elec+AV52*ret_auto+AW52*ret_chem+AX52*ret_steel)*B52*IF(OR($A52=1931,$A52=1932),abroad_slump,1)+AB52+AG52</f>
        <v/>
      </c>
      <c r="BA52" s="53">
        <f>AP52*champ_profit+AZ52</f>
        <v/>
      </c>
      <c r="BB52" s="53">
        <f>(K52+AI52+AK52)*champ_profit+P52+(AS52*ret_rail+AT52*ret_tel+AU52*ret_elec)*B52*IF(OR($A52=1931,$A52=1932),abroad_slump,1)</f>
        <v/>
      </c>
      <c r="BC52" s="53">
        <f>(T52+W52+Z52+AF52+AN52+AO52)*champ_profit+(AV52*ret_auto+AW52*ret_chem+AX52*ret_steel)*B52*IF(OR($A52=1931,$A52=1932),abroad_slump,1)+AB52+AG52</f>
        <v/>
      </c>
      <c r="BD52" s="53">
        <f>IF($A52&gt;=crown_start,(BB52*crown_charter+BC52*crown_comp)*crown_payout,0)</f>
        <v/>
      </c>
      <c r="BE52" s="63">
        <f>IF(BB52+BC52&gt;0,(BB52*crown_charter+BC52*crown_comp)/(BA52),0)</f>
        <v/>
      </c>
    </row>
    <row r="53">
      <c r="A53" s="58" t="n">
        <v>1893</v>
      </c>
      <c r="B53" s="65">
        <f>champ_scale*(1+Labour!AP53)*(1+Partners!BX53)*(1-IF(union_resp=2,tariff_cut*Labour!S53,0))</f>
        <v/>
      </c>
      <c r="C53" s="45" t="n">
        <v>1230</v>
      </c>
      <c r="D53" s="45" t="n">
        <v>360</v>
      </c>
      <c r="E53" s="45" t="n">
        <v>3100</v>
      </c>
      <c r="F53" s="47">
        <f>E53*B53</f>
        <v/>
      </c>
      <c r="G53" s="47">
        <f>F53/Economy!B53*1000000</f>
        <v/>
      </c>
      <c r="H53" s="45" t="n">
        <v>379</v>
      </c>
      <c r="I53" s="67">
        <f>IF(H53&gt;0,G53/H53,0)</f>
        <v/>
      </c>
      <c r="J53" s="68" t="n">
        <v>0.32</v>
      </c>
      <c r="K53" s="53">
        <f>Resources!K53*J53*B53</f>
        <v/>
      </c>
      <c r="L53" s="45" t="n">
        <v>0</v>
      </c>
      <c r="M53" s="59" t="n">
        <v>0</v>
      </c>
      <c r="N53" s="45" t="n">
        <v>9</v>
      </c>
      <c r="O53" s="68" t="n">
        <v>0.5679999999999999</v>
      </c>
      <c r="P53" s="53">
        <f>(IF(Gulf!E53=1,0,L53*M53)+N53)*O53*B53</f>
        <v/>
      </c>
      <c r="Q53" s="53">
        <f>P53*oil_book</f>
        <v/>
      </c>
      <c r="R53" s="68" t="n">
        <v>0.735</v>
      </c>
      <c r="S53" s="45" t="n">
        <v>17</v>
      </c>
      <c r="T53" s="53">
        <f>R53*S53*B53</f>
        <v/>
      </c>
      <c r="U53" s="45" t="n">
        <v>0</v>
      </c>
      <c r="V53" s="45" t="n">
        <v>0</v>
      </c>
      <c r="W53" s="53">
        <f>U53/1000*V53*B53</f>
        <v/>
      </c>
      <c r="X53" s="45" t="n">
        <v>1080</v>
      </c>
      <c r="Y53" s="59" t="n">
        <v>0.031</v>
      </c>
      <c r="Z53" s="53">
        <f>X53*Y53*chem_va*B53</f>
        <v/>
      </c>
      <c r="AA53" s="59" t="n">
        <v>0.013</v>
      </c>
      <c r="AB53" s="53">
        <f>X53*AA53*roy_rate*B53*(1-IF(union_resp=2,lic_cut*Labour!S53,0))</f>
        <v/>
      </c>
      <c r="AC53" s="45" t="n">
        <v>190</v>
      </c>
      <c r="AD53" s="59" t="n">
        <v>0.206</v>
      </c>
      <c r="AE53" s="59" t="n">
        <v>0.271</v>
      </c>
      <c r="AF53" s="53">
        <f>AC53*AD53*elec_va*B53</f>
        <v/>
      </c>
      <c r="AG53" s="53">
        <f>MAX(0,AE53-AD53)*AC53*roy_rate*B53*(1-IF(union_resp=2,lic_cut*Labour!S53,0))</f>
        <v/>
      </c>
      <c r="AH53" s="52" t="n">
        <v>20</v>
      </c>
      <c r="AI53" s="53">
        <f>AH53*B53</f>
        <v/>
      </c>
      <c r="AJ53" s="52" t="n">
        <v>20</v>
      </c>
      <c r="AK53" s="53">
        <f>AJ53*B53</f>
        <v/>
      </c>
      <c r="AL53" s="45" t="n">
        <v>48</v>
      </c>
      <c r="AM53" s="53">
        <f>AL53*uw_fee*B53</f>
        <v/>
      </c>
      <c r="AN53" s="52" t="n">
        <v>0</v>
      </c>
      <c r="AO53" s="52" t="n">
        <v>0</v>
      </c>
      <c r="AP53" s="53">
        <f>K53+T53+W53+Z53+AF53+AI53+AK53+AM53+AN53+AO53</f>
        <v/>
      </c>
      <c r="AQ53" s="53">
        <f>AP53*(1-1/champ_prem+champ_spill)</f>
        <v/>
      </c>
      <c r="AR53" s="63">
        <f>AP53/Economy!O53</f>
        <v/>
      </c>
      <c r="AS53" s="52" t="n">
        <v>131</v>
      </c>
      <c r="AT53" s="52" t="n">
        <v>38</v>
      </c>
      <c r="AU53" s="52" t="n">
        <v>16</v>
      </c>
      <c r="AV53" s="52" t="n">
        <v>0</v>
      </c>
      <c r="AW53" s="52" t="n">
        <v>4</v>
      </c>
      <c r="AX53" s="52" t="n">
        <v>0</v>
      </c>
      <c r="AY53" s="53">
        <f>Q53+(AS53+AT53+AU53+AV53+AW53+AX53)*B53</f>
        <v/>
      </c>
      <c r="AZ53" s="53">
        <f>P53+(AS53*ret_rail+AT53*ret_tel+AU53*ret_elec+AV53*ret_auto+AW53*ret_chem+AX53*ret_steel)*B53*IF(OR($A53=1931,$A53=1932),abroad_slump,1)+AB53+AG53</f>
        <v/>
      </c>
      <c r="BA53" s="53">
        <f>AP53*champ_profit+AZ53</f>
        <v/>
      </c>
      <c r="BB53" s="53">
        <f>(K53+AI53+AK53)*champ_profit+P53+(AS53*ret_rail+AT53*ret_tel+AU53*ret_elec)*B53*IF(OR($A53=1931,$A53=1932),abroad_slump,1)</f>
        <v/>
      </c>
      <c r="BC53" s="53">
        <f>(T53+W53+Z53+AF53+AN53+AO53)*champ_profit+(AV53*ret_auto+AW53*ret_chem+AX53*ret_steel)*B53*IF(OR($A53=1931,$A53=1932),abroad_slump,1)+AB53+AG53</f>
        <v/>
      </c>
      <c r="BD53" s="53">
        <f>IF($A53&gt;=crown_start,(BB53*crown_charter+BC53*crown_comp)*crown_payout,0)</f>
        <v/>
      </c>
      <c r="BE53" s="63">
        <f>IF(BB53+BC53&gt;0,(BB53*crown_charter+BC53*crown_comp)/(BA53),0)</f>
        <v/>
      </c>
    </row>
    <row r="54">
      <c r="A54" s="58" t="n">
        <v>1894</v>
      </c>
      <c r="B54" s="65">
        <f>champ_scale*(1+Labour!AP54)*(1+Partners!BX54)*(1-IF(union_resp=2,tariff_cut*Labour!S54,0))</f>
        <v/>
      </c>
      <c r="C54" s="45" t="n">
        <v>1340</v>
      </c>
      <c r="D54" s="45" t="n">
        <v>380</v>
      </c>
      <c r="E54" s="45" t="n">
        <v>3300</v>
      </c>
      <c r="F54" s="47">
        <f>E54*B54</f>
        <v/>
      </c>
      <c r="G54" s="47">
        <f>F54/Economy!B54*1000000</f>
        <v/>
      </c>
      <c r="H54" s="45" t="n">
        <v>371</v>
      </c>
      <c r="I54" s="67">
        <f>IF(H54&gt;0,G54/H54,0)</f>
        <v/>
      </c>
      <c r="J54" s="68" t="n">
        <v>0.326</v>
      </c>
      <c r="K54" s="53">
        <f>Resources!K54*J54*B54</f>
        <v/>
      </c>
      <c r="L54" s="45" t="n">
        <v>0</v>
      </c>
      <c r="M54" s="59" t="n">
        <v>0</v>
      </c>
      <c r="N54" s="45" t="n">
        <v>10</v>
      </c>
      <c r="O54" s="68" t="n">
        <v>0.5649999999999999</v>
      </c>
      <c r="P54" s="53">
        <f>(IF(Gulf!E54=1,0,L54*M54)+N54)*O54*B54</f>
        <v/>
      </c>
      <c r="Q54" s="53">
        <f>P54*oil_book</f>
        <v/>
      </c>
      <c r="R54" s="68" t="n">
        <v>0.83</v>
      </c>
      <c r="S54" s="45" t="n">
        <v>17</v>
      </c>
      <c r="T54" s="53">
        <f>R54*S54*B54</f>
        <v/>
      </c>
      <c r="U54" s="45" t="n">
        <v>0</v>
      </c>
      <c r="V54" s="45" t="n">
        <v>0</v>
      </c>
      <c r="W54" s="53">
        <f>U54/1000*V54*B54</f>
        <v/>
      </c>
      <c r="X54" s="45" t="n">
        <v>1140</v>
      </c>
      <c r="Y54" s="59" t="n">
        <v>0.033</v>
      </c>
      <c r="Z54" s="53">
        <f>X54*Y54*chem_va*B54</f>
        <v/>
      </c>
      <c r="AA54" s="59" t="n">
        <v>0.014</v>
      </c>
      <c r="AB54" s="53">
        <f>X54*AA54*roy_rate*B54*(1-IF(union_resp=2,lic_cut*Labour!S54,0))</f>
        <v/>
      </c>
      <c r="AC54" s="45" t="n">
        <v>220</v>
      </c>
      <c r="AD54" s="59" t="n">
        <v>0.208</v>
      </c>
      <c r="AE54" s="59" t="n">
        <v>0.278</v>
      </c>
      <c r="AF54" s="53">
        <f>AC54*AD54*elec_va*B54</f>
        <v/>
      </c>
      <c r="AG54" s="53">
        <f>MAX(0,AE54-AD54)*AC54*roy_rate*B54*(1-IF(union_resp=2,lic_cut*Labour!S54,0))</f>
        <v/>
      </c>
      <c r="AH54" s="52" t="n">
        <v>22</v>
      </c>
      <c r="AI54" s="53">
        <f>AH54*B54</f>
        <v/>
      </c>
      <c r="AJ54" s="52" t="n">
        <v>21</v>
      </c>
      <c r="AK54" s="53">
        <f>AJ54*B54</f>
        <v/>
      </c>
      <c r="AL54" s="45" t="n">
        <v>54</v>
      </c>
      <c r="AM54" s="53">
        <f>AL54*uw_fee*B54</f>
        <v/>
      </c>
      <c r="AN54" s="52" t="n">
        <v>0</v>
      </c>
      <c r="AO54" s="52" t="n">
        <v>0</v>
      </c>
      <c r="AP54" s="53">
        <f>K54+T54+W54+Z54+AF54+AI54+AK54+AM54+AN54+AO54</f>
        <v/>
      </c>
      <c r="AQ54" s="53">
        <f>AP54*(1-1/champ_prem+champ_spill)</f>
        <v/>
      </c>
      <c r="AR54" s="63">
        <f>AP54/Economy!O54</f>
        <v/>
      </c>
      <c r="AS54" s="52" t="n">
        <v>148</v>
      </c>
      <c r="AT54" s="52" t="n">
        <v>43</v>
      </c>
      <c r="AU54" s="52" t="n">
        <v>19</v>
      </c>
      <c r="AV54" s="52" t="n">
        <v>0</v>
      </c>
      <c r="AW54" s="52" t="n">
        <v>4</v>
      </c>
      <c r="AX54" s="52" t="n">
        <v>0</v>
      </c>
      <c r="AY54" s="53">
        <f>Q54+(AS54+AT54+AU54+AV54+AW54+AX54)*B54</f>
        <v/>
      </c>
      <c r="AZ54" s="53">
        <f>P54+(AS54*ret_rail+AT54*ret_tel+AU54*ret_elec+AV54*ret_auto+AW54*ret_chem+AX54*ret_steel)*B54*IF(OR($A54=1931,$A54=1932),abroad_slump,1)+AB54+AG54</f>
        <v/>
      </c>
      <c r="BA54" s="53">
        <f>AP54*champ_profit+AZ54</f>
        <v/>
      </c>
      <c r="BB54" s="53">
        <f>(K54+AI54+AK54)*champ_profit+P54+(AS54*ret_rail+AT54*ret_tel+AU54*ret_elec)*B54*IF(OR($A54=1931,$A54=1932),abroad_slump,1)</f>
        <v/>
      </c>
      <c r="BC54" s="53">
        <f>(T54+W54+Z54+AF54+AN54+AO54)*champ_profit+(AV54*ret_auto+AW54*ret_chem+AX54*ret_steel)*B54*IF(OR($A54=1931,$A54=1932),abroad_slump,1)+AB54+AG54</f>
        <v/>
      </c>
      <c r="BD54" s="53">
        <f>IF($A54&gt;=crown_start,(BB54*crown_charter+BC54*crown_comp)*crown_payout,0)</f>
        <v/>
      </c>
      <c r="BE54" s="63">
        <f>IF(BB54+BC54&gt;0,(BB54*crown_charter+BC54*crown_comp)/(BA54),0)</f>
        <v/>
      </c>
    </row>
    <row r="55">
      <c r="A55" s="58" t="n">
        <v>1895</v>
      </c>
      <c r="B55" s="65">
        <f>champ_scale*(1+Labour!AP55)*(1+Partners!BX55)*(1-IF(union_resp=2,tariff_cut*Labour!S55,0))</f>
        <v/>
      </c>
      <c r="C55" s="45" t="n">
        <v>1450</v>
      </c>
      <c r="D55" s="45" t="n">
        <v>400</v>
      </c>
      <c r="E55" s="45" t="n">
        <v>3500</v>
      </c>
      <c r="F55" s="47">
        <f>E55*B55</f>
        <v/>
      </c>
      <c r="G55" s="47">
        <f>F55/Economy!B55*1000000</f>
        <v/>
      </c>
      <c r="H55" s="45" t="n">
        <v>363</v>
      </c>
      <c r="I55" s="67">
        <f>IF(H55&gt;0,G55/H55,0)</f>
        <v/>
      </c>
      <c r="J55" s="68" t="n">
        <v>0.333</v>
      </c>
      <c r="K55" s="53">
        <f>Resources!K55*J55*B55</f>
        <v/>
      </c>
      <c r="L55" s="45" t="n">
        <v>0</v>
      </c>
      <c r="M55" s="59" t="n">
        <v>0</v>
      </c>
      <c r="N55" s="45" t="n">
        <v>10</v>
      </c>
      <c r="O55" s="68" t="n">
        <v>0.5620000000000001</v>
      </c>
      <c r="P55" s="53">
        <f>(IF(Gulf!E55=1,0,L55*M55)+N55)*O55*B55</f>
        <v/>
      </c>
      <c r="Q55" s="53">
        <f>P55*oil_book</f>
        <v/>
      </c>
      <c r="R55" s="68" t="n">
        <v>0.925</v>
      </c>
      <c r="S55" s="45" t="n">
        <v>17</v>
      </c>
      <c r="T55" s="53">
        <f>R55*S55*B55</f>
        <v/>
      </c>
      <c r="U55" s="45" t="n">
        <v>0</v>
      </c>
      <c r="V55" s="45" t="n">
        <v>0</v>
      </c>
      <c r="W55" s="53">
        <f>U55/1000*V55*B55</f>
        <v/>
      </c>
      <c r="X55" s="45" t="n">
        <v>1200</v>
      </c>
      <c r="Y55" s="59" t="n">
        <v>0.035</v>
      </c>
      <c r="Z55" s="53">
        <f>X55*Y55*chem_va*B55</f>
        <v/>
      </c>
      <c r="AA55" s="59" t="n">
        <v>0.015</v>
      </c>
      <c r="AB55" s="53">
        <f>X55*AA55*roy_rate*B55*(1-IF(union_resp=2,lic_cut*Labour!S55,0))</f>
        <v/>
      </c>
      <c r="AC55" s="45" t="n">
        <v>250</v>
      </c>
      <c r="AD55" s="59" t="n">
        <v>0.21</v>
      </c>
      <c r="AE55" s="59" t="n">
        <v>0.285</v>
      </c>
      <c r="AF55" s="53">
        <f>AC55*AD55*elec_va*B55</f>
        <v/>
      </c>
      <c r="AG55" s="53">
        <f>MAX(0,AE55-AD55)*AC55*roy_rate*B55*(1-IF(union_resp=2,lic_cut*Labour!S55,0))</f>
        <v/>
      </c>
      <c r="AH55" s="52" t="n">
        <v>24</v>
      </c>
      <c r="AI55" s="53">
        <f>AH55*B55</f>
        <v/>
      </c>
      <c r="AJ55" s="52" t="n">
        <v>22</v>
      </c>
      <c r="AK55" s="53">
        <f>AJ55*B55</f>
        <v/>
      </c>
      <c r="AL55" s="45" t="n">
        <v>60</v>
      </c>
      <c r="AM55" s="53">
        <f>AL55*uw_fee*B55</f>
        <v/>
      </c>
      <c r="AN55" s="52" t="n">
        <v>0</v>
      </c>
      <c r="AO55" s="52" t="n">
        <v>0</v>
      </c>
      <c r="AP55" s="53">
        <f>K55+T55+W55+Z55+AF55+AI55+AK55+AM55+AN55+AO55</f>
        <v/>
      </c>
      <c r="AQ55" s="53">
        <f>AP55*(1-1/champ_prem+champ_spill)</f>
        <v/>
      </c>
      <c r="AR55" s="63">
        <f>AP55/Economy!O55</f>
        <v/>
      </c>
      <c r="AS55" s="52" t="n">
        <v>165</v>
      </c>
      <c r="AT55" s="52" t="n">
        <v>48</v>
      </c>
      <c r="AU55" s="52" t="n">
        <v>22</v>
      </c>
      <c r="AV55" s="52" t="n">
        <v>0</v>
      </c>
      <c r="AW55" s="52" t="n">
        <v>4</v>
      </c>
      <c r="AX55" s="52" t="n">
        <v>5</v>
      </c>
      <c r="AY55" s="53">
        <f>Q55+(AS55+AT55+AU55+AV55+AW55+AX55)*B55</f>
        <v/>
      </c>
      <c r="AZ55" s="53">
        <f>P55+(AS55*ret_rail+AT55*ret_tel+AU55*ret_elec+AV55*ret_auto+AW55*ret_chem+AX55*ret_steel)*B55*IF(OR($A55=1931,$A55=1932),abroad_slump,1)+AB55+AG55</f>
        <v/>
      </c>
      <c r="BA55" s="53">
        <f>AP55*champ_profit+AZ55</f>
        <v/>
      </c>
      <c r="BB55" s="53">
        <f>(K55+AI55+AK55)*champ_profit+P55+(AS55*ret_rail+AT55*ret_tel+AU55*ret_elec)*B55*IF(OR($A55=1931,$A55=1932),abroad_slump,1)</f>
        <v/>
      </c>
      <c r="BC55" s="53">
        <f>(T55+W55+Z55+AF55+AN55+AO55)*champ_profit+(AV55*ret_auto+AW55*ret_chem+AX55*ret_steel)*B55*IF(OR($A55=1931,$A55=1932),abroad_slump,1)+AB55+AG55</f>
        <v/>
      </c>
      <c r="BD55" s="53">
        <f>IF($A55&gt;=crown_start,(BB55*crown_charter+BC55*crown_comp)*crown_payout,0)</f>
        <v/>
      </c>
      <c r="BE55" s="63">
        <f>IF(BB55+BC55&gt;0,(BB55*crown_charter+BC55*crown_comp)/(BA55),0)</f>
        <v/>
      </c>
    </row>
    <row r="56">
      <c r="A56" s="58" t="n">
        <v>1896</v>
      </c>
      <c r="B56" s="65">
        <f>champ_scale*(1+Labour!AP56)*(1+Partners!BX56)*(1-IF(union_resp=2,tariff_cut*Labour!S56,0))</f>
        <v/>
      </c>
      <c r="C56" s="45" t="n">
        <v>1560</v>
      </c>
      <c r="D56" s="45" t="n">
        <v>420</v>
      </c>
      <c r="E56" s="45" t="n">
        <v>3700</v>
      </c>
      <c r="F56" s="47">
        <f>E56*B56</f>
        <v/>
      </c>
      <c r="G56" s="47">
        <f>F56/Economy!B56*1000000</f>
        <v/>
      </c>
      <c r="H56" s="45" t="n">
        <v>355</v>
      </c>
      <c r="I56" s="67">
        <f>IF(H56&gt;0,G56/H56,0)</f>
        <v/>
      </c>
      <c r="J56" s="68" t="n">
        <v>0.339</v>
      </c>
      <c r="K56" s="53">
        <f>Resources!K56*J56*B56</f>
        <v/>
      </c>
      <c r="L56" s="45" t="n">
        <v>0</v>
      </c>
      <c r="M56" s="59" t="n">
        <v>0</v>
      </c>
      <c r="N56" s="45" t="n">
        <v>11</v>
      </c>
      <c r="O56" s="68" t="n">
        <v>0.5600000000000001</v>
      </c>
      <c r="P56" s="53">
        <f>(IF(Gulf!E56=1,0,L56*M56)+N56)*O56*B56</f>
        <v/>
      </c>
      <c r="Q56" s="53">
        <f>P56*oil_book</f>
        <v/>
      </c>
      <c r="R56" s="68" t="n">
        <v>1.02</v>
      </c>
      <c r="S56" s="45" t="n">
        <v>17</v>
      </c>
      <c r="T56" s="53">
        <f>R56*S56*B56</f>
        <v/>
      </c>
      <c r="U56" s="45" t="n">
        <v>0</v>
      </c>
      <c r="V56" s="45" t="n">
        <v>0</v>
      </c>
      <c r="W56" s="53">
        <f>U56/1000*V56*B56</f>
        <v/>
      </c>
      <c r="X56" s="45" t="n">
        <v>1260</v>
      </c>
      <c r="Y56" s="59" t="n">
        <v>0.037</v>
      </c>
      <c r="Z56" s="53">
        <f>X56*Y56*chem_va*B56</f>
        <v/>
      </c>
      <c r="AA56" s="59" t="n">
        <v>0.016</v>
      </c>
      <c r="AB56" s="53">
        <f>X56*AA56*roy_rate*B56*(1-IF(union_resp=2,lic_cut*Labour!S56,0))</f>
        <v/>
      </c>
      <c r="AC56" s="45" t="n">
        <v>280</v>
      </c>
      <c r="AD56" s="59" t="n">
        <v>0.212</v>
      </c>
      <c r="AE56" s="59" t="n">
        <v>0.292</v>
      </c>
      <c r="AF56" s="53">
        <f>AC56*AD56*elec_va*B56</f>
        <v/>
      </c>
      <c r="AG56" s="53">
        <f>MAX(0,AE56-AD56)*AC56*roy_rate*B56*(1-IF(union_resp=2,lic_cut*Labour!S56,0))</f>
        <v/>
      </c>
      <c r="AH56" s="52" t="n">
        <v>25</v>
      </c>
      <c r="AI56" s="53">
        <f>AH56*B56</f>
        <v/>
      </c>
      <c r="AJ56" s="52" t="n">
        <v>24</v>
      </c>
      <c r="AK56" s="53">
        <f>AJ56*B56</f>
        <v/>
      </c>
      <c r="AL56" s="45" t="n">
        <v>64</v>
      </c>
      <c r="AM56" s="53">
        <f>AL56*uw_fee*B56</f>
        <v/>
      </c>
      <c r="AN56" s="52" t="n">
        <v>0</v>
      </c>
      <c r="AO56" s="52" t="n">
        <v>0</v>
      </c>
      <c r="AP56" s="53">
        <f>K56+T56+W56+Z56+AF56+AI56+AK56+AM56+AN56+AO56</f>
        <v/>
      </c>
      <c r="AQ56" s="53">
        <f>AP56*(1-1/champ_prem+champ_spill)</f>
        <v/>
      </c>
      <c r="AR56" s="63">
        <f>AP56/Economy!O56</f>
        <v/>
      </c>
      <c r="AS56" s="52" t="n">
        <v>182</v>
      </c>
      <c r="AT56" s="52" t="n">
        <v>52</v>
      </c>
      <c r="AU56" s="52" t="n">
        <v>26</v>
      </c>
      <c r="AV56" s="52" t="n">
        <v>0</v>
      </c>
      <c r="AW56" s="52" t="n">
        <v>4</v>
      </c>
      <c r="AX56" s="52" t="n">
        <v>6</v>
      </c>
      <c r="AY56" s="53">
        <f>Q56+(AS56+AT56+AU56+AV56+AW56+AX56)*B56</f>
        <v/>
      </c>
      <c r="AZ56" s="53">
        <f>P56+(AS56*ret_rail+AT56*ret_tel+AU56*ret_elec+AV56*ret_auto+AW56*ret_chem+AX56*ret_steel)*B56*IF(OR($A56=1931,$A56=1932),abroad_slump,1)+AB56+AG56</f>
        <v/>
      </c>
      <c r="BA56" s="53">
        <f>AP56*champ_profit+AZ56</f>
        <v/>
      </c>
      <c r="BB56" s="53">
        <f>(K56+AI56+AK56)*champ_profit+P56+(AS56*ret_rail+AT56*ret_tel+AU56*ret_elec)*B56*IF(OR($A56=1931,$A56=1932),abroad_slump,1)</f>
        <v/>
      </c>
      <c r="BC56" s="53">
        <f>(T56+W56+Z56+AF56+AN56+AO56)*champ_profit+(AV56*ret_auto+AW56*ret_chem+AX56*ret_steel)*B56*IF(OR($A56=1931,$A56=1932),abroad_slump,1)+AB56+AG56</f>
        <v/>
      </c>
      <c r="BD56" s="53">
        <f>IF($A56&gt;=crown_start,(BB56*crown_charter+BC56*crown_comp)*crown_payout,0)</f>
        <v/>
      </c>
      <c r="BE56" s="63">
        <f>IF(BB56+BC56&gt;0,(BB56*crown_charter+BC56*crown_comp)/(BA56),0)</f>
        <v/>
      </c>
    </row>
    <row r="57">
      <c r="A57" s="58" t="n">
        <v>1897</v>
      </c>
      <c r="B57" s="65">
        <f>champ_scale*(1+Labour!AP57)*(1+Partners!BX57)*(1-IF(union_resp=2,tariff_cut*Labour!S57,0))</f>
        <v/>
      </c>
      <c r="C57" s="45" t="n">
        <v>1670</v>
      </c>
      <c r="D57" s="45" t="n">
        <v>440</v>
      </c>
      <c r="E57" s="45" t="n">
        <v>3900</v>
      </c>
      <c r="F57" s="47">
        <f>E57*B57</f>
        <v/>
      </c>
      <c r="G57" s="47">
        <f>F57/Economy!B57*1000000</f>
        <v/>
      </c>
      <c r="H57" s="45" t="n">
        <v>347</v>
      </c>
      <c r="I57" s="67">
        <f>IF(H57&gt;0,G57/H57,0)</f>
        <v/>
      </c>
      <c r="J57" s="68" t="n">
        <v>0.346</v>
      </c>
      <c r="K57" s="53">
        <f>Resources!K57*J57*B57</f>
        <v/>
      </c>
      <c r="L57" s="45" t="n">
        <v>0</v>
      </c>
      <c r="M57" s="59" t="n">
        <v>0</v>
      </c>
      <c r="N57" s="45" t="n">
        <v>12</v>
      </c>
      <c r="O57" s="68" t="n">
        <v>0.5570000000000001</v>
      </c>
      <c r="P57" s="53">
        <f>(IF(Gulf!E57=1,0,L57*M57)+N57)*O57*B57</f>
        <v/>
      </c>
      <c r="Q57" s="53">
        <f>P57*oil_book</f>
        <v/>
      </c>
      <c r="R57" s="68" t="n">
        <v>1.115</v>
      </c>
      <c r="S57" s="45" t="n">
        <v>17</v>
      </c>
      <c r="T57" s="53">
        <f>R57*S57*B57</f>
        <v/>
      </c>
      <c r="U57" s="45" t="n">
        <v>0</v>
      </c>
      <c r="V57" s="45" t="n">
        <v>0</v>
      </c>
      <c r="W57" s="53">
        <f>U57/1000*V57*B57</f>
        <v/>
      </c>
      <c r="X57" s="45" t="n">
        <v>1320</v>
      </c>
      <c r="Y57" s="59" t="n">
        <v>0.039</v>
      </c>
      <c r="Z57" s="53">
        <f>X57*Y57*chem_va*B57</f>
        <v/>
      </c>
      <c r="AA57" s="59" t="n">
        <v>0.017</v>
      </c>
      <c r="AB57" s="53">
        <f>X57*AA57*roy_rate*B57*(1-IF(union_resp=2,lic_cut*Labour!S57,0))</f>
        <v/>
      </c>
      <c r="AC57" s="45" t="n">
        <v>310</v>
      </c>
      <c r="AD57" s="59" t="n">
        <v>0.214</v>
      </c>
      <c r="AE57" s="59" t="n">
        <v>0.299</v>
      </c>
      <c r="AF57" s="53">
        <f>AC57*AD57*elec_va*B57</f>
        <v/>
      </c>
      <c r="AG57" s="53">
        <f>MAX(0,AE57-AD57)*AC57*roy_rate*B57*(1-IF(union_resp=2,lic_cut*Labour!S57,0))</f>
        <v/>
      </c>
      <c r="AH57" s="52" t="n">
        <v>27</v>
      </c>
      <c r="AI57" s="53">
        <f>AH57*B57</f>
        <v/>
      </c>
      <c r="AJ57" s="52" t="n">
        <v>26</v>
      </c>
      <c r="AK57" s="53">
        <f>AJ57*B57</f>
        <v/>
      </c>
      <c r="AL57" s="45" t="n">
        <v>68</v>
      </c>
      <c r="AM57" s="53">
        <f>AL57*uw_fee*B57</f>
        <v/>
      </c>
      <c r="AN57" s="52" t="n">
        <v>0</v>
      </c>
      <c r="AO57" s="52" t="n">
        <v>0</v>
      </c>
      <c r="AP57" s="53">
        <f>K57+T57+W57+Z57+AF57+AI57+AK57+AM57+AN57+AO57</f>
        <v/>
      </c>
      <c r="AQ57" s="53">
        <f>AP57*(1-1/champ_prem+champ_spill)</f>
        <v/>
      </c>
      <c r="AR57" s="63">
        <f>AP57/Economy!O57</f>
        <v/>
      </c>
      <c r="AS57" s="52" t="n">
        <v>199</v>
      </c>
      <c r="AT57" s="52" t="n">
        <v>56</v>
      </c>
      <c r="AU57" s="52" t="n">
        <v>30</v>
      </c>
      <c r="AV57" s="52" t="n">
        <v>0</v>
      </c>
      <c r="AW57" s="52" t="n">
        <v>4</v>
      </c>
      <c r="AX57" s="52" t="n">
        <v>7</v>
      </c>
      <c r="AY57" s="53">
        <f>Q57+(AS57+AT57+AU57+AV57+AW57+AX57)*B57</f>
        <v/>
      </c>
      <c r="AZ57" s="53">
        <f>P57+(AS57*ret_rail+AT57*ret_tel+AU57*ret_elec+AV57*ret_auto+AW57*ret_chem+AX57*ret_steel)*B57*IF(OR($A57=1931,$A57=1932),abroad_slump,1)+AB57+AG57</f>
        <v/>
      </c>
      <c r="BA57" s="53">
        <f>AP57*champ_profit+AZ57</f>
        <v/>
      </c>
      <c r="BB57" s="53">
        <f>(K57+AI57+AK57)*champ_profit+P57+(AS57*ret_rail+AT57*ret_tel+AU57*ret_elec)*B57*IF(OR($A57=1931,$A57=1932),abroad_slump,1)</f>
        <v/>
      </c>
      <c r="BC57" s="53">
        <f>(T57+W57+Z57+AF57+AN57+AO57)*champ_profit+(AV57*ret_auto+AW57*ret_chem+AX57*ret_steel)*B57*IF(OR($A57=1931,$A57=1932),abroad_slump,1)+AB57+AG57</f>
        <v/>
      </c>
      <c r="BD57" s="53">
        <f>IF($A57&gt;=crown_start,(BB57*crown_charter+BC57*crown_comp)*crown_payout,0)</f>
        <v/>
      </c>
      <c r="BE57" s="63">
        <f>IF(BB57+BC57&gt;0,(BB57*crown_charter+BC57*crown_comp)/(BA57),0)</f>
        <v/>
      </c>
    </row>
    <row r="58">
      <c r="A58" s="58" t="n">
        <v>1898</v>
      </c>
      <c r="B58" s="65">
        <f>champ_scale*(1+Labour!AP58)*(1+Partners!BX58)*(1-IF(union_resp=2,tariff_cut*Labour!S58,0))</f>
        <v/>
      </c>
      <c r="C58" s="45" t="n">
        <v>1780</v>
      </c>
      <c r="D58" s="45" t="n">
        <v>460</v>
      </c>
      <c r="E58" s="45" t="n">
        <v>4100</v>
      </c>
      <c r="F58" s="47">
        <f>E58*B58</f>
        <v/>
      </c>
      <c r="G58" s="47">
        <f>F58/Economy!B58*1000000</f>
        <v/>
      </c>
      <c r="H58" s="45" t="n">
        <v>340</v>
      </c>
      <c r="I58" s="67">
        <f>IF(H58&gt;0,G58/H58,0)</f>
        <v/>
      </c>
      <c r="J58" s="68" t="n">
        <v>0.352</v>
      </c>
      <c r="K58" s="53">
        <f>Resources!K58*J58*B58</f>
        <v/>
      </c>
      <c r="L58" s="45" t="n">
        <v>0</v>
      </c>
      <c r="M58" s="59" t="n">
        <v>0</v>
      </c>
      <c r="N58" s="45" t="n">
        <v>13</v>
      </c>
      <c r="O58" s="68" t="n">
        <v>0.555</v>
      </c>
      <c r="P58" s="53">
        <f>(IF(Gulf!E58=1,0,L58*M58)+N58)*O58*B58</f>
        <v/>
      </c>
      <c r="Q58" s="53">
        <f>P58*oil_book</f>
        <v/>
      </c>
      <c r="R58" s="68" t="n">
        <v>1.21</v>
      </c>
      <c r="S58" s="45" t="n">
        <v>16</v>
      </c>
      <c r="T58" s="53">
        <f>R58*S58*B58</f>
        <v/>
      </c>
      <c r="U58" s="45" t="n">
        <v>0</v>
      </c>
      <c r="V58" s="45" t="n">
        <v>0</v>
      </c>
      <c r="W58" s="53">
        <f>U58/1000*V58*B58</f>
        <v/>
      </c>
      <c r="X58" s="45" t="n">
        <v>1380</v>
      </c>
      <c r="Y58" s="59" t="n">
        <v>0.041</v>
      </c>
      <c r="Z58" s="53">
        <f>X58*Y58*chem_va*B58</f>
        <v/>
      </c>
      <c r="AA58" s="59" t="n">
        <v>0.018</v>
      </c>
      <c r="AB58" s="53">
        <f>X58*AA58*roy_rate*B58*(1-IF(union_resp=2,lic_cut*Labour!S58,0))</f>
        <v/>
      </c>
      <c r="AC58" s="45" t="n">
        <v>340</v>
      </c>
      <c r="AD58" s="59" t="n">
        <v>0.216</v>
      </c>
      <c r="AE58" s="59" t="n">
        <v>0.306</v>
      </c>
      <c r="AF58" s="53">
        <f>AC58*AD58*elec_va*B58</f>
        <v/>
      </c>
      <c r="AG58" s="53">
        <f>MAX(0,AE58-AD58)*AC58*roy_rate*B58*(1-IF(union_resp=2,lic_cut*Labour!S58,0))</f>
        <v/>
      </c>
      <c r="AH58" s="52" t="n">
        <v>29</v>
      </c>
      <c r="AI58" s="53">
        <f>AH58*B58</f>
        <v/>
      </c>
      <c r="AJ58" s="52" t="n">
        <v>27</v>
      </c>
      <c r="AK58" s="53">
        <f>AJ58*B58</f>
        <v/>
      </c>
      <c r="AL58" s="45" t="n">
        <v>72</v>
      </c>
      <c r="AM58" s="53">
        <f>AL58*uw_fee*B58</f>
        <v/>
      </c>
      <c r="AN58" s="52" t="n">
        <v>0</v>
      </c>
      <c r="AO58" s="52" t="n">
        <v>0</v>
      </c>
      <c r="AP58" s="53">
        <f>K58+T58+W58+Z58+AF58+AI58+AK58+AM58+AN58+AO58</f>
        <v/>
      </c>
      <c r="AQ58" s="53">
        <f>AP58*(1-1/champ_prem+champ_spill)</f>
        <v/>
      </c>
      <c r="AR58" s="63">
        <f>AP58/Economy!O58</f>
        <v/>
      </c>
      <c r="AS58" s="52" t="n">
        <v>216</v>
      </c>
      <c r="AT58" s="52" t="n">
        <v>61</v>
      </c>
      <c r="AU58" s="52" t="n">
        <v>33</v>
      </c>
      <c r="AV58" s="52" t="n">
        <v>0</v>
      </c>
      <c r="AW58" s="52" t="n">
        <v>5</v>
      </c>
      <c r="AX58" s="52" t="n">
        <v>8</v>
      </c>
      <c r="AY58" s="53">
        <f>Q58+(AS58+AT58+AU58+AV58+AW58+AX58)*B58</f>
        <v/>
      </c>
      <c r="AZ58" s="53">
        <f>P58+(AS58*ret_rail+AT58*ret_tel+AU58*ret_elec+AV58*ret_auto+AW58*ret_chem+AX58*ret_steel)*B58*IF(OR($A58=1931,$A58=1932),abroad_slump,1)+AB58+AG58</f>
        <v/>
      </c>
      <c r="BA58" s="53">
        <f>AP58*champ_profit+AZ58</f>
        <v/>
      </c>
      <c r="BB58" s="53">
        <f>(K58+AI58+AK58)*champ_profit+P58+(AS58*ret_rail+AT58*ret_tel+AU58*ret_elec)*B58*IF(OR($A58=1931,$A58=1932),abroad_slump,1)</f>
        <v/>
      </c>
      <c r="BC58" s="53">
        <f>(T58+W58+Z58+AF58+AN58+AO58)*champ_profit+(AV58*ret_auto+AW58*ret_chem+AX58*ret_steel)*B58*IF(OR($A58=1931,$A58=1932),abroad_slump,1)+AB58+AG58</f>
        <v/>
      </c>
      <c r="BD58" s="53">
        <f>IF($A58&gt;=crown_start,(BB58*crown_charter+BC58*crown_comp)*crown_payout,0)</f>
        <v/>
      </c>
      <c r="BE58" s="63">
        <f>IF(BB58+BC58&gt;0,(BB58*crown_charter+BC58*crown_comp)/(BA58),0)</f>
        <v/>
      </c>
    </row>
    <row r="59">
      <c r="A59" s="58" t="n">
        <v>1899</v>
      </c>
      <c r="B59" s="65">
        <f>champ_scale*(1+Labour!AP59)*(1+Partners!BX59)*(1-IF(union_resp=2,tariff_cut*Labour!S59,0))</f>
        <v/>
      </c>
      <c r="C59" s="45" t="n">
        <v>1890</v>
      </c>
      <c r="D59" s="45" t="n">
        <v>480</v>
      </c>
      <c r="E59" s="45" t="n">
        <v>4300</v>
      </c>
      <c r="F59" s="47">
        <f>E59*B59</f>
        <v/>
      </c>
      <c r="G59" s="47">
        <f>F59/Economy!B59*1000000</f>
        <v/>
      </c>
      <c r="H59" s="45" t="n">
        <v>332</v>
      </c>
      <c r="I59" s="67">
        <f>IF(H59&gt;0,G59/H59,0)</f>
        <v/>
      </c>
      <c r="J59" s="68" t="n">
        <v>0.359</v>
      </c>
      <c r="K59" s="53">
        <f>Resources!K59*J59*B59</f>
        <v/>
      </c>
      <c r="L59" s="45" t="n">
        <v>0</v>
      </c>
      <c r="M59" s="59" t="n">
        <v>0</v>
      </c>
      <c r="N59" s="45" t="n">
        <v>14</v>
      </c>
      <c r="O59" s="68" t="n">
        <v>0.552</v>
      </c>
      <c r="P59" s="53">
        <f>(IF(Gulf!E59=1,0,L59*M59)+N59)*O59*B59</f>
        <v/>
      </c>
      <c r="Q59" s="53">
        <f>P59*oil_book</f>
        <v/>
      </c>
      <c r="R59" s="68" t="n">
        <v>1.305</v>
      </c>
      <c r="S59" s="45" t="n">
        <v>16</v>
      </c>
      <c r="T59" s="53">
        <f>R59*S59*B59</f>
        <v/>
      </c>
      <c r="U59" s="45" t="n">
        <v>0</v>
      </c>
      <c r="V59" s="45" t="n">
        <v>0</v>
      </c>
      <c r="W59" s="53">
        <f>U59/1000*V59*B59</f>
        <v/>
      </c>
      <c r="X59" s="45" t="n">
        <v>1440</v>
      </c>
      <c r="Y59" s="59" t="n">
        <v>0.043</v>
      </c>
      <c r="Z59" s="53">
        <f>X59*Y59*chem_va*B59</f>
        <v/>
      </c>
      <c r="AA59" s="59" t="n">
        <v>0.019</v>
      </c>
      <c r="AB59" s="53">
        <f>X59*AA59*roy_rate*B59*(1-IF(union_resp=2,lic_cut*Labour!S59,0))</f>
        <v/>
      </c>
      <c r="AC59" s="45" t="n">
        <v>370</v>
      </c>
      <c r="AD59" s="59" t="n">
        <v>0.218</v>
      </c>
      <c r="AE59" s="59" t="n">
        <v>0.313</v>
      </c>
      <c r="AF59" s="53">
        <f>AC59*AD59*elec_va*B59</f>
        <v/>
      </c>
      <c r="AG59" s="53">
        <f>MAX(0,AE59-AD59)*AC59*roy_rate*B59*(1-IF(union_resp=2,lic_cut*Labour!S59,0))</f>
        <v/>
      </c>
      <c r="AH59" s="52" t="n">
        <v>30</v>
      </c>
      <c r="AI59" s="53">
        <f>AH59*B59</f>
        <v/>
      </c>
      <c r="AJ59" s="52" t="n">
        <v>28</v>
      </c>
      <c r="AK59" s="53">
        <f>AJ59*B59</f>
        <v/>
      </c>
      <c r="AL59" s="45" t="n">
        <v>76</v>
      </c>
      <c r="AM59" s="53">
        <f>AL59*uw_fee*B59</f>
        <v/>
      </c>
      <c r="AN59" s="52" t="n">
        <v>0</v>
      </c>
      <c r="AO59" s="52" t="n">
        <v>0</v>
      </c>
      <c r="AP59" s="53">
        <f>K59+T59+W59+Z59+AF59+AI59+AK59+AM59+AN59+AO59</f>
        <v/>
      </c>
      <c r="AQ59" s="53">
        <f>AP59*(1-1/champ_prem+champ_spill)</f>
        <v/>
      </c>
      <c r="AR59" s="63">
        <f>AP59/Economy!O59</f>
        <v/>
      </c>
      <c r="AS59" s="52" t="n">
        <v>233</v>
      </c>
      <c r="AT59" s="52" t="n">
        <v>66</v>
      </c>
      <c r="AU59" s="52" t="n">
        <v>36</v>
      </c>
      <c r="AV59" s="52" t="n">
        <v>0</v>
      </c>
      <c r="AW59" s="52" t="n">
        <v>5</v>
      </c>
      <c r="AX59" s="52" t="n">
        <v>9</v>
      </c>
      <c r="AY59" s="53">
        <f>Q59+(AS59+AT59+AU59+AV59+AW59+AX59)*B59</f>
        <v/>
      </c>
      <c r="AZ59" s="53">
        <f>P59+(AS59*ret_rail+AT59*ret_tel+AU59*ret_elec+AV59*ret_auto+AW59*ret_chem+AX59*ret_steel)*B59*IF(OR($A59=1931,$A59=1932),abroad_slump,1)+AB59+AG59</f>
        <v/>
      </c>
      <c r="BA59" s="53">
        <f>AP59*champ_profit+AZ59</f>
        <v/>
      </c>
      <c r="BB59" s="53">
        <f>(K59+AI59+AK59)*champ_profit+P59+(AS59*ret_rail+AT59*ret_tel+AU59*ret_elec)*B59*IF(OR($A59=1931,$A59=1932),abroad_slump,1)</f>
        <v/>
      </c>
      <c r="BC59" s="53">
        <f>(T59+W59+Z59+AF59+AN59+AO59)*champ_profit+(AV59*ret_auto+AW59*ret_chem+AX59*ret_steel)*B59*IF(OR($A59=1931,$A59=1932),abroad_slump,1)+AB59+AG59</f>
        <v/>
      </c>
      <c r="BD59" s="53">
        <f>IF($A59&gt;=crown_start,(BB59*crown_charter+BC59*crown_comp)*crown_payout,0)</f>
        <v/>
      </c>
      <c r="BE59" s="63">
        <f>IF(BB59+BC59&gt;0,(BB59*crown_charter+BC59*crown_comp)/(BA59),0)</f>
        <v/>
      </c>
    </row>
    <row r="60">
      <c r="A60" s="58" t="n">
        <v>1900</v>
      </c>
      <c r="B60" s="65">
        <f>champ_scale*(1+Labour!AP60)*(1+Partners!BX60)*(1-IF(union_resp=2,tariff_cut*Labour!S60,0))</f>
        <v/>
      </c>
      <c r="C60" s="45" t="n">
        <v>2000</v>
      </c>
      <c r="D60" s="45" t="n">
        <v>500</v>
      </c>
      <c r="E60" s="45" t="n">
        <v>4500</v>
      </c>
      <c r="F60" s="47">
        <f>E60*B60</f>
        <v/>
      </c>
      <c r="G60" s="47">
        <f>F60/Economy!B60*1000000</f>
        <v/>
      </c>
      <c r="H60" s="45" t="n">
        <v>324</v>
      </c>
      <c r="I60" s="67">
        <f>IF(H60&gt;0,G60/H60,0)</f>
        <v/>
      </c>
      <c r="J60" s="68" t="n">
        <v>0.365</v>
      </c>
      <c r="K60" s="53">
        <f>Resources!K60*J60*B60</f>
        <v/>
      </c>
      <c r="L60" s="45" t="n">
        <v>0</v>
      </c>
      <c r="M60" s="59" t="n">
        <v>0</v>
      </c>
      <c r="N60" s="45" t="n">
        <v>15</v>
      </c>
      <c r="O60" s="68" t="n">
        <v>0.55</v>
      </c>
      <c r="P60" s="53">
        <f>(IF(Gulf!E60=1,0,L60*M60)+N60)*O60*B60</f>
        <v/>
      </c>
      <c r="Q60" s="53">
        <f>P60*oil_book</f>
        <v/>
      </c>
      <c r="R60" s="68" t="n">
        <v>1.4</v>
      </c>
      <c r="S60" s="45" t="n">
        <v>16</v>
      </c>
      <c r="T60" s="53">
        <f>R60*S60*B60</f>
        <v/>
      </c>
      <c r="U60" s="45" t="n">
        <v>0.5</v>
      </c>
      <c r="V60" s="45" t="n">
        <v>500</v>
      </c>
      <c r="W60" s="53">
        <f>U60/1000*V60*B60</f>
        <v/>
      </c>
      <c r="X60" s="45" t="n">
        <v>1500</v>
      </c>
      <c r="Y60" s="59" t="n">
        <v>0.045</v>
      </c>
      <c r="Z60" s="53">
        <f>X60*Y60*chem_va*B60</f>
        <v/>
      </c>
      <c r="AA60" s="59" t="n">
        <v>0.02</v>
      </c>
      <c r="AB60" s="53">
        <f>X60*AA60*roy_rate*B60*(1-IF(union_resp=2,lic_cut*Labour!S60,0))</f>
        <v/>
      </c>
      <c r="AC60" s="45" t="n">
        <v>400</v>
      </c>
      <c r="AD60" s="59" t="n">
        <v>0.22</v>
      </c>
      <c r="AE60" s="59" t="n">
        <v>0.32</v>
      </c>
      <c r="AF60" s="53">
        <f>AC60*AD60*elec_va*B60</f>
        <v/>
      </c>
      <c r="AG60" s="53">
        <f>MAX(0,AE60-AD60)*AC60*roy_rate*B60*(1-IF(union_resp=2,lic_cut*Labour!S60,0))</f>
        <v/>
      </c>
      <c r="AH60" s="52" t="n">
        <v>32</v>
      </c>
      <c r="AI60" s="53">
        <f>AH60*B60</f>
        <v/>
      </c>
      <c r="AJ60" s="52" t="n">
        <v>30</v>
      </c>
      <c r="AK60" s="53">
        <f>AJ60*B60</f>
        <v/>
      </c>
      <c r="AL60" s="45" t="n">
        <v>80</v>
      </c>
      <c r="AM60" s="53">
        <f>AL60*uw_fee*B60</f>
        <v/>
      </c>
      <c r="AN60" s="52" t="n">
        <v>0</v>
      </c>
      <c r="AO60" s="52" t="n">
        <v>1</v>
      </c>
      <c r="AP60" s="53">
        <f>K60+T60+W60+Z60+AF60+AI60+AK60+AM60+AN60+AO60</f>
        <v/>
      </c>
      <c r="AQ60" s="53">
        <f>AP60*(1-1/champ_prem+champ_spill)</f>
        <v/>
      </c>
      <c r="AR60" s="63">
        <f>AP60/Economy!O60</f>
        <v/>
      </c>
      <c r="AS60" s="52" t="n">
        <v>250</v>
      </c>
      <c r="AT60" s="52" t="n">
        <v>70</v>
      </c>
      <c r="AU60" s="52" t="n">
        <v>40</v>
      </c>
      <c r="AV60" s="52" t="n">
        <v>0</v>
      </c>
      <c r="AW60" s="52" t="n">
        <v>5</v>
      </c>
      <c r="AX60" s="52" t="n">
        <v>10</v>
      </c>
      <c r="AY60" s="53">
        <f>Q60+(AS60+AT60+AU60+AV60+AW60+AX60)*B60</f>
        <v/>
      </c>
      <c r="AZ60" s="53">
        <f>P60+(AS60*ret_rail+AT60*ret_tel+AU60*ret_elec+AV60*ret_auto+AW60*ret_chem+AX60*ret_steel)*B60*IF(OR($A60=1931,$A60=1932),abroad_slump,1)+AB60+AG60</f>
        <v/>
      </c>
      <c r="BA60" s="53">
        <f>AP60*champ_profit+AZ60</f>
        <v/>
      </c>
      <c r="BB60" s="53">
        <f>(K60+AI60+AK60)*champ_profit+P60+(AS60*ret_rail+AT60*ret_tel+AU60*ret_elec)*B60*IF(OR($A60=1931,$A60=1932),abroad_slump,1)</f>
        <v/>
      </c>
      <c r="BC60" s="53">
        <f>(T60+W60+Z60+AF60+AN60+AO60)*champ_profit+(AV60*ret_auto+AW60*ret_chem+AX60*ret_steel)*B60*IF(OR($A60=1931,$A60=1932),abroad_slump,1)+AB60+AG60</f>
        <v/>
      </c>
      <c r="BD60" s="53">
        <f>IF($A60&gt;=crown_start,(BB60*crown_charter+BC60*crown_comp)*crown_payout,0)</f>
        <v/>
      </c>
      <c r="BE60" s="63">
        <f>IF(BB60+BC60&gt;0,(BB60*crown_charter+BC60*crown_comp)/(BA60),0)</f>
        <v/>
      </c>
    </row>
    <row r="61">
      <c r="A61" s="58" t="n">
        <v>1901</v>
      </c>
      <c r="B61" s="65">
        <f>champ_scale*(1+Labour!AP61)*(1+Partners!BX61)*(1-IF(union_resp=2,tariff_cut*Labour!S61,0))</f>
        <v/>
      </c>
      <c r="C61" s="45" t="n">
        <v>2190</v>
      </c>
      <c r="D61" s="45" t="n">
        <v>520</v>
      </c>
      <c r="E61" s="45" t="n">
        <v>4770</v>
      </c>
      <c r="F61" s="47">
        <f>E61*B61</f>
        <v/>
      </c>
      <c r="G61" s="47">
        <f>F61/Economy!B61*1000000</f>
        <v/>
      </c>
      <c r="H61" s="45" t="n">
        <v>326</v>
      </c>
      <c r="I61" s="67">
        <f>IF(H61&gt;0,G61/H61,0)</f>
        <v/>
      </c>
      <c r="J61" s="68" t="n">
        <v>0.372</v>
      </c>
      <c r="K61" s="53">
        <f>Resources!K61*J61*B61</f>
        <v/>
      </c>
      <c r="L61" s="45" t="n">
        <v>4</v>
      </c>
      <c r="M61" s="59" t="n">
        <v>0.4</v>
      </c>
      <c r="N61" s="45" t="n">
        <v>17</v>
      </c>
      <c r="O61" s="68" t="n">
        <v>0.554</v>
      </c>
      <c r="P61" s="53">
        <f>(IF(Gulf!E61=1,0,L61*M61)+N61)*O61*B61</f>
        <v/>
      </c>
      <c r="Q61" s="53">
        <f>P61*oil_book</f>
        <v/>
      </c>
      <c r="R61" s="68" t="n">
        <v>1.58</v>
      </c>
      <c r="S61" s="45" t="n">
        <v>16</v>
      </c>
      <c r="T61" s="53">
        <f>R61*S61*B61</f>
        <v/>
      </c>
      <c r="U61" s="45" t="n">
        <v>1.2</v>
      </c>
      <c r="V61" s="45" t="n">
        <v>494</v>
      </c>
      <c r="W61" s="53">
        <f>U61/1000*V61*B61</f>
        <v/>
      </c>
      <c r="X61" s="45" t="n">
        <v>1577</v>
      </c>
      <c r="Y61" s="59" t="n">
        <v>0.048</v>
      </c>
      <c r="Z61" s="53">
        <f>X61*Y61*chem_va*B61</f>
        <v/>
      </c>
      <c r="AA61" s="59" t="n">
        <v>0.022</v>
      </c>
      <c r="AB61" s="53">
        <f>X61*AA61*roy_rate*B61*(1-IF(union_resp=2,lic_cut*Labour!S61,0))</f>
        <v/>
      </c>
      <c r="AC61" s="45" t="n">
        <v>446</v>
      </c>
      <c r="AD61" s="59" t="n">
        <v>0.22</v>
      </c>
      <c r="AE61" s="59" t="n">
        <v>0.325</v>
      </c>
      <c r="AF61" s="53">
        <f>AC61*AD61*elec_va*B61</f>
        <v/>
      </c>
      <c r="AG61" s="53">
        <f>MAX(0,AE61-AD61)*AC61*roy_rate*B61*(1-IF(union_resp=2,lic_cut*Labour!S61,0))</f>
        <v/>
      </c>
      <c r="AH61" s="52" t="n">
        <v>36</v>
      </c>
      <c r="AI61" s="53">
        <f>AH61*B61</f>
        <v/>
      </c>
      <c r="AJ61" s="52" t="n">
        <v>33</v>
      </c>
      <c r="AK61" s="53">
        <f>AJ61*B61</f>
        <v/>
      </c>
      <c r="AL61" s="45" t="n">
        <v>122</v>
      </c>
      <c r="AM61" s="53">
        <f>AL61*uw_fee*B61</f>
        <v/>
      </c>
      <c r="AN61" s="52" t="n">
        <v>0</v>
      </c>
      <c r="AO61" s="52" t="n">
        <v>2</v>
      </c>
      <c r="AP61" s="53">
        <f>K61+T61+W61+Z61+AF61+AI61+AK61+AM61+AN61+AO61</f>
        <v/>
      </c>
      <c r="AQ61" s="53">
        <f>AP61*(1-1/champ_prem+champ_spill)</f>
        <v/>
      </c>
      <c r="AR61" s="63">
        <f>AP61/Economy!O61</f>
        <v/>
      </c>
      <c r="AS61" s="52" t="n">
        <v>290</v>
      </c>
      <c r="AT61" s="52" t="n">
        <v>78</v>
      </c>
      <c r="AU61" s="52" t="n">
        <v>56</v>
      </c>
      <c r="AV61" s="52" t="n">
        <v>0</v>
      </c>
      <c r="AW61" s="52" t="n">
        <v>8</v>
      </c>
      <c r="AX61" s="52" t="n">
        <v>490</v>
      </c>
      <c r="AY61" s="53">
        <f>Q61+(AS61+AT61+AU61+AV61+AW61+AX61)*B61</f>
        <v/>
      </c>
      <c r="AZ61" s="53">
        <f>P61+(AS61*ret_rail+AT61*ret_tel+AU61*ret_elec+AV61*ret_auto+AW61*ret_chem+AX61*ret_steel)*B61*IF(OR($A61=1931,$A61=1932),abroad_slump,1)+AB61+AG61</f>
        <v/>
      </c>
      <c r="BA61" s="53">
        <f>AP61*champ_profit+AZ61</f>
        <v/>
      </c>
      <c r="BB61" s="53">
        <f>(K61+AI61+AK61)*champ_profit+P61+(AS61*ret_rail+AT61*ret_tel+AU61*ret_elec)*B61*IF(OR($A61=1931,$A61=1932),abroad_slump,1)</f>
        <v/>
      </c>
      <c r="BC61" s="53">
        <f>(T61+W61+Z61+AF61+AN61+AO61)*champ_profit+(AV61*ret_auto+AW61*ret_chem+AX61*ret_steel)*B61*IF(OR($A61=1931,$A61=1932),abroad_slump,1)+AB61+AG61</f>
        <v/>
      </c>
      <c r="BD61" s="53">
        <f>IF($A61&gt;=crown_start,(BB61*crown_charter+BC61*crown_comp)*crown_payout,0)</f>
        <v/>
      </c>
      <c r="BE61" s="63">
        <f>IF(BB61+BC61&gt;0,(BB61*crown_charter+BC61*crown_comp)/(BA61),0)</f>
        <v/>
      </c>
    </row>
    <row r="62">
      <c r="A62" s="58" t="n">
        <v>1902</v>
      </c>
      <c r="B62" s="65">
        <f>champ_scale*(1+Labour!AP62)*(1+Partners!BX62)*(1-IF(union_resp=2,tariff_cut*Labour!S62,0))</f>
        <v/>
      </c>
      <c r="C62" s="45" t="n">
        <v>2380</v>
      </c>
      <c r="D62" s="45" t="n">
        <v>550</v>
      </c>
      <c r="E62" s="45" t="n">
        <v>5040</v>
      </c>
      <c r="F62" s="47">
        <f>E62*B62</f>
        <v/>
      </c>
      <c r="G62" s="47">
        <f>F62/Economy!B62*1000000</f>
        <v/>
      </c>
      <c r="H62" s="45" t="n">
        <v>328</v>
      </c>
      <c r="I62" s="67">
        <f>IF(H62&gt;0,G62/H62,0)</f>
        <v/>
      </c>
      <c r="J62" s="68" t="n">
        <v>0.378</v>
      </c>
      <c r="K62" s="53">
        <f>Resources!K62*J62*B62</f>
        <v/>
      </c>
      <c r="L62" s="45" t="n">
        <v>12</v>
      </c>
      <c r="M62" s="59" t="n">
        <v>0.411</v>
      </c>
      <c r="N62" s="45" t="n">
        <v>18</v>
      </c>
      <c r="O62" s="68" t="n">
        <v>0.5580000000000001</v>
      </c>
      <c r="P62" s="53">
        <f>(IF(Gulf!E62=1,0,L62*M62)+N62)*O62*B62</f>
        <v/>
      </c>
      <c r="Q62" s="53">
        <f>P62*oil_book</f>
        <v/>
      </c>
      <c r="R62" s="68" t="n">
        <v>1.76</v>
      </c>
      <c r="S62" s="45" t="n">
        <v>16</v>
      </c>
      <c r="T62" s="53">
        <f>R62*S62*B62</f>
        <v/>
      </c>
      <c r="U62" s="45" t="n">
        <v>1.9</v>
      </c>
      <c r="V62" s="45" t="n">
        <v>489</v>
      </c>
      <c r="W62" s="53">
        <f>U62/1000*V62*B62</f>
        <v/>
      </c>
      <c r="X62" s="45" t="n">
        <v>1654</v>
      </c>
      <c r="Y62" s="59" t="n">
        <v>0.05</v>
      </c>
      <c r="Z62" s="53">
        <f>X62*Y62*chem_va*B62</f>
        <v/>
      </c>
      <c r="AA62" s="59" t="n">
        <v>0.025</v>
      </c>
      <c r="AB62" s="53">
        <f>X62*AA62*roy_rate*B62*(1-IF(union_resp=2,lic_cut*Labour!S62,0))</f>
        <v/>
      </c>
      <c r="AC62" s="45" t="n">
        <v>492</v>
      </c>
      <c r="AD62" s="59" t="n">
        <v>0.22</v>
      </c>
      <c r="AE62" s="59" t="n">
        <v>0.329</v>
      </c>
      <c r="AF62" s="53">
        <f>AC62*AD62*elec_va*B62</f>
        <v/>
      </c>
      <c r="AG62" s="53">
        <f>MAX(0,AE62-AD62)*AC62*roy_rate*B62*(1-IF(union_resp=2,lic_cut*Labour!S62,0))</f>
        <v/>
      </c>
      <c r="AH62" s="52" t="n">
        <v>41</v>
      </c>
      <c r="AI62" s="53">
        <f>AH62*B62</f>
        <v/>
      </c>
      <c r="AJ62" s="52" t="n">
        <v>36</v>
      </c>
      <c r="AK62" s="53">
        <f>AJ62*B62</f>
        <v/>
      </c>
      <c r="AL62" s="45" t="n">
        <v>165</v>
      </c>
      <c r="AM62" s="53">
        <f>AL62*uw_fee*B62</f>
        <v/>
      </c>
      <c r="AN62" s="52" t="n">
        <v>0</v>
      </c>
      <c r="AO62" s="52" t="n">
        <v>3</v>
      </c>
      <c r="AP62" s="53">
        <f>K62+T62+W62+Z62+AF62+AI62+AK62+AM62+AN62+AO62</f>
        <v/>
      </c>
      <c r="AQ62" s="53">
        <f>AP62*(1-1/champ_prem+champ_spill)</f>
        <v/>
      </c>
      <c r="AR62" s="63">
        <f>AP62/Economy!O62</f>
        <v/>
      </c>
      <c r="AS62" s="52" t="n">
        <v>330</v>
      </c>
      <c r="AT62" s="52" t="n">
        <v>87</v>
      </c>
      <c r="AU62" s="52" t="n">
        <v>72</v>
      </c>
      <c r="AV62" s="52" t="n">
        <v>0</v>
      </c>
      <c r="AW62" s="52" t="n">
        <v>10</v>
      </c>
      <c r="AX62" s="52" t="n">
        <v>499</v>
      </c>
      <c r="AY62" s="53">
        <f>Q62+(AS62+AT62+AU62+AV62+AW62+AX62)*B62</f>
        <v/>
      </c>
      <c r="AZ62" s="53">
        <f>P62+(AS62*ret_rail+AT62*ret_tel+AU62*ret_elec+AV62*ret_auto+AW62*ret_chem+AX62*ret_steel)*B62*IF(OR($A62=1931,$A62=1932),abroad_slump,1)+AB62+AG62</f>
        <v/>
      </c>
      <c r="BA62" s="53">
        <f>AP62*champ_profit+AZ62</f>
        <v/>
      </c>
      <c r="BB62" s="53">
        <f>(K62+AI62+AK62)*champ_profit+P62+(AS62*ret_rail+AT62*ret_tel+AU62*ret_elec)*B62*IF(OR($A62=1931,$A62=1932),abroad_slump,1)</f>
        <v/>
      </c>
      <c r="BC62" s="53">
        <f>(T62+W62+Z62+AF62+AN62+AO62)*champ_profit+(AV62*ret_auto+AW62*ret_chem+AX62*ret_steel)*B62*IF(OR($A62=1931,$A62=1932),abroad_slump,1)+AB62+AG62</f>
        <v/>
      </c>
      <c r="BD62" s="53">
        <f>IF($A62&gt;=crown_start,(BB62*crown_charter+BC62*crown_comp)*crown_payout,0)</f>
        <v/>
      </c>
      <c r="BE62" s="63">
        <f>IF(BB62+BC62&gt;0,(BB62*crown_charter+BC62*crown_comp)/(BA62),0)</f>
        <v/>
      </c>
    </row>
    <row r="63">
      <c r="A63" s="58" t="n">
        <v>1903</v>
      </c>
      <c r="B63" s="65">
        <f>champ_scale*(1+Labour!AP63)*(1+Partners!BX63)*(1-IF(union_resp=2,tariff_cut*Labour!S63,0))</f>
        <v/>
      </c>
      <c r="C63" s="45" t="n">
        <v>2580</v>
      </c>
      <c r="D63" s="45" t="n">
        <v>570</v>
      </c>
      <c r="E63" s="45" t="n">
        <v>5310</v>
      </c>
      <c r="F63" s="47">
        <f>E63*B63</f>
        <v/>
      </c>
      <c r="G63" s="47">
        <f>F63/Economy!B63*1000000</f>
        <v/>
      </c>
      <c r="H63" s="45" t="n">
        <v>330</v>
      </c>
      <c r="I63" s="67">
        <f>IF(H63&gt;0,G63/H63,0)</f>
        <v/>
      </c>
      <c r="J63" s="68" t="n">
        <v>0.385</v>
      </c>
      <c r="K63" s="53">
        <f>Resources!K63*J63*B63</f>
        <v/>
      </c>
      <c r="L63" s="45" t="n">
        <v>20</v>
      </c>
      <c r="M63" s="59" t="n">
        <v>0.422</v>
      </c>
      <c r="N63" s="45" t="n">
        <v>20</v>
      </c>
      <c r="O63" s="68" t="n">
        <v>0.5620000000000001</v>
      </c>
      <c r="P63" s="53">
        <f>(IF(Gulf!E63=1,0,L63*M63)+N63)*O63*B63</f>
        <v/>
      </c>
      <c r="Q63" s="53">
        <f>P63*oil_book</f>
        <v/>
      </c>
      <c r="R63" s="68" t="n">
        <v>1.94</v>
      </c>
      <c r="S63" s="45" t="n">
        <v>16</v>
      </c>
      <c r="T63" s="53">
        <f>R63*S63*B63</f>
        <v/>
      </c>
      <c r="U63" s="45" t="n">
        <v>2.6</v>
      </c>
      <c r="V63" s="45" t="n">
        <v>483</v>
      </c>
      <c r="W63" s="53">
        <f>U63/1000*V63*B63</f>
        <v/>
      </c>
      <c r="X63" s="45" t="n">
        <v>1731</v>
      </c>
      <c r="Y63" s="59" t="n">
        <v>0.053</v>
      </c>
      <c r="Z63" s="53">
        <f>X63*Y63*chem_va*B63</f>
        <v/>
      </c>
      <c r="AA63" s="59" t="n">
        <v>0.027</v>
      </c>
      <c r="AB63" s="53">
        <f>X63*AA63*roy_rate*B63*(1-IF(union_resp=2,lic_cut*Labour!S63,0))</f>
        <v/>
      </c>
      <c r="AC63" s="45" t="n">
        <v>538</v>
      </c>
      <c r="AD63" s="59" t="n">
        <v>0.22</v>
      </c>
      <c r="AE63" s="59" t="n">
        <v>0.334</v>
      </c>
      <c r="AF63" s="53">
        <f>AC63*AD63*elec_va*B63</f>
        <v/>
      </c>
      <c r="AG63" s="53">
        <f>MAX(0,AE63-AD63)*AC63*roy_rate*B63*(1-IF(union_resp=2,lic_cut*Labour!S63,0))</f>
        <v/>
      </c>
      <c r="AH63" s="52" t="n">
        <v>45</v>
      </c>
      <c r="AI63" s="53">
        <f>AH63*B63</f>
        <v/>
      </c>
      <c r="AJ63" s="52" t="n">
        <v>39</v>
      </c>
      <c r="AK63" s="53">
        <f>AJ63*B63</f>
        <v/>
      </c>
      <c r="AL63" s="45" t="n">
        <v>208</v>
      </c>
      <c r="AM63" s="53">
        <f>AL63*uw_fee*B63</f>
        <v/>
      </c>
      <c r="AN63" s="52" t="n">
        <v>0</v>
      </c>
      <c r="AO63" s="52" t="n">
        <v>4</v>
      </c>
      <c r="AP63" s="53">
        <f>K63+T63+W63+Z63+AF63+AI63+AK63+AM63+AN63+AO63</f>
        <v/>
      </c>
      <c r="AQ63" s="53">
        <f>AP63*(1-1/champ_prem+champ_spill)</f>
        <v/>
      </c>
      <c r="AR63" s="63">
        <f>AP63/Economy!O63</f>
        <v/>
      </c>
      <c r="AS63" s="52" t="n">
        <v>370</v>
      </c>
      <c r="AT63" s="52" t="n">
        <v>95</v>
      </c>
      <c r="AU63" s="52" t="n">
        <v>88</v>
      </c>
      <c r="AV63" s="52" t="n">
        <v>0</v>
      </c>
      <c r="AW63" s="52" t="n">
        <v>13</v>
      </c>
      <c r="AX63" s="52" t="n">
        <v>508</v>
      </c>
      <c r="AY63" s="53">
        <f>Q63+(AS63+AT63+AU63+AV63+AW63+AX63)*B63</f>
        <v/>
      </c>
      <c r="AZ63" s="53">
        <f>P63+(AS63*ret_rail+AT63*ret_tel+AU63*ret_elec+AV63*ret_auto+AW63*ret_chem+AX63*ret_steel)*B63*IF(OR($A63=1931,$A63=1932),abroad_slump,1)+AB63+AG63</f>
        <v/>
      </c>
      <c r="BA63" s="53">
        <f>AP63*champ_profit+AZ63</f>
        <v/>
      </c>
      <c r="BB63" s="53">
        <f>(K63+AI63+AK63)*champ_profit+P63+(AS63*ret_rail+AT63*ret_tel+AU63*ret_elec)*B63*IF(OR($A63=1931,$A63=1932),abroad_slump,1)</f>
        <v/>
      </c>
      <c r="BC63" s="53">
        <f>(T63+W63+Z63+AF63+AN63+AO63)*champ_profit+(AV63*ret_auto+AW63*ret_chem+AX63*ret_steel)*B63*IF(OR($A63=1931,$A63=1932),abroad_slump,1)+AB63+AG63</f>
        <v/>
      </c>
      <c r="BD63" s="53">
        <f>IF($A63&gt;=crown_start,(BB63*crown_charter+BC63*crown_comp)*crown_payout,0)</f>
        <v/>
      </c>
      <c r="BE63" s="63">
        <f>IF(BB63+BC63&gt;0,(BB63*crown_charter+BC63*crown_comp)/(BA63),0)</f>
        <v/>
      </c>
    </row>
    <row r="64">
      <c r="A64" s="58" t="n">
        <v>1904</v>
      </c>
      <c r="B64" s="65">
        <f>champ_scale*(1+Labour!AP64)*(1+Partners!BX64)*(1-IF(union_resp=2,tariff_cut*Labour!S64,0))</f>
        <v/>
      </c>
      <c r="C64" s="45" t="n">
        <v>2770</v>
      </c>
      <c r="D64" s="45" t="n">
        <v>590</v>
      </c>
      <c r="E64" s="45" t="n">
        <v>5580</v>
      </c>
      <c r="F64" s="47">
        <f>E64*B64</f>
        <v/>
      </c>
      <c r="G64" s="47">
        <f>F64/Economy!B64*1000000</f>
        <v/>
      </c>
      <c r="H64" s="45" t="n">
        <v>332</v>
      </c>
      <c r="I64" s="67">
        <f>IF(H64&gt;0,G64/H64,0)</f>
        <v/>
      </c>
      <c r="J64" s="68" t="n">
        <v>0.391</v>
      </c>
      <c r="K64" s="53">
        <f>Resources!K64*J64*B64</f>
        <v/>
      </c>
      <c r="L64" s="45" t="n">
        <v>35</v>
      </c>
      <c r="M64" s="59" t="n">
        <v>0.433</v>
      </c>
      <c r="N64" s="45" t="n">
        <v>21</v>
      </c>
      <c r="O64" s="68" t="n">
        <v>0.5649999999999999</v>
      </c>
      <c r="P64" s="53">
        <f>(IF(Gulf!E64=1,0,L64*M64)+N64)*O64*B64</f>
        <v/>
      </c>
      <c r="Q64" s="53">
        <f>P64*oil_book</f>
        <v/>
      </c>
      <c r="R64" s="68" t="n">
        <v>2.12</v>
      </c>
      <c r="S64" s="45" t="n">
        <v>17</v>
      </c>
      <c r="T64" s="53">
        <f>R64*S64*B64</f>
        <v/>
      </c>
      <c r="U64" s="45" t="n">
        <v>3.3</v>
      </c>
      <c r="V64" s="45" t="n">
        <v>478</v>
      </c>
      <c r="W64" s="53">
        <f>U64/1000*V64*B64</f>
        <v/>
      </c>
      <c r="X64" s="45" t="n">
        <v>1808</v>
      </c>
      <c r="Y64" s="59" t="n">
        <v>0.056</v>
      </c>
      <c r="Z64" s="53">
        <f>X64*Y64*chem_va*B64</f>
        <v/>
      </c>
      <c r="AA64" s="59" t="n">
        <v>0.029</v>
      </c>
      <c r="AB64" s="53">
        <f>X64*AA64*roy_rate*B64*(1-IF(union_resp=2,lic_cut*Labour!S64,0))</f>
        <v/>
      </c>
      <c r="AC64" s="45" t="n">
        <v>585</v>
      </c>
      <c r="AD64" s="59" t="n">
        <v>0.22</v>
      </c>
      <c r="AE64" s="59" t="n">
        <v>0.338</v>
      </c>
      <c r="AF64" s="53">
        <f>AC64*AD64*elec_va*B64</f>
        <v/>
      </c>
      <c r="AG64" s="53">
        <f>MAX(0,AE64-AD64)*AC64*roy_rate*B64*(1-IF(union_resp=2,lic_cut*Labour!S64,0))</f>
        <v/>
      </c>
      <c r="AH64" s="52" t="n">
        <v>50</v>
      </c>
      <c r="AI64" s="53">
        <f>AH64*B64</f>
        <v/>
      </c>
      <c r="AJ64" s="52" t="n">
        <v>42</v>
      </c>
      <c r="AK64" s="53">
        <f>AJ64*B64</f>
        <v/>
      </c>
      <c r="AL64" s="45" t="n">
        <v>250</v>
      </c>
      <c r="AM64" s="53">
        <f>AL64*uw_fee*B64</f>
        <v/>
      </c>
      <c r="AN64" s="52" t="n">
        <v>0</v>
      </c>
      <c r="AO64" s="52" t="n">
        <v>5</v>
      </c>
      <c r="AP64" s="53">
        <f>K64+T64+W64+Z64+AF64+AI64+AK64+AM64+AN64+AO64</f>
        <v/>
      </c>
      <c r="AQ64" s="53">
        <f>AP64*(1-1/champ_prem+champ_spill)</f>
        <v/>
      </c>
      <c r="AR64" s="63">
        <f>AP64/Economy!O64</f>
        <v/>
      </c>
      <c r="AS64" s="52" t="n">
        <v>410</v>
      </c>
      <c r="AT64" s="52" t="n">
        <v>104</v>
      </c>
      <c r="AU64" s="52" t="n">
        <v>105</v>
      </c>
      <c r="AV64" s="52" t="n">
        <v>0</v>
      </c>
      <c r="AW64" s="52" t="n">
        <v>16</v>
      </c>
      <c r="AX64" s="52" t="n">
        <v>518</v>
      </c>
      <c r="AY64" s="53">
        <f>Q64+(AS64+AT64+AU64+AV64+AW64+AX64)*B64</f>
        <v/>
      </c>
      <c r="AZ64" s="53">
        <f>P64+(AS64*ret_rail+AT64*ret_tel+AU64*ret_elec+AV64*ret_auto+AW64*ret_chem+AX64*ret_steel)*B64*IF(OR($A64=1931,$A64=1932),abroad_slump,1)+AB64+AG64</f>
        <v/>
      </c>
      <c r="BA64" s="53">
        <f>AP64*champ_profit+AZ64</f>
        <v/>
      </c>
      <c r="BB64" s="53">
        <f>(K64+AI64+AK64)*champ_profit+P64+(AS64*ret_rail+AT64*ret_tel+AU64*ret_elec)*B64*IF(OR($A64=1931,$A64=1932),abroad_slump,1)</f>
        <v/>
      </c>
      <c r="BC64" s="53">
        <f>(T64+W64+Z64+AF64+AN64+AO64)*champ_profit+(AV64*ret_auto+AW64*ret_chem+AX64*ret_steel)*B64*IF(OR($A64=1931,$A64=1932),abroad_slump,1)+AB64+AG64</f>
        <v/>
      </c>
      <c r="BD64" s="53">
        <f>IF($A64&gt;=crown_start,(BB64*crown_charter+BC64*crown_comp)*crown_payout,0)</f>
        <v/>
      </c>
      <c r="BE64" s="63">
        <f>IF(BB64+BC64&gt;0,(BB64*crown_charter+BC64*crown_comp)/(BA64),0)</f>
        <v/>
      </c>
    </row>
    <row r="65">
      <c r="A65" s="58" t="n">
        <v>1905</v>
      </c>
      <c r="B65" s="65">
        <f>champ_scale*(1+Labour!AP65)*(1+Partners!BX65)*(1-IF(union_resp=2,tariff_cut*Labour!S65,0))</f>
        <v/>
      </c>
      <c r="C65" s="45" t="n">
        <v>2960</v>
      </c>
      <c r="D65" s="45" t="n">
        <v>620</v>
      </c>
      <c r="E65" s="45" t="n">
        <v>5850</v>
      </c>
      <c r="F65" s="47">
        <f>E65*B65</f>
        <v/>
      </c>
      <c r="G65" s="47">
        <f>F65/Economy!B65*1000000</f>
        <v/>
      </c>
      <c r="H65" s="45" t="n">
        <v>334</v>
      </c>
      <c r="I65" s="67">
        <f>IF(H65&gt;0,G65/H65,0)</f>
        <v/>
      </c>
      <c r="J65" s="68" t="n">
        <v>0.398</v>
      </c>
      <c r="K65" s="53">
        <f>Resources!K65*J65*B65</f>
        <v/>
      </c>
      <c r="L65" s="45" t="n">
        <v>50</v>
      </c>
      <c r="M65" s="59" t="n">
        <v>0.444</v>
      </c>
      <c r="N65" s="45" t="n">
        <v>23</v>
      </c>
      <c r="O65" s="68" t="n">
        <v>0.569</v>
      </c>
      <c r="P65" s="53">
        <f>(IF(Gulf!E65=1,0,L65*M65)+N65)*O65*B65</f>
        <v/>
      </c>
      <c r="Q65" s="53">
        <f>P65*oil_book</f>
        <v/>
      </c>
      <c r="R65" s="68" t="n">
        <v>2.3</v>
      </c>
      <c r="S65" s="45" t="n">
        <v>17</v>
      </c>
      <c r="T65" s="53">
        <f>R65*S65*B65</f>
        <v/>
      </c>
      <c r="U65" s="45" t="n">
        <v>4</v>
      </c>
      <c r="V65" s="45" t="n">
        <v>472</v>
      </c>
      <c r="W65" s="53">
        <f>U65/1000*V65*B65</f>
        <v/>
      </c>
      <c r="X65" s="45" t="n">
        <v>1885</v>
      </c>
      <c r="Y65" s="59" t="n">
        <v>0.058</v>
      </c>
      <c r="Z65" s="53">
        <f>X65*Y65*chem_va*B65</f>
        <v/>
      </c>
      <c r="AA65" s="59" t="n">
        <v>0.032</v>
      </c>
      <c r="AB65" s="53">
        <f>X65*AA65*roy_rate*B65*(1-IF(union_resp=2,lic_cut*Labour!S65,0))</f>
        <v/>
      </c>
      <c r="AC65" s="45" t="n">
        <v>631</v>
      </c>
      <c r="AD65" s="59" t="n">
        <v>0.22</v>
      </c>
      <c r="AE65" s="59" t="n">
        <v>0.343</v>
      </c>
      <c r="AF65" s="53">
        <f>AC65*AD65*elec_va*B65</f>
        <v/>
      </c>
      <c r="AG65" s="53">
        <f>MAX(0,AE65-AD65)*AC65*roy_rate*B65*(1-IF(union_resp=2,lic_cut*Labour!S65,0))</f>
        <v/>
      </c>
      <c r="AH65" s="52" t="n">
        <v>54</v>
      </c>
      <c r="AI65" s="53">
        <f>AH65*B65</f>
        <v/>
      </c>
      <c r="AJ65" s="52" t="n">
        <v>45</v>
      </c>
      <c r="AK65" s="53">
        <f>AJ65*B65</f>
        <v/>
      </c>
      <c r="AL65" s="45" t="n">
        <v>300</v>
      </c>
      <c r="AM65" s="53">
        <f>AL65*uw_fee*B65</f>
        <v/>
      </c>
      <c r="AN65" s="52" t="n">
        <v>0</v>
      </c>
      <c r="AO65" s="52" t="n">
        <v>6</v>
      </c>
      <c r="AP65" s="53">
        <f>K65+T65+W65+Z65+AF65+AI65+AK65+AM65+AN65+AO65</f>
        <v/>
      </c>
      <c r="AQ65" s="53">
        <f>AP65*(1-1/champ_prem+champ_spill)</f>
        <v/>
      </c>
      <c r="AR65" s="63">
        <f>AP65/Economy!O65</f>
        <v/>
      </c>
      <c r="AS65" s="52" t="n">
        <v>450</v>
      </c>
      <c r="AT65" s="52" t="n">
        <v>112</v>
      </c>
      <c r="AU65" s="52" t="n">
        <v>121</v>
      </c>
      <c r="AV65" s="52" t="n">
        <v>0</v>
      </c>
      <c r="AW65" s="52" t="n">
        <v>18</v>
      </c>
      <c r="AX65" s="52" t="n">
        <v>527</v>
      </c>
      <c r="AY65" s="53">
        <f>Q65+(AS65+AT65+AU65+AV65+AW65+AX65)*B65</f>
        <v/>
      </c>
      <c r="AZ65" s="53">
        <f>P65+(AS65*ret_rail+AT65*ret_tel+AU65*ret_elec+AV65*ret_auto+AW65*ret_chem+AX65*ret_steel)*B65*IF(OR($A65=1931,$A65=1932),abroad_slump,1)+AB65+AG65</f>
        <v/>
      </c>
      <c r="BA65" s="53">
        <f>AP65*champ_profit+AZ65</f>
        <v/>
      </c>
      <c r="BB65" s="53">
        <f>(K65+AI65+AK65)*champ_profit+P65+(AS65*ret_rail+AT65*ret_tel+AU65*ret_elec)*B65*IF(OR($A65=1931,$A65=1932),abroad_slump,1)</f>
        <v/>
      </c>
      <c r="BC65" s="53">
        <f>(T65+W65+Z65+AF65+AN65+AO65)*champ_profit+(AV65*ret_auto+AW65*ret_chem+AX65*ret_steel)*B65*IF(OR($A65=1931,$A65=1932),abroad_slump,1)+AB65+AG65</f>
        <v/>
      </c>
      <c r="BD65" s="53">
        <f>IF($A65&gt;=crown_start,(BB65*crown_charter+BC65*crown_comp)*crown_payout,0)</f>
        <v/>
      </c>
      <c r="BE65" s="63">
        <f>IF(BB65+BC65&gt;0,(BB65*crown_charter+BC65*crown_comp)/(BA65),0)</f>
        <v/>
      </c>
    </row>
    <row r="66">
      <c r="A66" s="58" t="n">
        <v>1906</v>
      </c>
      <c r="B66" s="65">
        <f>champ_scale*(1+Labour!AP66)*(1+Partners!BX66)*(1-IF(union_resp=2,tariff_cut*Labour!S66,0))</f>
        <v/>
      </c>
      <c r="C66" s="45" t="n">
        <v>3150</v>
      </c>
      <c r="D66" s="45" t="n">
        <v>640</v>
      </c>
      <c r="E66" s="45" t="n">
        <v>6120</v>
      </c>
      <c r="F66" s="47">
        <f>E66*B66</f>
        <v/>
      </c>
      <c r="G66" s="47">
        <f>F66/Economy!B66*1000000</f>
        <v/>
      </c>
      <c r="H66" s="45" t="n">
        <v>336</v>
      </c>
      <c r="I66" s="67">
        <f>IF(H66&gt;0,G66/H66,0)</f>
        <v/>
      </c>
      <c r="J66" s="68" t="n">
        <v>0.404</v>
      </c>
      <c r="K66" s="53">
        <f>Resources!K66*J66*B66</f>
        <v/>
      </c>
      <c r="L66" s="45" t="n">
        <v>58</v>
      </c>
      <c r="M66" s="59" t="n">
        <v>0.456</v>
      </c>
      <c r="N66" s="45" t="n">
        <v>24</v>
      </c>
      <c r="O66" s="68" t="n">
        <v>0.573</v>
      </c>
      <c r="P66" s="53">
        <f>(IF(Gulf!E66=1,0,L66*M66)+N66)*O66*B66</f>
        <v/>
      </c>
      <c r="Q66" s="53">
        <f>P66*oil_book</f>
        <v/>
      </c>
      <c r="R66" s="68" t="n">
        <v>2.512</v>
      </c>
      <c r="S66" s="45" t="n">
        <v>17</v>
      </c>
      <c r="T66" s="53">
        <f>R66*S66*B66</f>
        <v/>
      </c>
      <c r="U66" s="45" t="n">
        <v>10.5</v>
      </c>
      <c r="V66" s="45" t="n">
        <v>467</v>
      </c>
      <c r="W66" s="53">
        <f>U66/1000*V66*B66</f>
        <v/>
      </c>
      <c r="X66" s="45" t="n">
        <v>1962</v>
      </c>
      <c r="Y66" s="59" t="n">
        <v>0.061</v>
      </c>
      <c r="Z66" s="53">
        <f>X66*Y66*chem_va*B66</f>
        <v/>
      </c>
      <c r="AA66" s="59" t="n">
        <v>0.034</v>
      </c>
      <c r="AB66" s="53">
        <f>X66*AA66*roy_rate*B66*(1-IF(union_resp=2,lic_cut*Labour!S66,0))</f>
        <v/>
      </c>
      <c r="AC66" s="45" t="n">
        <v>677</v>
      </c>
      <c r="AD66" s="59" t="n">
        <v>0.22</v>
      </c>
      <c r="AE66" s="59" t="n">
        <v>0.348</v>
      </c>
      <c r="AF66" s="53">
        <f>AC66*AD66*elec_va*B66</f>
        <v/>
      </c>
      <c r="AG66" s="53">
        <f>MAX(0,AE66-AD66)*AC66*roy_rate*B66*(1-IF(union_resp=2,lic_cut*Labour!S66,0))</f>
        <v/>
      </c>
      <c r="AH66" s="52" t="n">
        <v>59</v>
      </c>
      <c r="AI66" s="53">
        <f>AH66*B66</f>
        <v/>
      </c>
      <c r="AJ66" s="52" t="n">
        <v>48</v>
      </c>
      <c r="AK66" s="53">
        <f>AJ66*B66</f>
        <v/>
      </c>
      <c r="AL66" s="45" t="n">
        <v>120</v>
      </c>
      <c r="AM66" s="53">
        <f>AL66*uw_fee*B66</f>
        <v/>
      </c>
      <c r="AN66" s="52" t="n">
        <v>0</v>
      </c>
      <c r="AO66" s="52" t="n">
        <v>6</v>
      </c>
      <c r="AP66" s="53">
        <f>K66+T66+W66+Z66+AF66+AI66+AK66+AM66+AN66+AO66</f>
        <v/>
      </c>
      <c r="AQ66" s="53">
        <f>AP66*(1-1/champ_prem+champ_spill)</f>
        <v/>
      </c>
      <c r="AR66" s="63">
        <f>AP66/Economy!O66</f>
        <v/>
      </c>
      <c r="AS66" s="52" t="n">
        <v>506</v>
      </c>
      <c r="AT66" s="52" t="n">
        <v>121</v>
      </c>
      <c r="AU66" s="52" t="n">
        <v>137</v>
      </c>
      <c r="AV66" s="52" t="n">
        <v>0</v>
      </c>
      <c r="AW66" s="52" t="n">
        <v>21</v>
      </c>
      <c r="AX66" s="52" t="n">
        <v>536</v>
      </c>
      <c r="AY66" s="53">
        <f>Q66+(AS66+AT66+AU66+AV66+AW66+AX66)*B66</f>
        <v/>
      </c>
      <c r="AZ66" s="53">
        <f>P66+(AS66*ret_rail+AT66*ret_tel+AU66*ret_elec+AV66*ret_auto+AW66*ret_chem+AX66*ret_steel)*B66*IF(OR($A66=1931,$A66=1932),abroad_slump,1)+AB66+AG66</f>
        <v/>
      </c>
      <c r="BA66" s="53">
        <f>AP66*champ_profit+AZ66</f>
        <v/>
      </c>
      <c r="BB66" s="53">
        <f>(K66+AI66+AK66)*champ_profit+P66+(AS66*ret_rail+AT66*ret_tel+AU66*ret_elec)*B66*IF(OR($A66=1931,$A66=1932),abroad_slump,1)</f>
        <v/>
      </c>
      <c r="BC66" s="53">
        <f>(T66+W66+Z66+AF66+AN66+AO66)*champ_profit+(AV66*ret_auto+AW66*ret_chem+AX66*ret_steel)*B66*IF(OR($A66=1931,$A66=1932),abroad_slump,1)+AB66+AG66</f>
        <v/>
      </c>
      <c r="BD66" s="53">
        <f>IF($A66&gt;=crown_start,(BB66*crown_charter+BC66*crown_comp)*crown_payout,0)</f>
        <v/>
      </c>
      <c r="BE66" s="63">
        <f>IF(BB66+BC66&gt;0,(BB66*crown_charter+BC66*crown_comp)/(BA66),0)</f>
        <v/>
      </c>
    </row>
    <row r="67">
      <c r="A67" s="58" t="n">
        <v>1907</v>
      </c>
      <c r="B67" s="65">
        <f>champ_scale*(1+Labour!AP67)*(1+Partners!BX67)*(1-IF(union_resp=2,tariff_cut*Labour!S67,0))</f>
        <v/>
      </c>
      <c r="C67" s="45" t="n">
        <v>3350</v>
      </c>
      <c r="D67" s="45" t="n">
        <v>660</v>
      </c>
      <c r="E67" s="45" t="n">
        <v>6380</v>
      </c>
      <c r="F67" s="47">
        <f>E67*B67</f>
        <v/>
      </c>
      <c r="G67" s="47">
        <f>F67/Economy!B67*1000000</f>
        <v/>
      </c>
      <c r="H67" s="45" t="n">
        <v>337</v>
      </c>
      <c r="I67" s="67">
        <f>IF(H67&gt;0,G67/H67,0)</f>
        <v/>
      </c>
      <c r="J67" s="68" t="n">
        <v>0.411</v>
      </c>
      <c r="K67" s="53">
        <f>Resources!K67*J67*B67</f>
        <v/>
      </c>
      <c r="L67" s="45" t="n">
        <v>67</v>
      </c>
      <c r="M67" s="59" t="n">
        <v>0.467</v>
      </c>
      <c r="N67" s="45" t="n">
        <v>26</v>
      </c>
      <c r="O67" s="68" t="n">
        <v>0.577</v>
      </c>
      <c r="P67" s="53">
        <f>(IF(Gulf!E67=1,0,L67*M67)+N67)*O67*B67</f>
        <v/>
      </c>
      <c r="Q67" s="53">
        <f>P67*oil_book</f>
        <v/>
      </c>
      <c r="R67" s="68" t="n">
        <v>2.725</v>
      </c>
      <c r="S67" s="45" t="n">
        <v>17</v>
      </c>
      <c r="T67" s="53">
        <f>R67*S67*B67</f>
        <v/>
      </c>
      <c r="U67" s="45" t="n">
        <v>17</v>
      </c>
      <c r="V67" s="45" t="n">
        <v>461</v>
      </c>
      <c r="W67" s="53">
        <f>U67/1000*V67*B67</f>
        <v/>
      </c>
      <c r="X67" s="45" t="n">
        <v>2038</v>
      </c>
      <c r="Y67" s="59" t="n">
        <v>0.064</v>
      </c>
      <c r="Z67" s="53">
        <f>X67*Y67*chem_va*B67</f>
        <v/>
      </c>
      <c r="AA67" s="59" t="n">
        <v>0.036</v>
      </c>
      <c r="AB67" s="53">
        <f>X67*AA67*roy_rate*B67*(1-IF(union_resp=2,lic_cut*Labour!S67,0))</f>
        <v/>
      </c>
      <c r="AC67" s="45" t="n">
        <v>723</v>
      </c>
      <c r="AD67" s="59" t="n">
        <v>0.22</v>
      </c>
      <c r="AE67" s="59" t="n">
        <v>0.352</v>
      </c>
      <c r="AF67" s="53">
        <f>AC67*AD67*elec_va*B67</f>
        <v/>
      </c>
      <c r="AG67" s="53">
        <f>MAX(0,AE67-AD67)*AC67*roy_rate*B67*(1-IF(union_resp=2,lic_cut*Labour!S67,0))</f>
        <v/>
      </c>
      <c r="AH67" s="52" t="n">
        <v>63</v>
      </c>
      <c r="AI67" s="53">
        <f>AH67*B67</f>
        <v/>
      </c>
      <c r="AJ67" s="52" t="n">
        <v>52</v>
      </c>
      <c r="AK67" s="53">
        <f>AJ67*B67</f>
        <v/>
      </c>
      <c r="AL67" s="45" t="n">
        <v>131</v>
      </c>
      <c r="AM67" s="53">
        <f>AL67*uw_fee*B67</f>
        <v/>
      </c>
      <c r="AN67" s="52" t="n">
        <v>0</v>
      </c>
      <c r="AO67" s="52" t="n">
        <v>7</v>
      </c>
      <c r="AP67" s="53">
        <f>K67+T67+W67+Z67+AF67+AI67+AK67+AM67+AN67+AO67</f>
        <v/>
      </c>
      <c r="AQ67" s="53">
        <f>AP67*(1-1/champ_prem+champ_spill)</f>
        <v/>
      </c>
      <c r="AR67" s="63">
        <f>AP67/Economy!O67</f>
        <v/>
      </c>
      <c r="AS67" s="52" t="n">
        <v>562</v>
      </c>
      <c r="AT67" s="52" t="n">
        <v>129</v>
      </c>
      <c r="AU67" s="52" t="n">
        <v>153</v>
      </c>
      <c r="AV67" s="52" t="n">
        <v>0</v>
      </c>
      <c r="AW67" s="52" t="n">
        <v>24</v>
      </c>
      <c r="AX67" s="52" t="n">
        <v>545</v>
      </c>
      <c r="AY67" s="53">
        <f>Q67+(AS67+AT67+AU67+AV67+AW67+AX67)*B67</f>
        <v/>
      </c>
      <c r="AZ67" s="53">
        <f>P67+(AS67*ret_rail+AT67*ret_tel+AU67*ret_elec+AV67*ret_auto+AW67*ret_chem+AX67*ret_steel)*B67*IF(OR($A67=1931,$A67=1932),abroad_slump,1)+AB67+AG67</f>
        <v/>
      </c>
      <c r="BA67" s="53">
        <f>AP67*champ_profit+AZ67</f>
        <v/>
      </c>
      <c r="BB67" s="53">
        <f>(K67+AI67+AK67)*champ_profit+P67+(AS67*ret_rail+AT67*ret_tel+AU67*ret_elec)*B67*IF(OR($A67=1931,$A67=1932),abroad_slump,1)</f>
        <v/>
      </c>
      <c r="BC67" s="53">
        <f>(T67+W67+Z67+AF67+AN67+AO67)*champ_profit+(AV67*ret_auto+AW67*ret_chem+AX67*ret_steel)*B67*IF(OR($A67=1931,$A67=1932),abroad_slump,1)+AB67+AG67</f>
        <v/>
      </c>
      <c r="BD67" s="53">
        <f>IF($A67&gt;=crown_start,(BB67*crown_charter+BC67*crown_comp)*crown_payout,0)</f>
        <v/>
      </c>
      <c r="BE67" s="63">
        <f>IF(BB67+BC67&gt;0,(BB67*crown_charter+BC67*crown_comp)/(BA67),0)</f>
        <v/>
      </c>
    </row>
    <row r="68">
      <c r="A68" s="58" t="n">
        <v>1908</v>
      </c>
      <c r="B68" s="65">
        <f>champ_scale*(1+Labour!AP68)*(1+Partners!BX68)*(1-IF(union_resp=2,tariff_cut*Labour!S68,0))</f>
        <v/>
      </c>
      <c r="C68" s="45" t="n">
        <v>3540</v>
      </c>
      <c r="D68" s="45" t="n">
        <v>680</v>
      </c>
      <c r="E68" s="45" t="n">
        <v>6650</v>
      </c>
      <c r="F68" s="47">
        <f>E68*B68</f>
        <v/>
      </c>
      <c r="G68" s="47">
        <f>F68/Economy!B68*1000000</f>
        <v/>
      </c>
      <c r="H68" s="45" t="n">
        <v>339</v>
      </c>
      <c r="I68" s="67">
        <f>IF(H68&gt;0,G68/H68,0)</f>
        <v/>
      </c>
      <c r="J68" s="68" t="n">
        <v>0.417</v>
      </c>
      <c r="K68" s="53">
        <f>Resources!K68*J68*B68</f>
        <v/>
      </c>
      <c r="L68" s="45" t="n">
        <v>75</v>
      </c>
      <c r="M68" s="59" t="n">
        <v>0.478</v>
      </c>
      <c r="N68" s="45" t="n">
        <v>27</v>
      </c>
      <c r="O68" s="68" t="n">
        <v>0.581</v>
      </c>
      <c r="P68" s="53">
        <f>(IF(Gulf!E68=1,0,L68*M68)+N68)*O68*B68</f>
        <v/>
      </c>
      <c r="Q68" s="53">
        <f>P68*oil_book</f>
        <v/>
      </c>
      <c r="R68" s="68" t="n">
        <v>2.938</v>
      </c>
      <c r="S68" s="45" t="n">
        <v>17</v>
      </c>
      <c r="T68" s="53">
        <f>R68*S68*B68</f>
        <v/>
      </c>
      <c r="U68" s="45" t="n">
        <v>23.5</v>
      </c>
      <c r="V68" s="45" t="n">
        <v>456</v>
      </c>
      <c r="W68" s="53">
        <f>U68/1000*V68*B68</f>
        <v/>
      </c>
      <c r="X68" s="45" t="n">
        <v>2115</v>
      </c>
      <c r="Y68" s="59" t="n">
        <v>0.067</v>
      </c>
      <c r="Z68" s="53">
        <f>X68*Y68*chem_va*B68</f>
        <v/>
      </c>
      <c r="AA68" s="59" t="n">
        <v>0.038</v>
      </c>
      <c r="AB68" s="53">
        <f>X68*AA68*roy_rate*B68*(1-IF(union_resp=2,lic_cut*Labour!S68,0))</f>
        <v/>
      </c>
      <c r="AC68" s="45" t="n">
        <v>769</v>
      </c>
      <c r="AD68" s="59" t="n">
        <v>0.22</v>
      </c>
      <c r="AE68" s="59" t="n">
        <v>0.357</v>
      </c>
      <c r="AF68" s="53">
        <f>AC68*AD68*elec_va*B68</f>
        <v/>
      </c>
      <c r="AG68" s="53">
        <f>MAX(0,AE68-AD68)*AC68*roy_rate*B68*(1-IF(union_resp=2,lic_cut*Labour!S68,0))</f>
        <v/>
      </c>
      <c r="AH68" s="52" t="n">
        <v>68</v>
      </c>
      <c r="AI68" s="53">
        <f>AH68*B68</f>
        <v/>
      </c>
      <c r="AJ68" s="52" t="n">
        <v>55</v>
      </c>
      <c r="AK68" s="53">
        <f>AJ68*B68</f>
        <v/>
      </c>
      <c r="AL68" s="45" t="n">
        <v>143</v>
      </c>
      <c r="AM68" s="53">
        <f>AL68*uw_fee*B68</f>
        <v/>
      </c>
      <c r="AN68" s="52" t="n">
        <v>0</v>
      </c>
      <c r="AO68" s="52" t="n">
        <v>8</v>
      </c>
      <c r="AP68" s="53">
        <f>K68+T68+W68+Z68+AF68+AI68+AK68+AM68+AN68+AO68</f>
        <v/>
      </c>
      <c r="AQ68" s="53">
        <f>AP68*(1-1/champ_prem+champ_spill)</f>
        <v/>
      </c>
      <c r="AR68" s="63">
        <f>AP68/Economy!O68</f>
        <v/>
      </c>
      <c r="AS68" s="52" t="n">
        <v>619</v>
      </c>
      <c r="AT68" s="52" t="n">
        <v>138</v>
      </c>
      <c r="AU68" s="52" t="n">
        <v>169</v>
      </c>
      <c r="AV68" s="52" t="n">
        <v>0</v>
      </c>
      <c r="AW68" s="52" t="n">
        <v>27</v>
      </c>
      <c r="AX68" s="52" t="n">
        <v>554</v>
      </c>
      <c r="AY68" s="53">
        <f>Q68+(AS68+AT68+AU68+AV68+AW68+AX68)*B68</f>
        <v/>
      </c>
      <c r="AZ68" s="53">
        <f>P68+(AS68*ret_rail+AT68*ret_tel+AU68*ret_elec+AV68*ret_auto+AW68*ret_chem+AX68*ret_steel)*B68*IF(OR($A68=1931,$A68=1932),abroad_slump,1)+AB68+AG68</f>
        <v/>
      </c>
      <c r="BA68" s="53">
        <f>AP68*champ_profit+AZ68</f>
        <v/>
      </c>
      <c r="BB68" s="53">
        <f>(K68+AI68+AK68)*champ_profit+P68+(AS68*ret_rail+AT68*ret_tel+AU68*ret_elec)*B68*IF(OR($A68=1931,$A68=1932),abroad_slump,1)</f>
        <v/>
      </c>
      <c r="BC68" s="53">
        <f>(T68+W68+Z68+AF68+AN68+AO68)*champ_profit+(AV68*ret_auto+AW68*ret_chem+AX68*ret_steel)*B68*IF(OR($A68=1931,$A68=1932),abroad_slump,1)+AB68+AG68</f>
        <v/>
      </c>
      <c r="BD68" s="53">
        <f>IF($A68&gt;=crown_start,(BB68*crown_charter+BC68*crown_comp)*crown_payout,0)</f>
        <v/>
      </c>
      <c r="BE68" s="63">
        <f>IF(BB68+BC68&gt;0,(BB68*crown_charter+BC68*crown_comp)/(BA68),0)</f>
        <v/>
      </c>
    </row>
    <row r="69">
      <c r="A69" s="58" t="n">
        <v>1909</v>
      </c>
      <c r="B69" s="65">
        <f>champ_scale*(1+Labour!AP69)*(1+Partners!BX69)*(1-IF(union_resp=2,tariff_cut*Labour!S69,0))</f>
        <v/>
      </c>
      <c r="C69" s="45" t="n">
        <v>3730</v>
      </c>
      <c r="D69" s="45" t="n">
        <v>710</v>
      </c>
      <c r="E69" s="45" t="n">
        <v>6920</v>
      </c>
      <c r="F69" s="47">
        <f>E69*B69</f>
        <v/>
      </c>
      <c r="G69" s="47">
        <f>F69/Economy!B69*1000000</f>
        <v/>
      </c>
      <c r="H69" s="45" t="n">
        <v>341</v>
      </c>
      <c r="I69" s="67">
        <f>IF(H69&gt;0,G69/H69,0)</f>
        <v/>
      </c>
      <c r="J69" s="68" t="n">
        <v>0.424</v>
      </c>
      <c r="K69" s="53">
        <f>Resources!K69*J69*B69</f>
        <v/>
      </c>
      <c r="L69" s="45" t="n">
        <v>82</v>
      </c>
      <c r="M69" s="59" t="n">
        <v>0.489</v>
      </c>
      <c r="N69" s="45" t="n">
        <v>29</v>
      </c>
      <c r="O69" s="68" t="n">
        <v>0.585</v>
      </c>
      <c r="P69" s="53">
        <f>(IF(Gulf!E69=1,0,L69*M69)+N69)*O69*B69</f>
        <v/>
      </c>
      <c r="Q69" s="53">
        <f>P69*oil_book</f>
        <v/>
      </c>
      <c r="R69" s="68" t="n">
        <v>3.15</v>
      </c>
      <c r="S69" s="45" t="n">
        <v>17</v>
      </c>
      <c r="T69" s="53">
        <f>R69*S69*B69</f>
        <v/>
      </c>
      <c r="U69" s="45" t="n">
        <v>30</v>
      </c>
      <c r="V69" s="45" t="n">
        <v>450</v>
      </c>
      <c r="W69" s="53">
        <f>U69/1000*V69*B69</f>
        <v/>
      </c>
      <c r="X69" s="45" t="n">
        <v>2192</v>
      </c>
      <c r="Y69" s="59" t="n">
        <v>0.06900000000000001</v>
      </c>
      <c r="Z69" s="53">
        <f>X69*Y69*chem_va*B69</f>
        <v/>
      </c>
      <c r="AA69" s="59" t="n">
        <v>0.041</v>
      </c>
      <c r="AB69" s="53">
        <f>X69*AA69*roy_rate*B69*(1-IF(union_resp=2,lic_cut*Labour!S69,0))</f>
        <v/>
      </c>
      <c r="AC69" s="45" t="n">
        <v>815</v>
      </c>
      <c r="AD69" s="59" t="n">
        <v>0.22</v>
      </c>
      <c r="AE69" s="59" t="n">
        <v>0.362</v>
      </c>
      <c r="AF69" s="53">
        <f>AC69*AD69*elec_va*B69</f>
        <v/>
      </c>
      <c r="AG69" s="53">
        <f>MAX(0,AE69-AD69)*AC69*roy_rate*B69*(1-IF(union_resp=2,lic_cut*Labour!S69,0))</f>
        <v/>
      </c>
      <c r="AH69" s="52" t="n">
        <v>72</v>
      </c>
      <c r="AI69" s="53">
        <f>AH69*B69</f>
        <v/>
      </c>
      <c r="AJ69" s="52" t="n">
        <v>58</v>
      </c>
      <c r="AK69" s="53">
        <f>AJ69*B69</f>
        <v/>
      </c>
      <c r="AL69" s="45" t="n">
        <v>154</v>
      </c>
      <c r="AM69" s="53">
        <f>AL69*uw_fee*B69</f>
        <v/>
      </c>
      <c r="AN69" s="52" t="n">
        <v>0</v>
      </c>
      <c r="AO69" s="52" t="n">
        <v>9</v>
      </c>
      <c r="AP69" s="53">
        <f>K69+T69+W69+Z69+AF69+AI69+AK69+AM69+AN69+AO69</f>
        <v/>
      </c>
      <c r="AQ69" s="53">
        <f>AP69*(1-1/champ_prem+champ_spill)</f>
        <v/>
      </c>
      <c r="AR69" s="63">
        <f>AP69/Economy!O69</f>
        <v/>
      </c>
      <c r="AS69" s="52" t="n">
        <v>675</v>
      </c>
      <c r="AT69" s="52" t="n">
        <v>146</v>
      </c>
      <c r="AU69" s="52" t="n">
        <v>185</v>
      </c>
      <c r="AV69" s="52" t="n">
        <v>0</v>
      </c>
      <c r="AW69" s="52" t="n">
        <v>29</v>
      </c>
      <c r="AX69" s="52" t="n">
        <v>563</v>
      </c>
      <c r="AY69" s="53">
        <f>Q69+(AS69+AT69+AU69+AV69+AW69+AX69)*B69</f>
        <v/>
      </c>
      <c r="AZ69" s="53">
        <f>P69+(AS69*ret_rail+AT69*ret_tel+AU69*ret_elec+AV69*ret_auto+AW69*ret_chem+AX69*ret_steel)*B69*IF(OR($A69=1931,$A69=1932),abroad_slump,1)+AB69+AG69</f>
        <v/>
      </c>
      <c r="BA69" s="53">
        <f>AP69*champ_profit+AZ69</f>
        <v/>
      </c>
      <c r="BB69" s="53">
        <f>(K69+AI69+AK69)*champ_profit+P69+(AS69*ret_rail+AT69*ret_tel+AU69*ret_elec)*B69*IF(OR($A69=1931,$A69=1932),abroad_slump,1)</f>
        <v/>
      </c>
      <c r="BC69" s="53">
        <f>(T69+W69+Z69+AF69+AN69+AO69)*champ_profit+(AV69*ret_auto+AW69*ret_chem+AX69*ret_steel)*B69*IF(OR($A69=1931,$A69=1932),abroad_slump,1)+AB69+AG69</f>
        <v/>
      </c>
      <c r="BD69" s="53">
        <f>IF($A69&gt;=crown_start,(BB69*crown_charter+BC69*crown_comp)*crown_payout,0)</f>
        <v/>
      </c>
      <c r="BE69" s="63">
        <f>IF(BB69+BC69&gt;0,(BB69*crown_charter+BC69*crown_comp)/(BA69),0)</f>
        <v/>
      </c>
    </row>
    <row r="70">
      <c r="A70" s="58" t="n">
        <v>1910</v>
      </c>
      <c r="B70" s="65">
        <f>champ_scale*(1+Labour!AP70)*(1+Partners!BX70)*(1-IF(union_resp=2,tariff_cut*Labour!S70,0))</f>
        <v/>
      </c>
      <c r="C70" s="45" t="n">
        <v>3920</v>
      </c>
      <c r="D70" s="45" t="n">
        <v>730</v>
      </c>
      <c r="E70" s="45" t="n">
        <v>7190</v>
      </c>
      <c r="F70" s="47">
        <f>E70*B70</f>
        <v/>
      </c>
      <c r="G70" s="47">
        <f>F70/Economy!B70*1000000</f>
        <v/>
      </c>
      <c r="H70" s="45" t="n">
        <v>343</v>
      </c>
      <c r="I70" s="67">
        <f>IF(H70&gt;0,G70/H70,0)</f>
        <v/>
      </c>
      <c r="J70" s="68" t="n">
        <v>0.43</v>
      </c>
      <c r="K70" s="53">
        <f>Resources!K70*J70*B70</f>
        <v/>
      </c>
      <c r="L70" s="45" t="n">
        <v>89</v>
      </c>
      <c r="M70" s="59" t="n">
        <v>0.5</v>
      </c>
      <c r="N70" s="45" t="n">
        <v>30</v>
      </c>
      <c r="O70" s="68" t="n">
        <v>0.588</v>
      </c>
      <c r="P70" s="53">
        <f>(IF(Gulf!E70=1,0,L70*M70)+N70)*O70*B70</f>
        <v/>
      </c>
      <c r="Q70" s="53">
        <f>P70*oil_book</f>
        <v/>
      </c>
      <c r="R70" s="68" t="n">
        <v>3.362</v>
      </c>
      <c r="S70" s="45" t="n">
        <v>18</v>
      </c>
      <c r="T70" s="53">
        <f>R70*S70*B70</f>
        <v/>
      </c>
      <c r="U70" s="45" t="n">
        <v>50</v>
      </c>
      <c r="V70" s="45" t="n">
        <v>412</v>
      </c>
      <c r="W70" s="53">
        <f>U70/1000*V70*B70</f>
        <v/>
      </c>
      <c r="X70" s="45" t="n">
        <v>2269</v>
      </c>
      <c r="Y70" s="59" t="n">
        <v>0.07199999999999999</v>
      </c>
      <c r="Z70" s="53">
        <f>X70*Y70*chem_va*B70</f>
        <v/>
      </c>
      <c r="AA70" s="59" t="n">
        <v>0.043</v>
      </c>
      <c r="AB70" s="53">
        <f>X70*AA70*roy_rate*B70*(1-IF(union_resp=2,lic_cut*Labour!S70,0))</f>
        <v/>
      </c>
      <c r="AC70" s="45" t="n">
        <v>862</v>
      </c>
      <c r="AD70" s="59" t="n">
        <v>0.22</v>
      </c>
      <c r="AE70" s="59" t="n">
        <v>0.366</v>
      </c>
      <c r="AF70" s="53">
        <f>AC70*AD70*elec_va*B70</f>
        <v/>
      </c>
      <c r="AG70" s="53">
        <f>MAX(0,AE70-AD70)*AC70*roy_rate*B70*(1-IF(union_resp=2,lic_cut*Labour!S70,0))</f>
        <v/>
      </c>
      <c r="AH70" s="52" t="n">
        <v>77</v>
      </c>
      <c r="AI70" s="53">
        <f>AH70*B70</f>
        <v/>
      </c>
      <c r="AJ70" s="52" t="n">
        <v>61</v>
      </c>
      <c r="AK70" s="53">
        <f>AJ70*B70</f>
        <v/>
      </c>
      <c r="AL70" s="45" t="n">
        <v>166</v>
      </c>
      <c r="AM70" s="53">
        <f>AL70*uw_fee*B70</f>
        <v/>
      </c>
      <c r="AN70" s="52" t="n">
        <v>0</v>
      </c>
      <c r="AO70" s="52" t="n">
        <v>10</v>
      </c>
      <c r="AP70" s="53">
        <f>K70+T70+W70+Z70+AF70+AI70+AK70+AM70+AN70+AO70</f>
        <v/>
      </c>
      <c r="AQ70" s="53">
        <f>AP70*(1-1/champ_prem+champ_spill)</f>
        <v/>
      </c>
      <c r="AR70" s="63">
        <f>AP70/Economy!O70</f>
        <v/>
      </c>
      <c r="AS70" s="52" t="n">
        <v>731</v>
      </c>
      <c r="AT70" s="52" t="n">
        <v>155</v>
      </c>
      <c r="AU70" s="52" t="n">
        <v>202</v>
      </c>
      <c r="AV70" s="52" t="n">
        <v>2</v>
      </c>
      <c r="AW70" s="52" t="n">
        <v>32</v>
      </c>
      <c r="AX70" s="52" t="n">
        <v>572</v>
      </c>
      <c r="AY70" s="53">
        <f>Q70+(AS70+AT70+AU70+AV70+AW70+AX70)*B70</f>
        <v/>
      </c>
      <c r="AZ70" s="53">
        <f>P70+(AS70*ret_rail+AT70*ret_tel+AU70*ret_elec+AV70*ret_auto+AW70*ret_chem+AX70*ret_steel)*B70*IF(OR($A70=1931,$A70=1932),abroad_slump,1)+AB70+AG70</f>
        <v/>
      </c>
      <c r="BA70" s="53">
        <f>AP70*champ_profit+AZ70</f>
        <v/>
      </c>
      <c r="BB70" s="53">
        <f>(K70+AI70+AK70)*champ_profit+P70+(AS70*ret_rail+AT70*ret_tel+AU70*ret_elec)*B70*IF(OR($A70=1931,$A70=1932),abroad_slump,1)</f>
        <v/>
      </c>
      <c r="BC70" s="53">
        <f>(T70+W70+Z70+AF70+AN70+AO70)*champ_profit+(AV70*ret_auto+AW70*ret_chem+AX70*ret_steel)*B70*IF(OR($A70=1931,$A70=1932),abroad_slump,1)+AB70+AG70</f>
        <v/>
      </c>
      <c r="BD70" s="53">
        <f>IF($A70&gt;=crown_start,(BB70*crown_charter+BC70*crown_comp)*crown_payout,0)</f>
        <v/>
      </c>
      <c r="BE70" s="63">
        <f>IF(BB70+BC70&gt;0,(BB70*crown_charter+BC70*crown_comp)/(BA70),0)</f>
        <v/>
      </c>
    </row>
    <row r="71">
      <c r="A71" s="58" t="n">
        <v>1911</v>
      </c>
      <c r="B71" s="65">
        <f>champ_scale*(1+Labour!AP71)*(1+Partners!BX71)*(1-IF(union_resp=2,tariff_cut*Labour!S71,0))</f>
        <v/>
      </c>
      <c r="C71" s="45" t="n">
        <v>4120</v>
      </c>
      <c r="D71" s="45" t="n">
        <v>750</v>
      </c>
      <c r="E71" s="45" t="n">
        <v>7460</v>
      </c>
      <c r="F71" s="47">
        <f>E71*B71</f>
        <v/>
      </c>
      <c r="G71" s="47">
        <f>F71/Economy!B71*1000000</f>
        <v/>
      </c>
      <c r="H71" s="45" t="n">
        <v>345</v>
      </c>
      <c r="I71" s="67">
        <f>IF(H71&gt;0,G71/H71,0)</f>
        <v/>
      </c>
      <c r="J71" s="68" t="n">
        <v>0.437</v>
      </c>
      <c r="K71" s="53">
        <f>Resources!K71*J71*B71</f>
        <v/>
      </c>
      <c r="L71" s="45" t="n">
        <v>96</v>
      </c>
      <c r="M71" s="59" t="n">
        <v>0.503</v>
      </c>
      <c r="N71" s="45" t="n">
        <v>32</v>
      </c>
      <c r="O71" s="68" t="n">
        <v>0.592</v>
      </c>
      <c r="P71" s="53">
        <f>(IF(Gulf!E71=1,0,L71*M71)+N71)*O71*B71</f>
        <v/>
      </c>
      <c r="Q71" s="53">
        <f>P71*oil_book</f>
        <v/>
      </c>
      <c r="R71" s="68" t="n">
        <v>3.575</v>
      </c>
      <c r="S71" s="45" t="n">
        <v>18</v>
      </c>
      <c r="T71" s="53">
        <f>R71*S71*B71</f>
        <v/>
      </c>
      <c r="U71" s="45" t="n">
        <v>70</v>
      </c>
      <c r="V71" s="45" t="n">
        <v>375</v>
      </c>
      <c r="W71" s="53">
        <f>U71/1000*V71*B71</f>
        <v/>
      </c>
      <c r="X71" s="45" t="n">
        <v>2346</v>
      </c>
      <c r="Y71" s="59" t="n">
        <v>0.075</v>
      </c>
      <c r="Z71" s="53">
        <f>X71*Y71*chem_va*B71</f>
        <v/>
      </c>
      <c r="AA71" s="59" t="n">
        <v>0.045</v>
      </c>
      <c r="AB71" s="53">
        <f>X71*AA71*roy_rate*B71*(1-IF(union_resp=2,lic_cut*Labour!S71,0))</f>
        <v/>
      </c>
      <c r="AC71" s="45" t="n">
        <v>908</v>
      </c>
      <c r="AD71" s="59" t="n">
        <v>0.22</v>
      </c>
      <c r="AE71" s="59" t="n">
        <v>0.371</v>
      </c>
      <c r="AF71" s="53">
        <f>AC71*AD71*elec_va*B71</f>
        <v/>
      </c>
      <c r="AG71" s="53">
        <f>MAX(0,AE71-AD71)*AC71*roy_rate*B71*(1-IF(union_resp=2,lic_cut*Labour!S71,0))</f>
        <v/>
      </c>
      <c r="AH71" s="52" t="n">
        <v>81</v>
      </c>
      <c r="AI71" s="53">
        <f>AH71*B71</f>
        <v/>
      </c>
      <c r="AJ71" s="52" t="n">
        <v>64</v>
      </c>
      <c r="AK71" s="53">
        <f>AJ71*B71</f>
        <v/>
      </c>
      <c r="AL71" s="45" t="n">
        <v>177</v>
      </c>
      <c r="AM71" s="53">
        <f>AL71*uw_fee*B71</f>
        <v/>
      </c>
      <c r="AN71" s="52" t="n">
        <v>0</v>
      </c>
      <c r="AO71" s="52" t="n">
        <v>16</v>
      </c>
      <c r="AP71" s="53">
        <f>K71+T71+W71+Z71+AF71+AI71+AK71+AM71+AN71+AO71</f>
        <v/>
      </c>
      <c r="AQ71" s="53">
        <f>AP71*(1-1/champ_prem+champ_spill)</f>
        <v/>
      </c>
      <c r="AR71" s="63">
        <f>AP71/Economy!O71</f>
        <v/>
      </c>
      <c r="AS71" s="52" t="n">
        <v>788</v>
      </c>
      <c r="AT71" s="52" t="n">
        <v>163</v>
      </c>
      <c r="AU71" s="52" t="n">
        <v>218</v>
      </c>
      <c r="AV71" s="52" t="n">
        <v>6</v>
      </c>
      <c r="AW71" s="52" t="n">
        <v>35</v>
      </c>
      <c r="AX71" s="52" t="n">
        <v>582</v>
      </c>
      <c r="AY71" s="53">
        <f>Q71+(AS71+AT71+AU71+AV71+AW71+AX71)*B71</f>
        <v/>
      </c>
      <c r="AZ71" s="53">
        <f>P71+(AS71*ret_rail+AT71*ret_tel+AU71*ret_elec+AV71*ret_auto+AW71*ret_chem+AX71*ret_steel)*B71*IF(OR($A71=1931,$A71=1932),abroad_slump,1)+AB71+AG71</f>
        <v/>
      </c>
      <c r="BA71" s="53">
        <f>AP71*champ_profit+AZ71</f>
        <v/>
      </c>
      <c r="BB71" s="53">
        <f>(K71+AI71+AK71)*champ_profit+P71+(AS71*ret_rail+AT71*ret_tel+AU71*ret_elec)*B71*IF(OR($A71=1931,$A71=1932),abroad_slump,1)</f>
        <v/>
      </c>
      <c r="BC71" s="53">
        <f>(T71+W71+Z71+AF71+AN71+AO71)*champ_profit+(AV71*ret_auto+AW71*ret_chem+AX71*ret_steel)*B71*IF(OR($A71=1931,$A71=1932),abroad_slump,1)+AB71+AG71</f>
        <v/>
      </c>
      <c r="BD71" s="53">
        <f>IF($A71&gt;=crown_start,(BB71*crown_charter+BC71*crown_comp)*crown_payout,0)</f>
        <v/>
      </c>
      <c r="BE71" s="63">
        <f>IF(BB71+BC71&gt;0,(BB71*crown_charter+BC71*crown_comp)/(BA71),0)</f>
        <v/>
      </c>
    </row>
    <row r="72">
      <c r="A72" s="58" t="n">
        <v>1912</v>
      </c>
      <c r="B72" s="65">
        <f>champ_scale*(1+Labour!AP72)*(1+Partners!BX72)*(1-IF(union_resp=2,tariff_cut*Labour!S72,0))</f>
        <v/>
      </c>
      <c r="C72" s="45" t="n">
        <v>4310</v>
      </c>
      <c r="D72" s="45" t="n">
        <v>780</v>
      </c>
      <c r="E72" s="45" t="n">
        <v>7730</v>
      </c>
      <c r="F72" s="47">
        <f>E72*B72</f>
        <v/>
      </c>
      <c r="G72" s="47">
        <f>F72/Economy!B72*1000000</f>
        <v/>
      </c>
      <c r="H72" s="45" t="n">
        <v>347</v>
      </c>
      <c r="I72" s="67">
        <f>IF(H72&gt;0,G72/H72,0)</f>
        <v/>
      </c>
      <c r="J72" s="68" t="n">
        <v>0.443</v>
      </c>
      <c r="K72" s="53">
        <f>Resources!K72*J72*B72</f>
        <v/>
      </c>
      <c r="L72" s="45" t="n">
        <v>103</v>
      </c>
      <c r="M72" s="59" t="n">
        <v>0.505</v>
      </c>
      <c r="N72" s="45" t="n">
        <v>33</v>
      </c>
      <c r="O72" s="68" t="n">
        <v>0.596</v>
      </c>
      <c r="P72" s="53">
        <f>(IF(Gulf!E72=1,0,L72*M72)+N72)*O72*B72</f>
        <v/>
      </c>
      <c r="Q72" s="53">
        <f>P72*oil_book</f>
        <v/>
      </c>
      <c r="R72" s="68" t="n">
        <v>3.788</v>
      </c>
      <c r="S72" s="45" t="n">
        <v>18</v>
      </c>
      <c r="T72" s="53">
        <f>R72*S72*B72</f>
        <v/>
      </c>
      <c r="U72" s="45" t="n">
        <v>120</v>
      </c>
      <c r="V72" s="45" t="n">
        <v>338</v>
      </c>
      <c r="W72" s="53">
        <f>U72/1000*V72*B72</f>
        <v/>
      </c>
      <c r="X72" s="45" t="n">
        <v>2423</v>
      </c>
      <c r="Y72" s="59" t="n">
        <v>0.077</v>
      </c>
      <c r="Z72" s="53">
        <f>X72*Y72*chem_va*B72</f>
        <v/>
      </c>
      <c r="AA72" s="59" t="n">
        <v>0.048</v>
      </c>
      <c r="AB72" s="53">
        <f>X72*AA72*roy_rate*B72*(1-IF(union_resp=2,lic_cut*Labour!S72,0))</f>
        <v/>
      </c>
      <c r="AC72" s="45" t="n">
        <v>954</v>
      </c>
      <c r="AD72" s="59" t="n">
        <v>0.22</v>
      </c>
      <c r="AE72" s="59" t="n">
        <v>0.375</v>
      </c>
      <c r="AF72" s="53">
        <f>AC72*AD72*elec_va*B72</f>
        <v/>
      </c>
      <c r="AG72" s="53">
        <f>MAX(0,AE72-AD72)*AC72*roy_rate*B72*(1-IF(union_resp=2,lic_cut*Labour!S72,0))</f>
        <v/>
      </c>
      <c r="AH72" s="52" t="n">
        <v>86</v>
      </c>
      <c r="AI72" s="53">
        <f>AH72*B72</f>
        <v/>
      </c>
      <c r="AJ72" s="52" t="n">
        <v>67</v>
      </c>
      <c r="AK72" s="53">
        <f>AJ72*B72</f>
        <v/>
      </c>
      <c r="AL72" s="45" t="n">
        <v>189</v>
      </c>
      <c r="AM72" s="53">
        <f>AL72*uw_fee*B72</f>
        <v/>
      </c>
      <c r="AN72" s="52" t="n">
        <v>15</v>
      </c>
      <c r="AO72" s="52" t="n">
        <v>22</v>
      </c>
      <c r="AP72" s="53">
        <f>K72+T72+W72+Z72+AF72+AI72+AK72+AM72+AN72+AO72</f>
        <v/>
      </c>
      <c r="AQ72" s="53">
        <f>AP72*(1-1/champ_prem+champ_spill)</f>
        <v/>
      </c>
      <c r="AR72" s="63">
        <f>AP72/Economy!O72</f>
        <v/>
      </c>
      <c r="AS72" s="52" t="n">
        <v>844</v>
      </c>
      <c r="AT72" s="52" t="n">
        <v>172</v>
      </c>
      <c r="AU72" s="52" t="n">
        <v>234</v>
      </c>
      <c r="AV72" s="52" t="n">
        <v>11</v>
      </c>
      <c r="AW72" s="52" t="n">
        <v>37</v>
      </c>
      <c r="AX72" s="52" t="n">
        <v>591</v>
      </c>
      <c r="AY72" s="53">
        <f>Q72+(AS72+AT72+AU72+AV72+AW72+AX72)*B72</f>
        <v/>
      </c>
      <c r="AZ72" s="53">
        <f>P72+(AS72*ret_rail+AT72*ret_tel+AU72*ret_elec+AV72*ret_auto+AW72*ret_chem+AX72*ret_steel)*B72*IF(OR($A72=1931,$A72=1932),abroad_slump,1)+AB72+AG72</f>
        <v/>
      </c>
      <c r="BA72" s="53">
        <f>AP72*champ_profit+AZ72</f>
        <v/>
      </c>
      <c r="BB72" s="53">
        <f>(K72+AI72+AK72)*champ_profit+P72+(AS72*ret_rail+AT72*ret_tel+AU72*ret_elec)*B72*IF(OR($A72=1931,$A72=1932),abroad_slump,1)</f>
        <v/>
      </c>
      <c r="BC72" s="53">
        <f>(T72+W72+Z72+AF72+AN72+AO72)*champ_profit+(AV72*ret_auto+AW72*ret_chem+AX72*ret_steel)*B72*IF(OR($A72=1931,$A72=1932),abroad_slump,1)+AB72+AG72</f>
        <v/>
      </c>
      <c r="BD72" s="53">
        <f>IF($A72&gt;=crown_start,(BB72*crown_charter+BC72*crown_comp)*crown_payout,0)</f>
        <v/>
      </c>
      <c r="BE72" s="63">
        <f>IF(BB72+BC72&gt;0,(BB72*crown_charter+BC72*crown_comp)/(BA72),0)</f>
        <v/>
      </c>
    </row>
    <row r="73">
      <c r="A73" s="58" t="n">
        <v>1913</v>
      </c>
      <c r="B73" s="65">
        <f>champ_scale*(1+Labour!AP73)*(1+Partners!BX73)*(1-IF(union_resp=2,tariff_cut*Labour!S73,0))</f>
        <v/>
      </c>
      <c r="C73" s="45" t="n">
        <v>4500</v>
      </c>
      <c r="D73" s="45" t="n">
        <v>800</v>
      </c>
      <c r="E73" s="45" t="n">
        <v>8000</v>
      </c>
      <c r="F73" s="47">
        <f>E73*B73</f>
        <v/>
      </c>
      <c r="G73" s="47">
        <f>F73/Economy!B73*1000000</f>
        <v/>
      </c>
      <c r="H73" s="45" t="n">
        <v>349</v>
      </c>
      <c r="I73" s="67">
        <f>IF(H73&gt;0,G73/H73,0)</f>
        <v/>
      </c>
      <c r="J73" s="68" t="n">
        <v>0.45</v>
      </c>
      <c r="K73" s="53">
        <f>Resources!K73*J73*B73</f>
        <v/>
      </c>
      <c r="L73" s="45" t="n">
        <v>110</v>
      </c>
      <c r="M73" s="59" t="n">
        <v>0.508</v>
      </c>
      <c r="N73" s="45" t="n">
        <v>35</v>
      </c>
      <c r="O73" s="68" t="n">
        <v>0.6</v>
      </c>
      <c r="P73" s="53">
        <f>(IF(Gulf!E73=1,0,L73*M73)+N73)*O73*B73</f>
        <v/>
      </c>
      <c r="Q73" s="53">
        <f>P73*oil_book</f>
        <v/>
      </c>
      <c r="R73" s="68" t="n">
        <v>4</v>
      </c>
      <c r="S73" s="45" t="n">
        <v>18</v>
      </c>
      <c r="T73" s="53">
        <f>R73*S73*B73</f>
        <v/>
      </c>
      <c r="U73" s="45" t="n">
        <v>170</v>
      </c>
      <c r="V73" s="45" t="n">
        <v>300</v>
      </c>
      <c r="W73" s="53">
        <f>U73/1000*V73*B73</f>
        <v/>
      </c>
      <c r="X73" s="45" t="n">
        <v>2500</v>
      </c>
      <c r="Y73" s="59" t="n">
        <v>0.08</v>
      </c>
      <c r="Z73" s="53">
        <f>X73*Y73*chem_va*B73</f>
        <v/>
      </c>
      <c r="AA73" s="59" t="n">
        <v>0.05</v>
      </c>
      <c r="AB73" s="53">
        <f>X73*AA73*roy_rate*B73*(1-IF(union_resp=2,lic_cut*Labour!S73,0))</f>
        <v/>
      </c>
      <c r="AC73" s="45" t="n">
        <v>1000</v>
      </c>
      <c r="AD73" s="59" t="n">
        <v>0.22</v>
      </c>
      <c r="AE73" s="59" t="n">
        <v>0.38</v>
      </c>
      <c r="AF73" s="53">
        <f>AC73*AD73*elec_va*B73</f>
        <v/>
      </c>
      <c r="AG73" s="53">
        <f>MAX(0,AE73-AD73)*AC73*roy_rate*B73*(1-IF(union_resp=2,lic_cut*Labour!S73,0))</f>
        <v/>
      </c>
      <c r="AH73" s="52" t="n">
        <v>90</v>
      </c>
      <c r="AI73" s="53">
        <f>AH73*B73</f>
        <v/>
      </c>
      <c r="AJ73" s="52" t="n">
        <v>70</v>
      </c>
      <c r="AK73" s="53">
        <f>AJ73*B73</f>
        <v/>
      </c>
      <c r="AL73" s="45" t="n">
        <v>200</v>
      </c>
      <c r="AM73" s="53">
        <f>AL73*uw_fee*B73</f>
        <v/>
      </c>
      <c r="AN73" s="52" t="n">
        <v>27</v>
      </c>
      <c r="AO73" s="52" t="n">
        <v>28</v>
      </c>
      <c r="AP73" s="53">
        <f>K73+T73+W73+Z73+AF73+AI73+AK73+AM73+AN73+AO73</f>
        <v/>
      </c>
      <c r="AQ73" s="53">
        <f>AP73*(1-1/champ_prem+champ_spill)</f>
        <v/>
      </c>
      <c r="AR73" s="63">
        <f>AP73/Economy!O73</f>
        <v/>
      </c>
      <c r="AS73" s="52" t="n">
        <v>900</v>
      </c>
      <c r="AT73" s="52" t="n">
        <v>180</v>
      </c>
      <c r="AU73" s="52" t="n">
        <v>250</v>
      </c>
      <c r="AV73" s="52" t="n">
        <v>15</v>
      </c>
      <c r="AW73" s="52" t="n">
        <v>40</v>
      </c>
      <c r="AX73" s="52" t="n">
        <v>600</v>
      </c>
      <c r="AY73" s="53">
        <f>Q73+(AS73+AT73+AU73+AV73+AW73+AX73)*B73</f>
        <v/>
      </c>
      <c r="AZ73" s="53">
        <f>P73+(AS73*ret_rail+AT73*ret_tel+AU73*ret_elec+AV73*ret_auto+AW73*ret_chem+AX73*ret_steel)*B73*IF(OR($A73=1931,$A73=1932),abroad_slump,1)+AB73+AG73</f>
        <v/>
      </c>
      <c r="BA73" s="53">
        <f>AP73*champ_profit+AZ73</f>
        <v/>
      </c>
      <c r="BB73" s="53">
        <f>(K73+AI73+AK73)*champ_profit+P73+(AS73*ret_rail+AT73*ret_tel+AU73*ret_elec)*B73*IF(OR($A73=1931,$A73=1932),abroad_slump,1)</f>
        <v/>
      </c>
      <c r="BC73" s="53">
        <f>(T73+W73+Z73+AF73+AN73+AO73)*champ_profit+(AV73*ret_auto+AW73*ret_chem+AX73*ret_steel)*B73*IF(OR($A73=1931,$A73=1932),abroad_slump,1)+AB73+AG73</f>
        <v/>
      </c>
      <c r="BD73" s="53">
        <f>IF($A73&gt;=crown_start,(BB73*crown_charter+BC73*crown_comp)*crown_payout,0)</f>
        <v/>
      </c>
      <c r="BE73" s="63">
        <f>IF(BB73+BC73&gt;0,(BB73*crown_charter+BC73*crown_comp)/(BA73),0)</f>
        <v/>
      </c>
    </row>
    <row r="74">
      <c r="A74" s="61" t="n">
        <v>1914</v>
      </c>
      <c r="B74" s="65">
        <f>champ_scale*(1+Labour!AP74)*(1+Partners!BX74)*(1-IF(union_resp=2,tariff_cut*Labour!S74,0))</f>
        <v/>
      </c>
      <c r="C74" s="45" t="n">
        <v>4790</v>
      </c>
      <c r="D74" s="45" t="n">
        <v>920</v>
      </c>
      <c r="E74" s="45" t="n">
        <v>8290</v>
      </c>
      <c r="F74" s="47">
        <f>E74*B74</f>
        <v/>
      </c>
      <c r="G74" s="47">
        <f>F74/Economy!B74*1000000</f>
        <v/>
      </c>
      <c r="H74" s="45" t="n">
        <v>349</v>
      </c>
      <c r="I74" s="67">
        <f>IF(H74&gt;0,G74/H74,0)</f>
        <v/>
      </c>
      <c r="J74" s="68" t="n">
        <v>0.5</v>
      </c>
      <c r="K74" s="53">
        <f>Resources!K74*J74*B74</f>
        <v/>
      </c>
      <c r="L74" s="45" t="n">
        <v>125</v>
      </c>
      <c r="M74" s="59" t="n">
        <v>0.511</v>
      </c>
      <c r="N74" s="45" t="n">
        <v>38</v>
      </c>
      <c r="O74" s="68" t="n">
        <v>0.657</v>
      </c>
      <c r="P74" s="53">
        <f>(IF(Gulf!E74=1,0,L74*M74)+N74)*O74*B74</f>
        <v/>
      </c>
      <c r="Q74" s="53">
        <f>P74*oil_book</f>
        <v/>
      </c>
      <c r="R74" s="68" t="n">
        <v>4.5</v>
      </c>
      <c r="S74" s="45" t="n">
        <v>20</v>
      </c>
      <c r="T74" s="53">
        <f>R74*S74*B74</f>
        <v/>
      </c>
      <c r="U74" s="45" t="n">
        <v>223.3</v>
      </c>
      <c r="V74" s="45" t="n">
        <v>317</v>
      </c>
      <c r="W74" s="53">
        <f>U74/1000*V74*B74</f>
        <v/>
      </c>
      <c r="X74" s="45" t="n">
        <v>2900</v>
      </c>
      <c r="Y74" s="59" t="n">
        <v>0.093</v>
      </c>
      <c r="Z74" s="53">
        <f>X74*Y74*chem_va*B74</f>
        <v/>
      </c>
      <c r="AA74" s="59" t="n">
        <v>0.058</v>
      </c>
      <c r="AB74" s="53">
        <f>X74*AA74*roy_rate*B74*(1-IF(union_resp=2,lic_cut*Labour!S74,0))</f>
        <v/>
      </c>
      <c r="AC74" s="45" t="n">
        <v>1160</v>
      </c>
      <c r="AD74" s="59" t="n">
        <v>0.221</v>
      </c>
      <c r="AE74" s="59" t="n">
        <v>0.386</v>
      </c>
      <c r="AF74" s="53">
        <f>AC74*AD74*elec_va*B74</f>
        <v/>
      </c>
      <c r="AG74" s="53">
        <f>MAX(0,AE74-AD74)*AC74*roy_rate*B74*(1-IF(union_resp=2,lic_cut*Labour!S74,0))</f>
        <v/>
      </c>
      <c r="AH74" s="52" t="n">
        <v>100</v>
      </c>
      <c r="AI74" s="53">
        <f>AH74*B74</f>
        <v/>
      </c>
      <c r="AJ74" s="52" t="n">
        <v>90</v>
      </c>
      <c r="AK74" s="53">
        <f>AJ74*B74</f>
        <v/>
      </c>
      <c r="AL74" s="45" t="n">
        <v>300</v>
      </c>
      <c r="AM74" s="53">
        <f>AL74*uw_fee*B74</f>
        <v/>
      </c>
      <c r="AN74" s="52" t="n">
        <v>38</v>
      </c>
      <c r="AO74" s="52" t="n">
        <v>34</v>
      </c>
      <c r="AP74" s="53">
        <f>K74+T74+W74+Z74+AF74+AI74+AK74+AM74+AN74+AO74</f>
        <v/>
      </c>
      <c r="AQ74" s="53">
        <f>AP74*(1-1/champ_prem+champ_spill)</f>
        <v/>
      </c>
      <c r="AR74" s="63">
        <f>AP74/Economy!O74</f>
        <v/>
      </c>
      <c r="AS74" s="52" t="n">
        <v>920</v>
      </c>
      <c r="AT74" s="52" t="n">
        <v>191</v>
      </c>
      <c r="AU74" s="52" t="n">
        <v>279</v>
      </c>
      <c r="AV74" s="52" t="n">
        <v>21</v>
      </c>
      <c r="AW74" s="52" t="n">
        <v>51</v>
      </c>
      <c r="AX74" s="52" t="n">
        <v>611</v>
      </c>
      <c r="AY74" s="53">
        <f>Q74+(AS74+AT74+AU74+AV74+AW74+AX74)*B74</f>
        <v/>
      </c>
      <c r="AZ74" s="53">
        <f>P74+(AS74*ret_rail+AT74*ret_tel+AU74*ret_elec+AV74*ret_auto+AW74*ret_chem+AX74*ret_steel)*B74*IF(OR($A74=1931,$A74=1932),abroad_slump,1)+AB74+AG74</f>
        <v/>
      </c>
      <c r="BA74" s="53">
        <f>AP74*champ_profit+AZ74</f>
        <v/>
      </c>
      <c r="BB74" s="53">
        <f>(K74+AI74+AK74)*champ_profit+P74+(AS74*ret_rail+AT74*ret_tel+AU74*ret_elec)*B74*IF(OR($A74=1931,$A74=1932),abroad_slump,1)</f>
        <v/>
      </c>
      <c r="BC74" s="53">
        <f>(T74+W74+Z74+AF74+AN74+AO74)*champ_profit+(AV74*ret_auto+AW74*ret_chem+AX74*ret_steel)*B74*IF(OR($A74=1931,$A74=1932),abroad_slump,1)+AB74+AG74</f>
        <v/>
      </c>
      <c r="BD74" s="53">
        <f>IF($A74&gt;=crown_start,(BB74*crown_charter+BC74*crown_comp)*crown_payout,0)</f>
        <v/>
      </c>
      <c r="BE74" s="63">
        <f>IF(BB74+BC74&gt;0,(BB74*crown_charter+BC74*crown_comp)/(BA74),0)</f>
        <v/>
      </c>
    </row>
    <row r="75">
      <c r="A75" s="61" t="n">
        <v>1915</v>
      </c>
      <c r="B75" s="65">
        <f>champ_scale*(1+Labour!AP75)*(1+Partners!BX75)*(1-IF(union_resp=2,tariff_cut*Labour!S75,0))</f>
        <v/>
      </c>
      <c r="C75" s="45" t="n">
        <v>5070</v>
      </c>
      <c r="D75" s="45" t="n">
        <v>1030</v>
      </c>
      <c r="E75" s="45" t="n">
        <v>8570</v>
      </c>
      <c r="F75" s="47">
        <f>E75*B75</f>
        <v/>
      </c>
      <c r="G75" s="47">
        <f>F75/Economy!B75*1000000</f>
        <v/>
      </c>
      <c r="H75" s="45" t="n">
        <v>349</v>
      </c>
      <c r="I75" s="67">
        <f>IF(H75&gt;0,G75/H75,0)</f>
        <v/>
      </c>
      <c r="J75" s="68" t="n">
        <v>0.55</v>
      </c>
      <c r="K75" s="53">
        <f>Resources!K75*J75*B75</f>
        <v/>
      </c>
      <c r="L75" s="45" t="n">
        <v>140</v>
      </c>
      <c r="M75" s="59" t="n">
        <v>0.513</v>
      </c>
      <c r="N75" s="45" t="n">
        <v>41</v>
      </c>
      <c r="O75" s="68" t="n">
        <v>0.714</v>
      </c>
      <c r="P75" s="53">
        <f>(IF(Gulf!E75=1,0,L75*M75)+N75)*O75*B75</f>
        <v/>
      </c>
      <c r="Q75" s="53">
        <f>P75*oil_book</f>
        <v/>
      </c>
      <c r="R75" s="68" t="n">
        <v>5</v>
      </c>
      <c r="S75" s="45" t="n">
        <v>23</v>
      </c>
      <c r="T75" s="53">
        <f>R75*S75*B75</f>
        <v/>
      </c>
      <c r="U75" s="45" t="n">
        <v>276.7</v>
      </c>
      <c r="V75" s="45" t="n">
        <v>334</v>
      </c>
      <c r="W75" s="53">
        <f>U75/1000*V75*B75</f>
        <v/>
      </c>
      <c r="X75" s="45" t="n">
        <v>3300</v>
      </c>
      <c r="Y75" s="59" t="n">
        <v>0.107</v>
      </c>
      <c r="Z75" s="53">
        <f>X75*Y75*chem_va*B75</f>
        <v/>
      </c>
      <c r="AA75" s="59" t="n">
        <v>0.067</v>
      </c>
      <c r="AB75" s="53">
        <f>X75*AA75*roy_rate*B75*(1-IF(union_resp=2,lic_cut*Labour!S75,0))</f>
        <v/>
      </c>
      <c r="AC75" s="45" t="n">
        <v>1320</v>
      </c>
      <c r="AD75" s="59" t="n">
        <v>0.223</v>
      </c>
      <c r="AE75" s="59" t="n">
        <v>0.391</v>
      </c>
      <c r="AF75" s="53">
        <f>AC75*AD75*elec_va*B75</f>
        <v/>
      </c>
      <c r="AG75" s="53">
        <f>MAX(0,AE75-AD75)*AC75*roy_rate*B75*(1-IF(union_resp=2,lic_cut*Labour!S75,0))</f>
        <v/>
      </c>
      <c r="AH75" s="52" t="n">
        <v>110</v>
      </c>
      <c r="AI75" s="53">
        <f>AH75*B75</f>
        <v/>
      </c>
      <c r="AJ75" s="52" t="n">
        <v>110</v>
      </c>
      <c r="AK75" s="53">
        <f>AJ75*B75</f>
        <v/>
      </c>
      <c r="AL75" s="45" t="n">
        <v>375</v>
      </c>
      <c r="AM75" s="53">
        <f>AL75*uw_fee*B75</f>
        <v/>
      </c>
      <c r="AN75" s="52" t="n">
        <v>50</v>
      </c>
      <c r="AO75" s="52" t="n">
        <v>40</v>
      </c>
      <c r="AP75" s="53">
        <f>K75+T75+W75+Z75+AF75+AI75+AK75+AM75+AN75+AO75</f>
        <v/>
      </c>
      <c r="AQ75" s="53">
        <f>AP75*(1-1/champ_prem+champ_spill)</f>
        <v/>
      </c>
      <c r="AR75" s="63">
        <f>AP75/Economy!O75</f>
        <v/>
      </c>
      <c r="AS75" s="52" t="n">
        <v>940</v>
      </c>
      <c r="AT75" s="52" t="n">
        <v>203</v>
      </c>
      <c r="AU75" s="52" t="n">
        <v>307</v>
      </c>
      <c r="AV75" s="52" t="n">
        <v>28</v>
      </c>
      <c r="AW75" s="52" t="n">
        <v>63</v>
      </c>
      <c r="AX75" s="52" t="n">
        <v>623</v>
      </c>
      <c r="AY75" s="53">
        <f>Q75+(AS75+AT75+AU75+AV75+AW75+AX75)*B75</f>
        <v/>
      </c>
      <c r="AZ75" s="53">
        <f>P75+(AS75*ret_rail+AT75*ret_tel+AU75*ret_elec+AV75*ret_auto+AW75*ret_chem+AX75*ret_steel)*B75*IF(OR($A75=1931,$A75=1932),abroad_slump,1)+AB75+AG75</f>
        <v/>
      </c>
      <c r="BA75" s="53">
        <f>AP75*champ_profit+AZ75</f>
        <v/>
      </c>
      <c r="BB75" s="53">
        <f>(K75+AI75+AK75)*champ_profit+P75+(AS75*ret_rail+AT75*ret_tel+AU75*ret_elec)*B75*IF(OR($A75=1931,$A75=1932),abroad_slump,1)</f>
        <v/>
      </c>
      <c r="BC75" s="53">
        <f>(T75+W75+Z75+AF75+AN75+AO75)*champ_profit+(AV75*ret_auto+AW75*ret_chem+AX75*ret_steel)*B75*IF(OR($A75=1931,$A75=1932),abroad_slump,1)+AB75+AG75</f>
        <v/>
      </c>
      <c r="BD75" s="53">
        <f>IF($A75&gt;=crown_start,(BB75*crown_charter+BC75*crown_comp)*crown_payout,0)</f>
        <v/>
      </c>
      <c r="BE75" s="63">
        <f>IF(BB75+BC75&gt;0,(BB75*crown_charter+BC75*crown_comp)/(BA75),0)</f>
        <v/>
      </c>
    </row>
    <row r="76">
      <c r="A76" s="61" t="n">
        <v>1916</v>
      </c>
      <c r="B76" s="65">
        <f>champ_scale*(1+Labour!AP76)*(1+Partners!BX76)*(1-IF(union_resp=2,tariff_cut*Labour!S76,0))</f>
        <v/>
      </c>
      <c r="C76" s="45" t="n">
        <v>5360</v>
      </c>
      <c r="D76" s="45" t="n">
        <v>1150</v>
      </c>
      <c r="E76" s="45" t="n">
        <v>8860</v>
      </c>
      <c r="F76" s="47">
        <f>E76*B76</f>
        <v/>
      </c>
      <c r="G76" s="47">
        <f>F76/Economy!B76*1000000</f>
        <v/>
      </c>
      <c r="H76" s="45" t="n">
        <v>349</v>
      </c>
      <c r="I76" s="67">
        <f>IF(H76&gt;0,G76/H76,0)</f>
        <v/>
      </c>
      <c r="J76" s="68" t="n">
        <v>0.6</v>
      </c>
      <c r="K76" s="53">
        <f>Resources!K76*J76*B76</f>
        <v/>
      </c>
      <c r="L76" s="45" t="n">
        <v>155</v>
      </c>
      <c r="M76" s="59" t="n">
        <v>0.516</v>
      </c>
      <c r="N76" s="45" t="n">
        <v>44</v>
      </c>
      <c r="O76" s="68" t="n">
        <v>0.771</v>
      </c>
      <c r="P76" s="53">
        <f>(IF(Gulf!E76=1,0,L76*M76)+N76)*O76*B76</f>
        <v/>
      </c>
      <c r="Q76" s="53">
        <f>P76*oil_book</f>
        <v/>
      </c>
      <c r="R76" s="68" t="n">
        <v>5.5</v>
      </c>
      <c r="S76" s="45" t="n">
        <v>25</v>
      </c>
      <c r="T76" s="53">
        <f>R76*S76*B76</f>
        <v/>
      </c>
      <c r="U76" s="45" t="n">
        <v>330</v>
      </c>
      <c r="V76" s="45" t="n">
        <v>351</v>
      </c>
      <c r="W76" s="53">
        <f>U76/1000*V76*B76</f>
        <v/>
      </c>
      <c r="X76" s="45" t="n">
        <v>3700</v>
      </c>
      <c r="Y76" s="59" t="n">
        <v>0.12</v>
      </c>
      <c r="Z76" s="53">
        <f>X76*Y76*chem_va*B76</f>
        <v/>
      </c>
      <c r="AA76" s="59" t="n">
        <v>0.075</v>
      </c>
      <c r="AB76" s="53">
        <f>X76*AA76*roy_rate*B76*(1-IF(union_resp=2,lic_cut*Labour!S76,0))</f>
        <v/>
      </c>
      <c r="AC76" s="45" t="n">
        <v>1480</v>
      </c>
      <c r="AD76" s="59" t="n">
        <v>0.224</v>
      </c>
      <c r="AE76" s="59" t="n">
        <v>0.397</v>
      </c>
      <c r="AF76" s="53">
        <f>AC76*AD76*elec_va*B76</f>
        <v/>
      </c>
      <c r="AG76" s="53">
        <f>MAX(0,AE76-AD76)*AC76*roy_rate*B76*(1-IF(union_resp=2,lic_cut*Labour!S76,0))</f>
        <v/>
      </c>
      <c r="AH76" s="52" t="n">
        <v>120</v>
      </c>
      <c r="AI76" s="53">
        <f>AH76*B76</f>
        <v/>
      </c>
      <c r="AJ76" s="52" t="n">
        <v>137</v>
      </c>
      <c r="AK76" s="53">
        <f>AJ76*B76</f>
        <v/>
      </c>
      <c r="AL76" s="45" t="n">
        <v>450</v>
      </c>
      <c r="AM76" s="53">
        <f>AL76*uw_fee*B76</f>
        <v/>
      </c>
      <c r="AN76" s="52" t="n">
        <v>76</v>
      </c>
      <c r="AO76" s="52" t="n">
        <v>57</v>
      </c>
      <c r="AP76" s="53">
        <f>K76+T76+W76+Z76+AF76+AI76+AK76+AM76+AN76+AO76</f>
        <v/>
      </c>
      <c r="AQ76" s="53">
        <f>AP76*(1-1/champ_prem+champ_spill)</f>
        <v/>
      </c>
      <c r="AR76" s="63">
        <f>AP76/Economy!O76</f>
        <v/>
      </c>
      <c r="AS76" s="52" t="n">
        <v>960</v>
      </c>
      <c r="AT76" s="52" t="n">
        <v>214</v>
      </c>
      <c r="AU76" s="52" t="n">
        <v>336</v>
      </c>
      <c r="AV76" s="52" t="n">
        <v>34</v>
      </c>
      <c r="AW76" s="52" t="n">
        <v>74</v>
      </c>
      <c r="AX76" s="52" t="n">
        <v>634</v>
      </c>
      <c r="AY76" s="53">
        <f>Q76+(AS76+AT76+AU76+AV76+AW76+AX76)*B76</f>
        <v/>
      </c>
      <c r="AZ76" s="53">
        <f>P76+(AS76*ret_rail+AT76*ret_tel+AU76*ret_elec+AV76*ret_auto+AW76*ret_chem+AX76*ret_steel)*B76*IF(OR($A76=1931,$A76=1932),abroad_slump,1)+AB76+AG76</f>
        <v/>
      </c>
      <c r="BA76" s="53">
        <f>AP76*champ_profit+AZ76</f>
        <v/>
      </c>
      <c r="BB76" s="53">
        <f>(K76+AI76+AK76)*champ_profit+P76+(AS76*ret_rail+AT76*ret_tel+AU76*ret_elec)*B76*IF(OR($A76=1931,$A76=1932),abroad_slump,1)</f>
        <v/>
      </c>
      <c r="BC76" s="53">
        <f>(T76+W76+Z76+AF76+AN76+AO76)*champ_profit+(AV76*ret_auto+AW76*ret_chem+AX76*ret_steel)*B76*IF(OR($A76=1931,$A76=1932),abroad_slump,1)+AB76+AG76</f>
        <v/>
      </c>
      <c r="BD76" s="53">
        <f>IF($A76&gt;=crown_start,(BB76*crown_charter+BC76*crown_comp)*crown_payout,0)</f>
        <v/>
      </c>
      <c r="BE76" s="63">
        <f>IF(BB76+BC76&gt;0,(BB76*crown_charter+BC76*crown_comp)/(BA76),0)</f>
        <v/>
      </c>
    </row>
    <row r="77">
      <c r="A77" s="61" t="n">
        <v>1917</v>
      </c>
      <c r="B77" s="65">
        <f>champ_scale*(1+Labour!AP77)*(1+Partners!BX77)*(1-IF(union_resp=2,tariff_cut*Labour!S77,0))</f>
        <v/>
      </c>
      <c r="C77" s="45" t="n">
        <v>5640</v>
      </c>
      <c r="D77" s="45" t="n">
        <v>1270</v>
      </c>
      <c r="E77" s="45" t="n">
        <v>9140</v>
      </c>
      <c r="F77" s="47">
        <f>E77*B77</f>
        <v/>
      </c>
      <c r="G77" s="47">
        <f>F77/Economy!B77*1000000</f>
        <v/>
      </c>
      <c r="H77" s="45" t="n">
        <v>350</v>
      </c>
      <c r="I77" s="67">
        <f>IF(H77&gt;0,G77/H77,0)</f>
        <v/>
      </c>
      <c r="J77" s="68" t="n">
        <v>0.65</v>
      </c>
      <c r="K77" s="53">
        <f>Resources!K77*J77*B77</f>
        <v/>
      </c>
      <c r="L77" s="45" t="n">
        <v>170</v>
      </c>
      <c r="M77" s="59" t="n">
        <v>0.518</v>
      </c>
      <c r="N77" s="45" t="n">
        <v>46</v>
      </c>
      <c r="O77" s="68" t="n">
        <v>0.829</v>
      </c>
      <c r="P77" s="53">
        <f>(IF(Gulf!E77=1,0,L77*M77)+N77)*O77*B77</f>
        <v/>
      </c>
      <c r="Q77" s="53">
        <f>P77*oil_book</f>
        <v/>
      </c>
      <c r="R77" s="68" t="n">
        <v>6</v>
      </c>
      <c r="S77" s="45" t="n">
        <v>28</v>
      </c>
      <c r="T77" s="53">
        <f>R77*S77*B77</f>
        <v/>
      </c>
      <c r="U77" s="45" t="n">
        <v>305</v>
      </c>
      <c r="V77" s="45" t="n">
        <v>369</v>
      </c>
      <c r="W77" s="53">
        <f>U77/1000*V77*B77</f>
        <v/>
      </c>
      <c r="X77" s="45" t="n">
        <v>4100</v>
      </c>
      <c r="Y77" s="59" t="n">
        <v>0.127</v>
      </c>
      <c r="Z77" s="53">
        <f>X77*Y77*chem_va*B77</f>
        <v/>
      </c>
      <c r="AA77" s="59" t="n">
        <v>0.083</v>
      </c>
      <c r="AB77" s="53">
        <f>X77*AA77*roy_rate*B77*(1-IF(union_resp=2,lic_cut*Labour!S77,0))</f>
        <v/>
      </c>
      <c r="AC77" s="45" t="n">
        <v>1640</v>
      </c>
      <c r="AD77" s="59" t="n">
        <v>0.225</v>
      </c>
      <c r="AE77" s="59" t="n">
        <v>0.403</v>
      </c>
      <c r="AF77" s="53">
        <f>AC77*AD77*elec_va*B77</f>
        <v/>
      </c>
      <c r="AG77" s="53">
        <f>MAX(0,AE77-AD77)*AC77*roy_rate*B77*(1-IF(union_resp=2,lic_cut*Labour!S77,0))</f>
        <v/>
      </c>
      <c r="AH77" s="52" t="n">
        <v>130</v>
      </c>
      <c r="AI77" s="53">
        <f>AH77*B77</f>
        <v/>
      </c>
      <c r="AJ77" s="52" t="n">
        <v>163</v>
      </c>
      <c r="AK77" s="53">
        <f>AJ77*B77</f>
        <v/>
      </c>
      <c r="AL77" s="45" t="n">
        <v>525</v>
      </c>
      <c r="AM77" s="53">
        <f>AL77*uw_fee*B77</f>
        <v/>
      </c>
      <c r="AN77" s="52" t="n">
        <v>102</v>
      </c>
      <c r="AO77" s="52" t="n">
        <v>73</v>
      </c>
      <c r="AP77" s="53">
        <f>K77+T77+W77+Z77+AF77+AI77+AK77+AM77+AN77+AO77</f>
        <v/>
      </c>
      <c r="AQ77" s="53">
        <f>AP77*(1-1/champ_prem+champ_spill)</f>
        <v/>
      </c>
      <c r="AR77" s="63">
        <f>AP77/Economy!O77</f>
        <v/>
      </c>
      <c r="AS77" s="52" t="n">
        <v>980</v>
      </c>
      <c r="AT77" s="52" t="n">
        <v>226</v>
      </c>
      <c r="AU77" s="52" t="n">
        <v>364</v>
      </c>
      <c r="AV77" s="52" t="n">
        <v>41</v>
      </c>
      <c r="AW77" s="52" t="n">
        <v>86</v>
      </c>
      <c r="AX77" s="52" t="n">
        <v>646</v>
      </c>
      <c r="AY77" s="53">
        <f>Q77+(AS77+AT77+AU77+AV77+AW77+AX77)*B77</f>
        <v/>
      </c>
      <c r="AZ77" s="53">
        <f>P77+(AS77*ret_rail+AT77*ret_tel+AU77*ret_elec+AV77*ret_auto+AW77*ret_chem+AX77*ret_steel)*B77*IF(OR($A77=1931,$A77=1932),abroad_slump,1)+AB77+AG77</f>
        <v/>
      </c>
      <c r="BA77" s="53">
        <f>AP77*champ_profit+AZ77</f>
        <v/>
      </c>
      <c r="BB77" s="53">
        <f>(K77+AI77+AK77)*champ_profit+P77+(AS77*ret_rail+AT77*ret_tel+AU77*ret_elec)*B77*IF(OR($A77=1931,$A77=1932),abroad_slump,1)</f>
        <v/>
      </c>
      <c r="BC77" s="53">
        <f>(T77+W77+Z77+AF77+AN77+AO77)*champ_profit+(AV77*ret_auto+AW77*ret_chem+AX77*ret_steel)*B77*IF(OR($A77=1931,$A77=1932),abroad_slump,1)+AB77+AG77</f>
        <v/>
      </c>
      <c r="BD77" s="53">
        <f>IF($A77&gt;=crown_start,(BB77*crown_charter+BC77*crown_comp)*crown_payout,0)</f>
        <v/>
      </c>
      <c r="BE77" s="63">
        <f>IF(BB77+BC77&gt;0,(BB77*crown_charter+BC77*crown_comp)/(BA77),0)</f>
        <v/>
      </c>
    </row>
    <row r="78">
      <c r="A78" s="61" t="n">
        <v>1918</v>
      </c>
      <c r="B78" s="65">
        <f>champ_scale*(1+Labour!AP78)*(1+Partners!BX78)*(1-IF(union_resp=2,tariff_cut*Labour!S78,0))</f>
        <v/>
      </c>
      <c r="C78" s="45" t="n">
        <v>5930</v>
      </c>
      <c r="D78" s="45" t="n">
        <v>1380</v>
      </c>
      <c r="E78" s="45" t="n">
        <v>9430</v>
      </c>
      <c r="F78" s="47">
        <f>E78*B78</f>
        <v/>
      </c>
      <c r="G78" s="47">
        <f>F78/Economy!B78*1000000</f>
        <v/>
      </c>
      <c r="H78" s="45" t="n">
        <v>350</v>
      </c>
      <c r="I78" s="67">
        <f>IF(H78&gt;0,G78/H78,0)</f>
        <v/>
      </c>
      <c r="J78" s="68" t="n">
        <v>0.7</v>
      </c>
      <c r="K78" s="53">
        <f>Resources!K78*J78*B78</f>
        <v/>
      </c>
      <c r="L78" s="45" t="n">
        <v>197</v>
      </c>
      <c r="M78" s="59" t="n">
        <v>0.521</v>
      </c>
      <c r="N78" s="45" t="n">
        <v>49</v>
      </c>
      <c r="O78" s="68" t="n">
        <v>0.886</v>
      </c>
      <c r="P78" s="53">
        <f>(IF(Gulf!E78=1,0,L78*M78)+N78)*O78*B78</f>
        <v/>
      </c>
      <c r="Q78" s="53">
        <f>P78*oil_book</f>
        <v/>
      </c>
      <c r="R78" s="68" t="n">
        <v>6.5</v>
      </c>
      <c r="S78" s="45" t="n">
        <v>30</v>
      </c>
      <c r="T78" s="53">
        <f>R78*S78*B78</f>
        <v/>
      </c>
      <c r="U78" s="45" t="n">
        <v>280</v>
      </c>
      <c r="V78" s="45" t="n">
        <v>386</v>
      </c>
      <c r="W78" s="53">
        <f>U78/1000*V78*B78</f>
        <v/>
      </c>
      <c r="X78" s="45" t="n">
        <v>4500</v>
      </c>
      <c r="Y78" s="59" t="n">
        <v>0.133</v>
      </c>
      <c r="Z78" s="53">
        <f>X78*Y78*chem_va*B78</f>
        <v/>
      </c>
      <c r="AA78" s="59" t="n">
        <v>0.092</v>
      </c>
      <c r="AB78" s="53">
        <f>X78*AA78*roy_rate*B78*(1-IF(union_resp=2,lic_cut*Labour!S78,0))</f>
        <v/>
      </c>
      <c r="AC78" s="45" t="n">
        <v>1800</v>
      </c>
      <c r="AD78" s="59" t="n">
        <v>0.226</v>
      </c>
      <c r="AE78" s="59" t="n">
        <v>0.409</v>
      </c>
      <c r="AF78" s="53">
        <f>AC78*AD78*elec_va*B78</f>
        <v/>
      </c>
      <c r="AG78" s="53">
        <f>MAX(0,AE78-AD78)*AC78*roy_rate*B78*(1-IF(union_resp=2,lic_cut*Labour!S78,0))</f>
        <v/>
      </c>
      <c r="AH78" s="52" t="n">
        <v>140</v>
      </c>
      <c r="AI78" s="53">
        <f>AH78*B78</f>
        <v/>
      </c>
      <c r="AJ78" s="52" t="n">
        <v>190</v>
      </c>
      <c r="AK78" s="53">
        <f>AJ78*B78</f>
        <v/>
      </c>
      <c r="AL78" s="45" t="n">
        <v>600</v>
      </c>
      <c r="AM78" s="53">
        <f>AL78*uw_fee*B78</f>
        <v/>
      </c>
      <c r="AN78" s="52" t="n">
        <v>128</v>
      </c>
      <c r="AO78" s="52" t="n">
        <v>90</v>
      </c>
      <c r="AP78" s="53">
        <f>K78+T78+W78+Z78+AF78+AI78+AK78+AM78+AN78+AO78</f>
        <v/>
      </c>
      <c r="AQ78" s="53">
        <f>AP78*(1-1/champ_prem+champ_spill)</f>
        <v/>
      </c>
      <c r="AR78" s="63">
        <f>AP78/Economy!O78</f>
        <v/>
      </c>
      <c r="AS78" s="52" t="n">
        <v>1000</v>
      </c>
      <c r="AT78" s="52" t="n">
        <v>237</v>
      </c>
      <c r="AU78" s="52" t="n">
        <v>393</v>
      </c>
      <c r="AV78" s="52" t="n">
        <v>47</v>
      </c>
      <c r="AW78" s="52" t="n">
        <v>97</v>
      </c>
      <c r="AX78" s="52" t="n">
        <v>657</v>
      </c>
      <c r="AY78" s="53">
        <f>Q78+(AS78+AT78+AU78+AV78+AW78+AX78)*B78</f>
        <v/>
      </c>
      <c r="AZ78" s="53">
        <f>P78+(AS78*ret_rail+AT78*ret_tel+AU78*ret_elec+AV78*ret_auto+AW78*ret_chem+AX78*ret_steel)*B78*IF(OR($A78=1931,$A78=1932),abroad_slump,1)+AB78+AG78</f>
        <v/>
      </c>
      <c r="BA78" s="53">
        <f>AP78*champ_profit+AZ78</f>
        <v/>
      </c>
      <c r="BB78" s="53">
        <f>(K78+AI78+AK78)*champ_profit+P78+(AS78*ret_rail+AT78*ret_tel+AU78*ret_elec)*B78*IF(OR($A78=1931,$A78=1932),abroad_slump,1)</f>
        <v/>
      </c>
      <c r="BC78" s="53">
        <f>(T78+W78+Z78+AF78+AN78+AO78)*champ_profit+(AV78*ret_auto+AW78*ret_chem+AX78*ret_steel)*B78*IF(OR($A78=1931,$A78=1932),abroad_slump,1)+AB78+AG78</f>
        <v/>
      </c>
      <c r="BD78" s="53">
        <f>IF($A78&gt;=crown_start,(BB78*crown_charter+BC78*crown_comp)*crown_payout,0)</f>
        <v/>
      </c>
      <c r="BE78" s="63">
        <f>IF(BB78+BC78&gt;0,(BB78*crown_charter+BC78*crown_comp)/(BA78),0)</f>
        <v/>
      </c>
    </row>
    <row r="79">
      <c r="A79" s="61" t="n">
        <v>1919</v>
      </c>
      <c r="B79" s="65">
        <f>champ_scale*(1+Labour!AP79)*(1+Partners!BX79)*(1-IF(union_resp=2,tariff_cut*Labour!S79,0))</f>
        <v/>
      </c>
      <c r="C79" s="45" t="n">
        <v>6210</v>
      </c>
      <c r="D79" s="45" t="n">
        <v>1500</v>
      </c>
      <c r="E79" s="45" t="n">
        <v>9710</v>
      </c>
      <c r="F79" s="47">
        <f>E79*B79</f>
        <v/>
      </c>
      <c r="G79" s="47">
        <f>F79/Economy!B79*1000000</f>
        <v/>
      </c>
      <c r="H79" s="45" t="n">
        <v>350</v>
      </c>
      <c r="I79" s="67">
        <f>IF(H79&gt;0,G79/H79,0)</f>
        <v/>
      </c>
      <c r="J79" s="68" t="n">
        <v>0.75</v>
      </c>
      <c r="K79" s="53">
        <f>Resources!K79*J79*B79</f>
        <v/>
      </c>
      <c r="L79" s="45" t="n">
        <v>223</v>
      </c>
      <c r="M79" s="59" t="n">
        <v>0.524</v>
      </c>
      <c r="N79" s="45" t="n">
        <v>52</v>
      </c>
      <c r="O79" s="68" t="n">
        <v>0.9429999999999999</v>
      </c>
      <c r="P79" s="53">
        <f>(IF(Gulf!E79=1,0,L79*M79)+N79)*O79*B79</f>
        <v/>
      </c>
      <c r="Q79" s="53">
        <f>P79*oil_book</f>
        <v/>
      </c>
      <c r="R79" s="68" t="n">
        <v>5.667</v>
      </c>
      <c r="S79" s="45" t="n">
        <v>28</v>
      </c>
      <c r="T79" s="53">
        <f>R79*S79*B79</f>
        <v/>
      </c>
      <c r="U79" s="45" t="n">
        <v>370</v>
      </c>
      <c r="V79" s="45" t="n">
        <v>403</v>
      </c>
      <c r="W79" s="53">
        <f>U79/1000*V79*B79</f>
        <v/>
      </c>
      <c r="X79" s="45" t="n">
        <v>4750</v>
      </c>
      <c r="Y79" s="59" t="n">
        <v>0.14</v>
      </c>
      <c r="Z79" s="53">
        <f>X79*Y79*chem_va*B79</f>
        <v/>
      </c>
      <c r="AA79" s="59" t="n">
        <v>0.1</v>
      </c>
      <c r="AB79" s="53">
        <f>X79*AA79*roy_rate*B79*(1-IF(union_resp=2,lic_cut*Labour!S79,0))</f>
        <v/>
      </c>
      <c r="AC79" s="45" t="n">
        <v>2000</v>
      </c>
      <c r="AD79" s="59" t="n">
        <v>0.228</v>
      </c>
      <c r="AE79" s="59" t="n">
        <v>0.414</v>
      </c>
      <c r="AF79" s="53">
        <f>AC79*AD79*elec_va*B79</f>
        <v/>
      </c>
      <c r="AG79" s="53">
        <f>MAX(0,AE79-AD79)*AC79*roy_rate*B79*(1-IF(union_resp=2,lic_cut*Labour!S79,0))</f>
        <v/>
      </c>
      <c r="AH79" s="52" t="n">
        <v>150</v>
      </c>
      <c r="AI79" s="53">
        <f>AH79*B79</f>
        <v/>
      </c>
      <c r="AJ79" s="52" t="n">
        <v>170</v>
      </c>
      <c r="AK79" s="53">
        <f>AJ79*B79</f>
        <v/>
      </c>
      <c r="AL79" s="45" t="n">
        <v>500</v>
      </c>
      <c r="AM79" s="53">
        <f>AL79*uw_fee*B79</f>
        <v/>
      </c>
      <c r="AN79" s="52" t="n">
        <v>154</v>
      </c>
      <c r="AO79" s="52" t="n">
        <v>75</v>
      </c>
      <c r="AP79" s="53">
        <f>K79+T79+W79+Z79+AF79+AI79+AK79+AM79+AN79+AO79</f>
        <v/>
      </c>
      <c r="AQ79" s="53">
        <f>AP79*(1-1/champ_prem+champ_spill)</f>
        <v/>
      </c>
      <c r="AR79" s="63">
        <f>AP79/Economy!O79</f>
        <v/>
      </c>
      <c r="AS79" s="52" t="n">
        <v>1050</v>
      </c>
      <c r="AT79" s="52" t="n">
        <v>249</v>
      </c>
      <c r="AU79" s="52" t="n">
        <v>421</v>
      </c>
      <c r="AV79" s="52" t="n">
        <v>54</v>
      </c>
      <c r="AW79" s="52" t="n">
        <v>109</v>
      </c>
      <c r="AX79" s="52" t="n">
        <v>669</v>
      </c>
      <c r="AY79" s="53">
        <f>Q79+(AS79+AT79+AU79+AV79+AW79+AX79)*B79</f>
        <v/>
      </c>
      <c r="AZ79" s="53">
        <f>P79+(AS79*ret_rail+AT79*ret_tel+AU79*ret_elec+AV79*ret_auto+AW79*ret_chem+AX79*ret_steel)*B79*IF(OR($A79=1931,$A79=1932),abroad_slump,1)+AB79+AG79</f>
        <v/>
      </c>
      <c r="BA79" s="53">
        <f>AP79*champ_profit+AZ79</f>
        <v/>
      </c>
      <c r="BB79" s="53">
        <f>(K79+AI79+AK79)*champ_profit+P79+(AS79*ret_rail+AT79*ret_tel+AU79*ret_elec)*B79*IF(OR($A79=1931,$A79=1932),abroad_slump,1)</f>
        <v/>
      </c>
      <c r="BC79" s="53">
        <f>(T79+W79+Z79+AF79+AN79+AO79)*champ_profit+(AV79*ret_auto+AW79*ret_chem+AX79*ret_steel)*B79*IF(OR($A79=1931,$A79=1932),abroad_slump,1)+AB79+AG79</f>
        <v/>
      </c>
      <c r="BD79" s="53">
        <f>IF($A79&gt;=crown_start,(BB79*crown_charter+BC79*crown_comp)*crown_payout,0)</f>
        <v/>
      </c>
      <c r="BE79" s="63">
        <f>IF(BB79+BC79&gt;0,(BB79*crown_charter+BC79*crown_comp)/(BA79),0)</f>
        <v/>
      </c>
    </row>
    <row r="80">
      <c r="A80" s="61" t="n">
        <v>1920</v>
      </c>
      <c r="B80" s="65">
        <f>champ_scale*(1+Labour!AP80)*(1+Partners!BX80)*(1-IF(union_resp=2,tariff_cut*Labour!S80,0))</f>
        <v/>
      </c>
      <c r="C80" s="45" t="n">
        <v>6500</v>
      </c>
      <c r="D80" s="45" t="n">
        <v>1420</v>
      </c>
      <c r="E80" s="45" t="n">
        <v>10000</v>
      </c>
      <c r="F80" s="47">
        <f>E80*B80</f>
        <v/>
      </c>
      <c r="G80" s="47">
        <f>F80/Economy!B80*1000000</f>
        <v/>
      </c>
      <c r="H80" s="45" t="n">
        <v>350</v>
      </c>
      <c r="I80" s="67">
        <f>IF(H80&gt;0,G80/H80,0)</f>
        <v/>
      </c>
      <c r="J80" s="68" t="n">
        <v>0.8</v>
      </c>
      <c r="K80" s="53">
        <f>Resources!K80*J80*B80</f>
        <v/>
      </c>
      <c r="L80" s="45" t="n">
        <v>250</v>
      </c>
      <c r="M80" s="59" t="n">
        <v>0.526</v>
      </c>
      <c r="N80" s="45" t="n">
        <v>55</v>
      </c>
      <c r="O80" s="68" t="n">
        <v>1</v>
      </c>
      <c r="P80" s="53">
        <f>(IF(Gulf!E80=1,0,L80*M80)+N80)*O80*B80</f>
        <v/>
      </c>
      <c r="Q80" s="53">
        <f>P80*oil_book</f>
        <v/>
      </c>
      <c r="R80" s="68" t="n">
        <v>4.833</v>
      </c>
      <c r="S80" s="45" t="n">
        <v>27</v>
      </c>
      <c r="T80" s="53">
        <f>R80*S80*B80</f>
        <v/>
      </c>
      <c r="U80" s="45" t="n">
        <v>460</v>
      </c>
      <c r="V80" s="45" t="n">
        <v>420</v>
      </c>
      <c r="W80" s="53">
        <f>U80/1000*V80*B80</f>
        <v/>
      </c>
      <c r="X80" s="45" t="n">
        <v>5000</v>
      </c>
      <c r="Y80" s="59" t="n">
        <v>0.141</v>
      </c>
      <c r="Z80" s="53">
        <f>X80*Y80*chem_va*B80</f>
        <v/>
      </c>
      <c r="AA80" s="59" t="n">
        <v>0.102</v>
      </c>
      <c r="AB80" s="53">
        <f>X80*AA80*roy_rate*B80*(1-IF(union_resp=2,lic_cut*Labour!S80,0))</f>
        <v/>
      </c>
      <c r="AC80" s="45" t="n">
        <v>2200</v>
      </c>
      <c r="AD80" s="59" t="n">
        <v>0.229</v>
      </c>
      <c r="AE80" s="59" t="n">
        <v>0.42</v>
      </c>
      <c r="AF80" s="53">
        <f>AC80*AD80*elec_va*B80</f>
        <v/>
      </c>
      <c r="AG80" s="53">
        <f>MAX(0,AE80-AD80)*AC80*roy_rate*B80*(1-IF(union_resp=2,lic_cut*Labour!S80,0))</f>
        <v/>
      </c>
      <c r="AH80" s="52" t="n">
        <v>160</v>
      </c>
      <c r="AI80" s="53">
        <f>AH80*B80</f>
        <v/>
      </c>
      <c r="AJ80" s="52" t="n">
        <v>150</v>
      </c>
      <c r="AK80" s="53">
        <f>AJ80*B80</f>
        <v/>
      </c>
      <c r="AL80" s="45" t="n">
        <v>540</v>
      </c>
      <c r="AM80" s="53">
        <f>AL80*uw_fee*B80</f>
        <v/>
      </c>
      <c r="AN80" s="52" t="n">
        <v>180</v>
      </c>
      <c r="AO80" s="52" t="n">
        <v>60</v>
      </c>
      <c r="AP80" s="53">
        <f>K80+T80+W80+Z80+AF80+AI80+AK80+AM80+AN80+AO80</f>
        <v/>
      </c>
      <c r="AQ80" s="53">
        <f>AP80*(1-1/champ_prem+champ_spill)</f>
        <v/>
      </c>
      <c r="AR80" s="63">
        <f>AP80/Economy!O80</f>
        <v/>
      </c>
      <c r="AS80" s="52" t="n">
        <v>1100</v>
      </c>
      <c r="AT80" s="52" t="n">
        <v>260</v>
      </c>
      <c r="AU80" s="52" t="n">
        <v>450</v>
      </c>
      <c r="AV80" s="52" t="n">
        <v>60</v>
      </c>
      <c r="AW80" s="52" t="n">
        <v>120</v>
      </c>
      <c r="AX80" s="52" t="n">
        <v>680</v>
      </c>
      <c r="AY80" s="53">
        <f>Q80+(AS80+AT80+AU80+AV80+AW80+AX80)*B80</f>
        <v/>
      </c>
      <c r="AZ80" s="53">
        <f>P80+(AS80*ret_rail+AT80*ret_tel+AU80*ret_elec+AV80*ret_auto+AW80*ret_chem+AX80*ret_steel)*B80*IF(OR($A80=1931,$A80=1932),abroad_slump,1)+AB80+AG80</f>
        <v/>
      </c>
      <c r="BA80" s="53">
        <f>AP80*champ_profit+AZ80</f>
        <v/>
      </c>
      <c r="BB80" s="53">
        <f>(K80+AI80+AK80)*champ_profit+P80+(AS80*ret_rail+AT80*ret_tel+AU80*ret_elec)*B80*IF(OR($A80=1931,$A80=1932),abroad_slump,1)</f>
        <v/>
      </c>
      <c r="BC80" s="53">
        <f>(T80+W80+Z80+AF80+AN80+AO80)*champ_profit+(AV80*ret_auto+AW80*ret_chem+AX80*ret_steel)*B80*IF(OR($A80=1931,$A80=1932),abroad_slump,1)+AB80+AG80</f>
        <v/>
      </c>
      <c r="BD80" s="53">
        <f>IF($A80&gt;=crown_start,(BB80*crown_charter+BC80*crown_comp)*crown_payout,0)</f>
        <v/>
      </c>
      <c r="BE80" s="63">
        <f>IF(BB80+BC80&gt;0,(BB80*crown_charter+BC80*crown_comp)/(BA80),0)</f>
        <v/>
      </c>
    </row>
    <row r="81">
      <c r="A81" s="61" t="n">
        <v>1921</v>
      </c>
      <c r="B81" s="65">
        <f>champ_scale*(1+Labour!AP81)*(1+Partners!BX81)*(1-IF(union_resp=2,tariff_cut*Labour!S81,0))</f>
        <v/>
      </c>
      <c r="C81" s="45" t="n">
        <v>6890</v>
      </c>
      <c r="D81" s="45" t="n">
        <v>1330</v>
      </c>
      <c r="E81" s="45" t="n">
        <v>10440</v>
      </c>
      <c r="F81" s="47">
        <f>E81*B81</f>
        <v/>
      </c>
      <c r="G81" s="47">
        <f>F81/Economy!B81*1000000</f>
        <v/>
      </c>
      <c r="H81" s="45" t="n">
        <v>352</v>
      </c>
      <c r="I81" s="67">
        <f>IF(H81&gt;0,G81/H81,0)</f>
        <v/>
      </c>
      <c r="J81" s="68" t="n">
        <v>0.789</v>
      </c>
      <c r="K81" s="53">
        <f>Resources!K81*J81*B81</f>
        <v/>
      </c>
      <c r="L81" s="45" t="n">
        <v>277</v>
      </c>
      <c r="M81" s="59" t="n">
        <v>0.529</v>
      </c>
      <c r="N81" s="45" t="n">
        <v>59</v>
      </c>
      <c r="O81" s="68" t="n">
        <v>0.978</v>
      </c>
      <c r="P81" s="53">
        <f>(IF(Gulf!E81=1,0,L81*M81)+N81)*O81*B81</f>
        <v/>
      </c>
      <c r="Q81" s="53">
        <f>P81*oil_book</f>
        <v/>
      </c>
      <c r="R81" s="68" t="n">
        <v>4</v>
      </c>
      <c r="S81" s="45" t="n">
        <v>25</v>
      </c>
      <c r="T81" s="53">
        <f>R81*S81*B81</f>
        <v/>
      </c>
      <c r="U81" s="45" t="n">
        <v>300</v>
      </c>
      <c r="V81" s="45" t="n">
        <v>402</v>
      </c>
      <c r="W81" s="53">
        <f>U81/1000*V81*B81</f>
        <v/>
      </c>
      <c r="X81" s="45" t="n">
        <v>4000</v>
      </c>
      <c r="Y81" s="59" t="n">
        <v>0.142</v>
      </c>
      <c r="Z81" s="53">
        <f>X81*Y81*chem_va*B81</f>
        <v/>
      </c>
      <c r="AA81" s="59" t="n">
        <v>0.104</v>
      </c>
      <c r="AB81" s="53">
        <f>X81*AA81*roy_rate*B81*(1-IF(union_resp=2,lic_cut*Labour!S81,0))</f>
        <v/>
      </c>
      <c r="AC81" s="45" t="n">
        <v>1700</v>
      </c>
      <c r="AD81" s="59" t="n">
        <v>0.23</v>
      </c>
      <c r="AE81" s="59" t="n">
        <v>0.423</v>
      </c>
      <c r="AF81" s="53">
        <f>AC81*AD81*elec_va*B81</f>
        <v/>
      </c>
      <c r="AG81" s="53">
        <f>MAX(0,AE81-AD81)*AC81*roy_rate*B81*(1-IF(union_resp=2,lic_cut*Labour!S81,0))</f>
        <v/>
      </c>
      <c r="AH81" s="52" t="n">
        <v>172</v>
      </c>
      <c r="AI81" s="53">
        <f>AH81*B81</f>
        <v/>
      </c>
      <c r="AJ81" s="52" t="n">
        <v>156</v>
      </c>
      <c r="AK81" s="53">
        <f>AJ81*B81</f>
        <v/>
      </c>
      <c r="AL81" s="45" t="n">
        <v>580</v>
      </c>
      <c r="AM81" s="53">
        <f>AL81*uw_fee*B81</f>
        <v/>
      </c>
      <c r="AN81" s="52" t="n">
        <v>220</v>
      </c>
      <c r="AO81" s="52" t="n">
        <v>70</v>
      </c>
      <c r="AP81" s="53">
        <f>K81+T81+W81+Z81+AF81+AI81+AK81+AM81+AN81+AO81</f>
        <v/>
      </c>
      <c r="AQ81" s="53">
        <f>AP81*(1-1/champ_prem+champ_spill)</f>
        <v/>
      </c>
      <c r="AR81" s="63">
        <f>AP81/Economy!O81</f>
        <v/>
      </c>
      <c r="AS81" s="52" t="n">
        <v>1180</v>
      </c>
      <c r="AT81" s="52" t="n">
        <v>278</v>
      </c>
      <c r="AU81" s="52" t="n">
        <v>540</v>
      </c>
      <c r="AV81" s="52" t="n">
        <v>78</v>
      </c>
      <c r="AW81" s="52" t="n">
        <v>146</v>
      </c>
      <c r="AX81" s="52" t="n">
        <v>697</v>
      </c>
      <c r="AY81" s="53">
        <f>Q81+(AS81+AT81+AU81+AV81+AW81+AX81)*B81</f>
        <v/>
      </c>
      <c r="AZ81" s="53">
        <f>P81+(AS81*ret_rail+AT81*ret_tel+AU81*ret_elec+AV81*ret_auto+AW81*ret_chem+AX81*ret_steel)*B81*IF(OR($A81=1931,$A81=1932),abroad_slump,1)+AB81+AG81</f>
        <v/>
      </c>
      <c r="BA81" s="53">
        <f>AP81*champ_profit+AZ81</f>
        <v/>
      </c>
      <c r="BB81" s="53">
        <f>(K81+AI81+AK81)*champ_profit+P81+(AS81*ret_rail+AT81*ret_tel+AU81*ret_elec)*B81*IF(OR($A81=1931,$A81=1932),abroad_slump,1)</f>
        <v/>
      </c>
      <c r="BC81" s="53">
        <f>(T81+W81+Z81+AF81+AN81+AO81)*champ_profit+(AV81*ret_auto+AW81*ret_chem+AX81*ret_steel)*B81*IF(OR($A81=1931,$A81=1932),abroad_slump,1)+AB81+AG81</f>
        <v/>
      </c>
      <c r="BD81" s="53">
        <f>IF($A81&gt;=crown_start,(BB81*crown_charter+BC81*crown_comp)*crown_payout,0)</f>
        <v/>
      </c>
      <c r="BE81" s="63">
        <f>IF(BB81+BC81&gt;0,(BB81*crown_charter+BC81*crown_comp)/(BA81),0)</f>
        <v/>
      </c>
    </row>
    <row r="82">
      <c r="A82" s="61" t="n">
        <v>1922</v>
      </c>
      <c r="B82" s="65">
        <f>champ_scale*(1+Labour!AP82)*(1+Partners!BX82)*(1-IF(union_resp=2,tariff_cut*Labour!S82,0))</f>
        <v/>
      </c>
      <c r="C82" s="45" t="n">
        <v>7280</v>
      </c>
      <c r="D82" s="45" t="n">
        <v>1250</v>
      </c>
      <c r="E82" s="45" t="n">
        <v>10890</v>
      </c>
      <c r="F82" s="47">
        <f>E82*B82</f>
        <v/>
      </c>
      <c r="G82" s="47">
        <f>F82/Economy!B82*1000000</f>
        <v/>
      </c>
      <c r="H82" s="45" t="n">
        <v>355</v>
      </c>
      <c r="I82" s="67">
        <f>IF(H82&gt;0,G82/H82,0)</f>
        <v/>
      </c>
      <c r="J82" s="68" t="n">
        <v>0.778</v>
      </c>
      <c r="K82" s="53">
        <f>Resources!K82*J82*B82</f>
        <v/>
      </c>
      <c r="L82" s="45" t="n">
        <v>303</v>
      </c>
      <c r="M82" s="59" t="n">
        <v>0.532</v>
      </c>
      <c r="N82" s="45" t="n">
        <v>63</v>
      </c>
      <c r="O82" s="68" t="n">
        <v>0.956</v>
      </c>
      <c r="P82" s="53">
        <f>(IF(Gulf!E82=1,0,L82*M82)+N82)*O82*B82</f>
        <v/>
      </c>
      <c r="Q82" s="53">
        <f>P82*oil_book</f>
        <v/>
      </c>
      <c r="R82" s="68" t="n">
        <v>4.875</v>
      </c>
      <c r="S82" s="45" t="n">
        <v>25</v>
      </c>
      <c r="T82" s="53">
        <f>R82*S82*B82</f>
        <v/>
      </c>
      <c r="U82" s="45" t="n">
        <v>500</v>
      </c>
      <c r="V82" s="45" t="n">
        <v>384</v>
      </c>
      <c r="W82" s="53">
        <f>U82/1000*V82*B82</f>
        <v/>
      </c>
      <c r="X82" s="45" t="n">
        <v>4625</v>
      </c>
      <c r="Y82" s="59" t="n">
        <v>0.143</v>
      </c>
      <c r="Z82" s="53">
        <f>X82*Y82*chem_va*B82</f>
        <v/>
      </c>
      <c r="AA82" s="59" t="n">
        <v>0.106</v>
      </c>
      <c r="AB82" s="53">
        <f>X82*AA82*roy_rate*B82*(1-IF(union_resp=2,lic_cut*Labour!S82,0))</f>
        <v/>
      </c>
      <c r="AC82" s="45" t="n">
        <v>2025</v>
      </c>
      <c r="AD82" s="59" t="n">
        <v>0.231</v>
      </c>
      <c r="AE82" s="59" t="n">
        <v>0.427</v>
      </c>
      <c r="AF82" s="53">
        <f>AC82*AD82*elec_va*B82</f>
        <v/>
      </c>
      <c r="AG82" s="53">
        <f>MAX(0,AE82-AD82)*AC82*roy_rate*B82*(1-IF(union_resp=2,lic_cut*Labour!S82,0))</f>
        <v/>
      </c>
      <c r="AH82" s="52" t="n">
        <v>184</v>
      </c>
      <c r="AI82" s="53">
        <f>AH82*B82</f>
        <v/>
      </c>
      <c r="AJ82" s="52" t="n">
        <v>162</v>
      </c>
      <c r="AK82" s="53">
        <f>AJ82*B82</f>
        <v/>
      </c>
      <c r="AL82" s="45" t="n">
        <v>620</v>
      </c>
      <c r="AM82" s="53">
        <f>AL82*uw_fee*B82</f>
        <v/>
      </c>
      <c r="AN82" s="52" t="n">
        <v>260</v>
      </c>
      <c r="AO82" s="52" t="n">
        <v>80</v>
      </c>
      <c r="AP82" s="53">
        <f>K82+T82+W82+Z82+AF82+AI82+AK82+AM82+AN82+AO82</f>
        <v/>
      </c>
      <c r="AQ82" s="53">
        <f>AP82*(1-1/champ_prem+champ_spill)</f>
        <v/>
      </c>
      <c r="AR82" s="63">
        <f>AP82/Economy!O82</f>
        <v/>
      </c>
      <c r="AS82" s="52" t="n">
        <v>1260</v>
      </c>
      <c r="AT82" s="52" t="n">
        <v>296</v>
      </c>
      <c r="AU82" s="52" t="n">
        <v>630</v>
      </c>
      <c r="AV82" s="52" t="n">
        <v>96</v>
      </c>
      <c r="AW82" s="52" t="n">
        <v>171</v>
      </c>
      <c r="AX82" s="52" t="n">
        <v>713</v>
      </c>
      <c r="AY82" s="53">
        <f>Q82+(AS82+AT82+AU82+AV82+AW82+AX82)*B82</f>
        <v/>
      </c>
      <c r="AZ82" s="53">
        <f>P82+(AS82*ret_rail+AT82*ret_tel+AU82*ret_elec+AV82*ret_auto+AW82*ret_chem+AX82*ret_steel)*B82*IF(OR($A82=1931,$A82=1932),abroad_slump,1)+AB82+AG82</f>
        <v/>
      </c>
      <c r="BA82" s="53">
        <f>AP82*champ_profit+AZ82</f>
        <v/>
      </c>
      <c r="BB82" s="53">
        <f>(K82+AI82+AK82)*champ_profit+P82+(AS82*ret_rail+AT82*ret_tel+AU82*ret_elec)*B82*IF(OR($A82=1931,$A82=1932),abroad_slump,1)</f>
        <v/>
      </c>
      <c r="BC82" s="53">
        <f>(T82+W82+Z82+AF82+AN82+AO82)*champ_profit+(AV82*ret_auto+AW82*ret_chem+AX82*ret_steel)*B82*IF(OR($A82=1931,$A82=1932),abroad_slump,1)+AB82+AG82</f>
        <v/>
      </c>
      <c r="BD82" s="53">
        <f>IF($A82&gt;=crown_start,(BB82*crown_charter+BC82*crown_comp)*crown_payout,0)</f>
        <v/>
      </c>
      <c r="BE82" s="63">
        <f>IF(BB82+BC82&gt;0,(BB82*crown_charter+BC82*crown_comp)/(BA82),0)</f>
        <v/>
      </c>
    </row>
    <row r="83">
      <c r="A83" s="58" t="n">
        <v>1923</v>
      </c>
      <c r="B83" s="65">
        <f>champ_scale*(1+Labour!AP83)*(1+Partners!BX83)*(1-IF(union_resp=2,tariff_cut*Labour!S83,0))</f>
        <v/>
      </c>
      <c r="C83" s="45" t="n">
        <v>7670</v>
      </c>
      <c r="D83" s="45" t="n">
        <v>1170</v>
      </c>
      <c r="E83" s="45" t="n">
        <v>11330</v>
      </c>
      <c r="F83" s="47">
        <f>E83*B83</f>
        <v/>
      </c>
      <c r="G83" s="47">
        <f>F83/Economy!B83*1000000</f>
        <v/>
      </c>
      <c r="H83" s="45" t="n">
        <v>357</v>
      </c>
      <c r="I83" s="67">
        <f>IF(H83&gt;0,G83/H83,0)</f>
        <v/>
      </c>
      <c r="J83" s="68" t="n">
        <v>0.767</v>
      </c>
      <c r="K83" s="53">
        <f>Resources!K83*J83*B83</f>
        <v/>
      </c>
      <c r="L83" s="45" t="n">
        <v>330</v>
      </c>
      <c r="M83" s="59" t="n">
        <v>0.534</v>
      </c>
      <c r="N83" s="45" t="n">
        <v>67</v>
      </c>
      <c r="O83" s="68" t="n">
        <v>0.9330000000000001</v>
      </c>
      <c r="P83" s="53">
        <f>(IF(Gulf!E83=1,0,L83*M83)+N83)*O83*B83</f>
        <v/>
      </c>
      <c r="Q83" s="53">
        <f>P83*oil_book</f>
        <v/>
      </c>
      <c r="R83" s="68" t="n">
        <v>5.75</v>
      </c>
      <c r="S83" s="45" t="n">
        <v>25</v>
      </c>
      <c r="T83" s="53">
        <f>R83*S83*B83</f>
        <v/>
      </c>
      <c r="U83" s="45" t="n">
        <v>700</v>
      </c>
      <c r="V83" s="45" t="n">
        <v>366</v>
      </c>
      <c r="W83" s="53">
        <f>U83/1000*V83*B83</f>
        <v/>
      </c>
      <c r="X83" s="45" t="n">
        <v>5250</v>
      </c>
      <c r="Y83" s="59" t="n">
        <v>0.144</v>
      </c>
      <c r="Z83" s="53">
        <f>X83*Y83*chem_va*B83</f>
        <v/>
      </c>
      <c r="AA83" s="59" t="n">
        <v>0.108</v>
      </c>
      <c r="AB83" s="53">
        <f>X83*AA83*roy_rate*B83*(1-IF(union_resp=2,lic_cut*Labour!S83,0))</f>
        <v/>
      </c>
      <c r="AC83" s="45" t="n">
        <v>2350</v>
      </c>
      <c r="AD83" s="59" t="n">
        <v>0.232</v>
      </c>
      <c r="AE83" s="59" t="n">
        <v>0.43</v>
      </c>
      <c r="AF83" s="53">
        <f>AC83*AD83*elec_va*B83</f>
        <v/>
      </c>
      <c r="AG83" s="53">
        <f>MAX(0,AE83-AD83)*AC83*roy_rate*B83*(1-IF(union_resp=2,lic_cut*Labour!S83,0))</f>
        <v/>
      </c>
      <c r="AH83" s="52" t="n">
        <v>196</v>
      </c>
      <c r="AI83" s="53">
        <f>AH83*B83</f>
        <v/>
      </c>
      <c r="AJ83" s="52" t="n">
        <v>168</v>
      </c>
      <c r="AK83" s="53">
        <f>AJ83*B83</f>
        <v/>
      </c>
      <c r="AL83" s="45" t="n">
        <v>660</v>
      </c>
      <c r="AM83" s="53">
        <f>AL83*uw_fee*B83</f>
        <v/>
      </c>
      <c r="AN83" s="52" t="n">
        <v>300</v>
      </c>
      <c r="AO83" s="52" t="n">
        <v>90</v>
      </c>
      <c r="AP83" s="53">
        <f>K83+T83+W83+Z83+AF83+AI83+AK83+AM83+AN83+AO83</f>
        <v/>
      </c>
      <c r="AQ83" s="53">
        <f>AP83*(1-1/champ_prem+champ_spill)</f>
        <v/>
      </c>
      <c r="AR83" s="63">
        <f>AP83/Economy!O83</f>
        <v/>
      </c>
      <c r="AS83" s="52" t="n">
        <v>1340</v>
      </c>
      <c r="AT83" s="52" t="n">
        <v>314</v>
      </c>
      <c r="AU83" s="52" t="n">
        <v>720</v>
      </c>
      <c r="AV83" s="52" t="n">
        <v>114</v>
      </c>
      <c r="AW83" s="52" t="n">
        <v>197</v>
      </c>
      <c r="AX83" s="52" t="n">
        <v>730</v>
      </c>
      <c r="AY83" s="53">
        <f>Q83+(AS83+AT83+AU83+AV83+AW83+AX83)*B83</f>
        <v/>
      </c>
      <c r="AZ83" s="53">
        <f>P83+(AS83*ret_rail+AT83*ret_tel+AU83*ret_elec+AV83*ret_auto+AW83*ret_chem+AX83*ret_steel)*B83*IF(OR($A83=1931,$A83=1932),abroad_slump,1)+AB83+AG83</f>
        <v/>
      </c>
      <c r="BA83" s="53">
        <f>AP83*champ_profit+AZ83</f>
        <v/>
      </c>
      <c r="BB83" s="53">
        <f>(K83+AI83+AK83)*champ_profit+P83+(AS83*ret_rail+AT83*ret_tel+AU83*ret_elec)*B83*IF(OR($A83=1931,$A83=1932),abroad_slump,1)</f>
        <v/>
      </c>
      <c r="BC83" s="53">
        <f>(T83+W83+Z83+AF83+AN83+AO83)*champ_profit+(AV83*ret_auto+AW83*ret_chem+AX83*ret_steel)*B83*IF(OR($A83=1931,$A83=1932),abroad_slump,1)+AB83+AG83</f>
        <v/>
      </c>
      <c r="BD83" s="53">
        <f>IF($A83&gt;=crown_start,(BB83*crown_charter+BC83*crown_comp)*crown_payout,0)</f>
        <v/>
      </c>
      <c r="BE83" s="63">
        <f>IF(BB83+BC83&gt;0,(BB83*crown_charter+BC83*crown_comp)/(BA83),0)</f>
        <v/>
      </c>
    </row>
    <row r="84">
      <c r="A84" s="58" t="n">
        <v>1924</v>
      </c>
      <c r="B84" s="65">
        <f>champ_scale*(1+Labour!AP84)*(1+Partners!BX84)*(1-IF(union_resp=2,tariff_cut*Labour!S84,0))</f>
        <v/>
      </c>
      <c r="C84" s="45" t="n">
        <v>8060</v>
      </c>
      <c r="D84" s="45" t="n">
        <v>1080</v>
      </c>
      <c r="E84" s="45" t="n">
        <v>11780</v>
      </c>
      <c r="F84" s="47">
        <f>E84*B84</f>
        <v/>
      </c>
      <c r="G84" s="47">
        <f>F84/Economy!B84*1000000</f>
        <v/>
      </c>
      <c r="H84" s="45" t="n">
        <v>359</v>
      </c>
      <c r="I84" s="67">
        <f>IF(H84&gt;0,G84/H84,0)</f>
        <v/>
      </c>
      <c r="J84" s="68" t="n">
        <v>0.756</v>
      </c>
      <c r="K84" s="53">
        <f>Resources!K84*J84*B84</f>
        <v/>
      </c>
      <c r="L84" s="45" t="n">
        <v>353</v>
      </c>
      <c r="M84" s="59" t="n">
        <v>0.537</v>
      </c>
      <c r="N84" s="45" t="n">
        <v>71</v>
      </c>
      <c r="O84" s="68" t="n">
        <v>0.911</v>
      </c>
      <c r="P84" s="53">
        <f>(IF(Gulf!E84=1,0,L84*M84)+N84)*O84*B84</f>
        <v/>
      </c>
      <c r="Q84" s="53">
        <f>P84*oil_book</f>
        <v/>
      </c>
      <c r="R84" s="68" t="n">
        <v>6.625</v>
      </c>
      <c r="S84" s="45" t="n">
        <v>25</v>
      </c>
      <c r="T84" s="53">
        <f>R84*S84*B84</f>
        <v/>
      </c>
      <c r="U84" s="45" t="n">
        <v>766.7</v>
      </c>
      <c r="V84" s="45" t="n">
        <v>348</v>
      </c>
      <c r="W84" s="53">
        <f>U84/1000*V84*B84</f>
        <v/>
      </c>
      <c r="X84" s="45" t="n">
        <v>5875</v>
      </c>
      <c r="Y84" s="59" t="n">
        <v>0.145</v>
      </c>
      <c r="Z84" s="53">
        <f>X84*Y84*chem_va*B84</f>
        <v/>
      </c>
      <c r="AA84" s="59" t="n">
        <v>0.11</v>
      </c>
      <c r="AB84" s="53">
        <f>X84*AA84*roy_rate*B84*(1-IF(union_resp=2,lic_cut*Labour!S84,0))</f>
        <v/>
      </c>
      <c r="AC84" s="45" t="n">
        <v>2675</v>
      </c>
      <c r="AD84" s="59" t="n">
        <v>0.234</v>
      </c>
      <c r="AE84" s="59" t="n">
        <v>0.433</v>
      </c>
      <c r="AF84" s="53">
        <f>AC84*AD84*elec_va*B84</f>
        <v/>
      </c>
      <c r="AG84" s="53">
        <f>MAX(0,AE84-AD84)*AC84*roy_rate*B84*(1-IF(union_resp=2,lic_cut*Labour!S84,0))</f>
        <v/>
      </c>
      <c r="AH84" s="52" t="n">
        <v>208</v>
      </c>
      <c r="AI84" s="53">
        <f>AH84*B84</f>
        <v/>
      </c>
      <c r="AJ84" s="52" t="n">
        <v>174</v>
      </c>
      <c r="AK84" s="53">
        <f>AJ84*B84</f>
        <v/>
      </c>
      <c r="AL84" s="45" t="n">
        <v>700</v>
      </c>
      <c r="AM84" s="53">
        <f>AL84*uw_fee*B84</f>
        <v/>
      </c>
      <c r="AN84" s="52" t="n">
        <v>340</v>
      </c>
      <c r="AO84" s="52" t="n">
        <v>100</v>
      </c>
      <c r="AP84" s="53">
        <f>K84+T84+W84+Z84+AF84+AI84+AK84+AM84+AN84+AO84</f>
        <v/>
      </c>
      <c r="AQ84" s="53">
        <f>AP84*(1-1/champ_prem+champ_spill)</f>
        <v/>
      </c>
      <c r="AR84" s="63">
        <f>AP84/Economy!O84</f>
        <v/>
      </c>
      <c r="AS84" s="52" t="n">
        <v>1420</v>
      </c>
      <c r="AT84" s="52" t="n">
        <v>332</v>
      </c>
      <c r="AU84" s="52" t="n">
        <v>810</v>
      </c>
      <c r="AV84" s="52" t="n">
        <v>132</v>
      </c>
      <c r="AW84" s="52" t="n">
        <v>222</v>
      </c>
      <c r="AX84" s="52" t="n">
        <v>747</v>
      </c>
      <c r="AY84" s="53">
        <f>Q84+(AS84+AT84+AU84+AV84+AW84+AX84)*B84</f>
        <v/>
      </c>
      <c r="AZ84" s="53">
        <f>P84+(AS84*ret_rail+AT84*ret_tel+AU84*ret_elec+AV84*ret_auto+AW84*ret_chem+AX84*ret_steel)*B84*IF(OR($A84=1931,$A84=1932),abroad_slump,1)+AB84+AG84</f>
        <v/>
      </c>
      <c r="BA84" s="53">
        <f>AP84*champ_profit+AZ84</f>
        <v/>
      </c>
      <c r="BB84" s="53">
        <f>(K84+AI84+AK84)*champ_profit+P84+(AS84*ret_rail+AT84*ret_tel+AU84*ret_elec)*B84*IF(OR($A84=1931,$A84=1932),abroad_slump,1)</f>
        <v/>
      </c>
      <c r="BC84" s="53">
        <f>(T84+W84+Z84+AF84+AN84+AO84)*champ_profit+(AV84*ret_auto+AW84*ret_chem+AX84*ret_steel)*B84*IF(OR($A84=1931,$A84=1932),abroad_slump,1)+AB84+AG84</f>
        <v/>
      </c>
      <c r="BD84" s="53">
        <f>IF($A84&gt;=crown_start,(BB84*crown_charter+BC84*crown_comp)*crown_payout,0)</f>
        <v/>
      </c>
      <c r="BE84" s="63">
        <f>IF(BB84+BC84&gt;0,(BB84*crown_charter+BC84*crown_comp)/(BA84),0)</f>
        <v/>
      </c>
    </row>
    <row r="85">
      <c r="A85" s="58" t="n">
        <v>1925</v>
      </c>
      <c r="B85" s="65">
        <f>champ_scale*(1+Labour!AP85)*(1+Partners!BX85)*(1-IF(union_resp=2,tariff_cut*Labour!S85,0))</f>
        <v/>
      </c>
      <c r="C85" s="45" t="n">
        <v>8440</v>
      </c>
      <c r="D85" s="45" t="n">
        <v>1000</v>
      </c>
      <c r="E85" s="45" t="n">
        <v>12220</v>
      </c>
      <c r="F85" s="47">
        <f>E85*B85</f>
        <v/>
      </c>
      <c r="G85" s="47">
        <f>F85/Economy!B85*1000000</f>
        <v/>
      </c>
      <c r="H85" s="45" t="n">
        <v>362</v>
      </c>
      <c r="I85" s="67">
        <f>IF(H85&gt;0,G85/H85,0)</f>
        <v/>
      </c>
      <c r="J85" s="68" t="n">
        <v>0.744</v>
      </c>
      <c r="K85" s="53">
        <f>Resources!K85*J85*B85</f>
        <v/>
      </c>
      <c r="L85" s="45" t="n">
        <v>377</v>
      </c>
      <c r="M85" s="59" t="n">
        <v>0.539</v>
      </c>
      <c r="N85" s="45" t="n">
        <v>74</v>
      </c>
      <c r="O85" s="68" t="n">
        <v>0.889</v>
      </c>
      <c r="P85" s="53">
        <f>(IF(Gulf!E85=1,0,L85*M85)+N85)*O85*B85</f>
        <v/>
      </c>
      <c r="Q85" s="53">
        <f>P85*oil_book</f>
        <v/>
      </c>
      <c r="R85" s="68" t="n">
        <v>7.5</v>
      </c>
      <c r="S85" s="45" t="n">
        <v>25</v>
      </c>
      <c r="T85" s="53">
        <f>R85*S85*B85</f>
        <v/>
      </c>
      <c r="U85" s="45" t="n">
        <v>833.3</v>
      </c>
      <c r="V85" s="45" t="n">
        <v>330</v>
      </c>
      <c r="W85" s="53">
        <f>U85/1000*V85*B85</f>
        <v/>
      </c>
      <c r="X85" s="45" t="n">
        <v>6500</v>
      </c>
      <c r="Y85" s="59" t="n">
        <v>0.146</v>
      </c>
      <c r="Z85" s="53">
        <f>X85*Y85*chem_va*B85</f>
        <v/>
      </c>
      <c r="AA85" s="59" t="n">
        <v>0.112</v>
      </c>
      <c r="AB85" s="53">
        <f>X85*AA85*roy_rate*B85*(1-IF(union_resp=2,lic_cut*Labour!S85,0))</f>
        <v/>
      </c>
      <c r="AC85" s="45" t="n">
        <v>3000</v>
      </c>
      <c r="AD85" s="59" t="n">
        <v>0.235</v>
      </c>
      <c r="AE85" s="59" t="n">
        <v>0.437</v>
      </c>
      <c r="AF85" s="53">
        <f>AC85*AD85*elec_va*B85</f>
        <v/>
      </c>
      <c r="AG85" s="53">
        <f>MAX(0,AE85-AD85)*AC85*roy_rate*B85*(1-IF(union_resp=2,lic_cut*Labour!S85,0))</f>
        <v/>
      </c>
      <c r="AH85" s="52" t="n">
        <v>220</v>
      </c>
      <c r="AI85" s="53">
        <f>AH85*B85</f>
        <v/>
      </c>
      <c r="AJ85" s="52" t="n">
        <v>180</v>
      </c>
      <c r="AK85" s="53">
        <f>AJ85*B85</f>
        <v/>
      </c>
      <c r="AL85" s="45" t="n">
        <v>750</v>
      </c>
      <c r="AM85" s="53">
        <f>AL85*uw_fee*B85</f>
        <v/>
      </c>
      <c r="AN85" s="52" t="n">
        <v>380</v>
      </c>
      <c r="AO85" s="52" t="n">
        <v>110</v>
      </c>
      <c r="AP85" s="53">
        <f>K85+T85+W85+Z85+AF85+AI85+AK85+AM85+AN85+AO85</f>
        <v/>
      </c>
      <c r="AQ85" s="53">
        <f>AP85*(1-1/champ_prem+champ_spill)</f>
        <v/>
      </c>
      <c r="AR85" s="63">
        <f>AP85/Economy!O85</f>
        <v/>
      </c>
      <c r="AS85" s="52" t="n">
        <v>1500</v>
      </c>
      <c r="AT85" s="52" t="n">
        <v>350</v>
      </c>
      <c r="AU85" s="52" t="n">
        <v>900</v>
      </c>
      <c r="AV85" s="52" t="n">
        <v>150</v>
      </c>
      <c r="AW85" s="52" t="n">
        <v>248</v>
      </c>
      <c r="AX85" s="52" t="n">
        <v>763</v>
      </c>
      <c r="AY85" s="53">
        <f>Q85+(AS85+AT85+AU85+AV85+AW85+AX85)*B85</f>
        <v/>
      </c>
      <c r="AZ85" s="53">
        <f>P85+(AS85*ret_rail+AT85*ret_tel+AU85*ret_elec+AV85*ret_auto+AW85*ret_chem+AX85*ret_steel)*B85*IF(OR($A85=1931,$A85=1932),abroad_slump,1)+AB85+AG85</f>
        <v/>
      </c>
      <c r="BA85" s="53">
        <f>AP85*champ_profit+AZ85</f>
        <v/>
      </c>
      <c r="BB85" s="53">
        <f>(K85+AI85+AK85)*champ_profit+P85+(AS85*ret_rail+AT85*ret_tel+AU85*ret_elec)*B85*IF(OR($A85=1931,$A85=1932),abroad_slump,1)</f>
        <v/>
      </c>
      <c r="BC85" s="53">
        <f>(T85+W85+Z85+AF85+AN85+AO85)*champ_profit+(AV85*ret_auto+AW85*ret_chem+AX85*ret_steel)*B85*IF(OR($A85=1931,$A85=1932),abroad_slump,1)+AB85+AG85</f>
        <v/>
      </c>
      <c r="BD85" s="53">
        <f>IF($A85&gt;=crown_start,(BB85*crown_charter+BC85*crown_comp)*crown_payout,0)</f>
        <v/>
      </c>
      <c r="BE85" s="63">
        <f>IF(BB85+BC85&gt;0,(BB85*crown_charter+BC85*crown_comp)/(BA85),0)</f>
        <v/>
      </c>
    </row>
    <row r="86">
      <c r="A86" s="58" t="n">
        <v>1926</v>
      </c>
      <c r="B86" s="65">
        <f>champ_scale*(1+Labour!AP86)*(1+Partners!BX86)*(1-IF(union_resp=2,tariff_cut*Labour!S86,0))</f>
        <v/>
      </c>
      <c r="C86" s="45" t="n">
        <v>8830</v>
      </c>
      <c r="D86" s="45" t="n">
        <v>980</v>
      </c>
      <c r="E86" s="45" t="n">
        <v>12670</v>
      </c>
      <c r="F86" s="47">
        <f>E86*B86</f>
        <v/>
      </c>
      <c r="G86" s="47">
        <f>F86/Economy!B86*1000000</f>
        <v/>
      </c>
      <c r="H86" s="45" t="n">
        <v>364</v>
      </c>
      <c r="I86" s="67">
        <f>IF(H86&gt;0,G86/H86,0)</f>
        <v/>
      </c>
      <c r="J86" s="68" t="n">
        <v>0.733</v>
      </c>
      <c r="K86" s="53">
        <f>Resources!K86*J86*B86</f>
        <v/>
      </c>
      <c r="L86" s="45" t="n">
        <v>400</v>
      </c>
      <c r="M86" s="59" t="n">
        <v>0.542</v>
      </c>
      <c r="N86" s="45" t="n">
        <v>78</v>
      </c>
      <c r="O86" s="68" t="n">
        <v>0.867</v>
      </c>
      <c r="P86" s="53">
        <f>(IF(Gulf!E86=1,0,L86*M86)+N86)*O86*B86</f>
        <v/>
      </c>
      <c r="Q86" s="53">
        <f>P86*oil_book</f>
        <v/>
      </c>
      <c r="R86" s="68" t="n">
        <v>7.875</v>
      </c>
      <c r="S86" s="45" t="n">
        <v>25</v>
      </c>
      <c r="T86" s="53">
        <f>R86*S86*B86</f>
        <v/>
      </c>
      <c r="U86" s="45" t="n">
        <v>900</v>
      </c>
      <c r="V86" s="45" t="n">
        <v>330</v>
      </c>
      <c r="W86" s="53">
        <f>U86/1000*V86*B86</f>
        <v/>
      </c>
      <c r="X86" s="45" t="n">
        <v>6875</v>
      </c>
      <c r="Y86" s="59" t="n">
        <v>0.147</v>
      </c>
      <c r="Z86" s="53">
        <f>X86*Y86*chem_va*B86</f>
        <v/>
      </c>
      <c r="AA86" s="59" t="n">
        <v>0.114</v>
      </c>
      <c r="AB86" s="53">
        <f>X86*AA86*roy_rate*B86*(1-IF(union_resp=2,lic_cut*Labour!S86,0))</f>
        <v/>
      </c>
      <c r="AC86" s="45" t="n">
        <v>3250</v>
      </c>
      <c r="AD86" s="59" t="n">
        <v>0.236</v>
      </c>
      <c r="AE86" s="59" t="n">
        <v>0.44</v>
      </c>
      <c r="AF86" s="53">
        <f>AC86*AD86*elec_va*B86</f>
        <v/>
      </c>
      <c r="AG86" s="53">
        <f>MAX(0,AE86-AD86)*AC86*roy_rate*B86*(1-IF(union_resp=2,lic_cut*Labour!S86,0))</f>
        <v/>
      </c>
      <c r="AH86" s="52" t="n">
        <v>235</v>
      </c>
      <c r="AI86" s="53">
        <f>AH86*B86</f>
        <v/>
      </c>
      <c r="AJ86" s="52" t="n">
        <v>192</v>
      </c>
      <c r="AK86" s="53">
        <f>AJ86*B86</f>
        <v/>
      </c>
      <c r="AL86" s="45" t="n">
        <v>800</v>
      </c>
      <c r="AM86" s="53">
        <f>AL86*uw_fee*B86</f>
        <v/>
      </c>
      <c r="AN86" s="52" t="n">
        <v>425</v>
      </c>
      <c r="AO86" s="52" t="n">
        <v>128</v>
      </c>
      <c r="AP86" s="53">
        <f>K86+T86+W86+Z86+AF86+AI86+AK86+AM86+AN86+AO86</f>
        <v/>
      </c>
      <c r="AQ86" s="53">
        <f>AP86*(1-1/champ_prem+champ_spill)</f>
        <v/>
      </c>
      <c r="AR86" s="63">
        <f>AP86/Economy!O86</f>
        <v/>
      </c>
      <c r="AS86" s="52" t="n">
        <v>1600</v>
      </c>
      <c r="AT86" s="52" t="n">
        <v>375</v>
      </c>
      <c r="AU86" s="52" t="n">
        <v>1075</v>
      </c>
      <c r="AV86" s="52" t="n">
        <v>188</v>
      </c>
      <c r="AW86" s="52" t="n">
        <v>273</v>
      </c>
      <c r="AX86" s="52" t="n">
        <v>780</v>
      </c>
      <c r="AY86" s="53">
        <f>Q86+(AS86+AT86+AU86+AV86+AW86+AX86)*B86</f>
        <v/>
      </c>
      <c r="AZ86" s="53">
        <f>P86+(AS86*ret_rail+AT86*ret_tel+AU86*ret_elec+AV86*ret_auto+AW86*ret_chem+AX86*ret_steel)*B86*IF(OR($A86=1931,$A86=1932),abroad_slump,1)+AB86+AG86</f>
        <v/>
      </c>
      <c r="BA86" s="53">
        <f>AP86*champ_profit+AZ86</f>
        <v/>
      </c>
      <c r="BB86" s="53">
        <f>(K86+AI86+AK86)*champ_profit+P86+(AS86*ret_rail+AT86*ret_tel+AU86*ret_elec)*B86*IF(OR($A86=1931,$A86=1932),abroad_slump,1)</f>
        <v/>
      </c>
      <c r="BC86" s="53">
        <f>(T86+W86+Z86+AF86+AN86+AO86)*champ_profit+(AV86*ret_auto+AW86*ret_chem+AX86*ret_steel)*B86*IF(OR($A86=1931,$A86=1932),abroad_slump,1)+AB86+AG86</f>
        <v/>
      </c>
      <c r="BD86" s="53">
        <f>IF($A86&gt;=crown_start,(BB86*crown_charter+BC86*crown_comp)*crown_payout,0)</f>
        <v/>
      </c>
      <c r="BE86" s="63">
        <f>IF(BB86+BC86&gt;0,(BB86*crown_charter+BC86*crown_comp)/(BA86),0)</f>
        <v/>
      </c>
    </row>
    <row r="87">
      <c r="A87" s="58" t="n">
        <v>1927</v>
      </c>
      <c r="B87" s="65">
        <f>champ_scale*(1+Labour!AP87)*(1+Partners!BX87)*(1-IF(union_resp=2,tariff_cut*Labour!S87,0))</f>
        <v/>
      </c>
      <c r="C87" s="45" t="n">
        <v>9220</v>
      </c>
      <c r="D87" s="45" t="n">
        <v>950</v>
      </c>
      <c r="E87" s="45" t="n">
        <v>13110</v>
      </c>
      <c r="F87" s="47">
        <f>E87*B87</f>
        <v/>
      </c>
      <c r="G87" s="47">
        <f>F87/Economy!B87*1000000</f>
        <v/>
      </c>
      <c r="H87" s="45" t="n">
        <v>366</v>
      </c>
      <c r="I87" s="67">
        <f>IF(H87&gt;0,G87/H87,0)</f>
        <v/>
      </c>
      <c r="J87" s="68" t="n">
        <v>0.722</v>
      </c>
      <c r="K87" s="53">
        <f>Resources!K87*J87*B87</f>
        <v/>
      </c>
      <c r="L87" s="45" t="n">
        <v>467</v>
      </c>
      <c r="M87" s="59" t="n">
        <v>0.545</v>
      </c>
      <c r="N87" s="45" t="n">
        <v>82</v>
      </c>
      <c r="O87" s="68" t="n">
        <v>0.844</v>
      </c>
      <c r="P87" s="53">
        <f>(IF(Gulf!E87=1,0,L87*M87)+N87)*O87*B87</f>
        <v/>
      </c>
      <c r="Q87" s="53">
        <f>P87*oil_book</f>
        <v/>
      </c>
      <c r="R87" s="68" t="n">
        <v>8.25</v>
      </c>
      <c r="S87" s="45" t="n">
        <v>25</v>
      </c>
      <c r="T87" s="53">
        <f>R87*S87*B87</f>
        <v/>
      </c>
      <c r="U87" s="45" t="n">
        <v>983.3</v>
      </c>
      <c r="V87" s="45" t="n">
        <v>330</v>
      </c>
      <c r="W87" s="53">
        <f>U87/1000*V87*B87</f>
        <v/>
      </c>
      <c r="X87" s="45" t="n">
        <v>7250</v>
      </c>
      <c r="Y87" s="59" t="n">
        <v>0.148</v>
      </c>
      <c r="Z87" s="53">
        <f>X87*Y87*chem_va*B87</f>
        <v/>
      </c>
      <c r="AA87" s="59" t="n">
        <v>0.116</v>
      </c>
      <c r="AB87" s="53">
        <f>X87*AA87*roy_rate*B87*(1-IF(union_resp=2,lic_cut*Labour!S87,0))</f>
        <v/>
      </c>
      <c r="AC87" s="45" t="n">
        <v>3500</v>
      </c>
      <c r="AD87" s="59" t="n">
        <v>0.237</v>
      </c>
      <c r="AE87" s="59" t="n">
        <v>0.443</v>
      </c>
      <c r="AF87" s="53">
        <f>AC87*AD87*elec_va*B87</f>
        <v/>
      </c>
      <c r="AG87" s="53">
        <f>MAX(0,AE87-AD87)*AC87*roy_rate*B87*(1-IF(union_resp=2,lic_cut*Labour!S87,0))</f>
        <v/>
      </c>
      <c r="AH87" s="52" t="n">
        <v>250</v>
      </c>
      <c r="AI87" s="53">
        <f>AH87*B87</f>
        <v/>
      </c>
      <c r="AJ87" s="52" t="n">
        <v>205</v>
      </c>
      <c r="AK87" s="53">
        <f>AJ87*B87</f>
        <v/>
      </c>
      <c r="AL87" s="45" t="n">
        <v>850</v>
      </c>
      <c r="AM87" s="53">
        <f>AL87*uw_fee*B87</f>
        <v/>
      </c>
      <c r="AN87" s="52" t="n">
        <v>470</v>
      </c>
      <c r="AO87" s="52" t="n">
        <v>145</v>
      </c>
      <c r="AP87" s="53">
        <f>K87+T87+W87+Z87+AF87+AI87+AK87+AM87+AN87+AO87</f>
        <v/>
      </c>
      <c r="AQ87" s="53">
        <f>AP87*(1-1/champ_prem+champ_spill)</f>
        <v/>
      </c>
      <c r="AR87" s="63">
        <f>AP87/Economy!O87</f>
        <v/>
      </c>
      <c r="AS87" s="52" t="n">
        <v>1700</v>
      </c>
      <c r="AT87" s="52" t="n">
        <v>400</v>
      </c>
      <c r="AU87" s="52" t="n">
        <v>1250</v>
      </c>
      <c r="AV87" s="52" t="n">
        <v>225</v>
      </c>
      <c r="AW87" s="52" t="n">
        <v>299</v>
      </c>
      <c r="AX87" s="52" t="n">
        <v>797</v>
      </c>
      <c r="AY87" s="53">
        <f>Q87+(AS87+AT87+AU87+AV87+AW87+AX87)*B87</f>
        <v/>
      </c>
      <c r="AZ87" s="53">
        <f>P87+(AS87*ret_rail+AT87*ret_tel+AU87*ret_elec+AV87*ret_auto+AW87*ret_chem+AX87*ret_steel)*B87*IF(OR($A87=1931,$A87=1932),abroad_slump,1)+AB87+AG87</f>
        <v/>
      </c>
      <c r="BA87" s="53">
        <f>AP87*champ_profit+AZ87</f>
        <v/>
      </c>
      <c r="BB87" s="53">
        <f>(K87+AI87+AK87)*champ_profit+P87+(AS87*ret_rail+AT87*ret_tel+AU87*ret_elec)*B87*IF(OR($A87=1931,$A87=1932),abroad_slump,1)</f>
        <v/>
      </c>
      <c r="BC87" s="53">
        <f>(T87+W87+Z87+AF87+AN87+AO87)*champ_profit+(AV87*ret_auto+AW87*ret_chem+AX87*ret_steel)*B87*IF(OR($A87=1931,$A87=1932),abroad_slump,1)+AB87+AG87</f>
        <v/>
      </c>
      <c r="BD87" s="53">
        <f>IF($A87&gt;=crown_start,(BB87*crown_charter+BC87*crown_comp)*crown_payout,0)</f>
        <v/>
      </c>
      <c r="BE87" s="63">
        <f>IF(BB87+BC87&gt;0,(BB87*crown_charter+BC87*crown_comp)/(BA87),0)</f>
        <v/>
      </c>
    </row>
    <row r="88">
      <c r="A88" s="58" t="n">
        <v>1928</v>
      </c>
      <c r="B88" s="65">
        <f>champ_scale*(1+Labour!AP88)*(1+Partners!BX88)*(1-IF(union_resp=2,tariff_cut*Labour!S88,0))</f>
        <v/>
      </c>
      <c r="C88" s="45" t="n">
        <v>9610</v>
      </c>
      <c r="D88" s="45" t="n">
        <v>920</v>
      </c>
      <c r="E88" s="45" t="n">
        <v>13560</v>
      </c>
      <c r="F88" s="47">
        <f>E88*B88</f>
        <v/>
      </c>
      <c r="G88" s="47">
        <f>F88/Economy!B88*1000000</f>
        <v/>
      </c>
      <c r="H88" s="45" t="n">
        <v>369</v>
      </c>
      <c r="I88" s="67">
        <f>IF(H88&gt;0,G88/H88,0)</f>
        <v/>
      </c>
      <c r="J88" s="68" t="n">
        <v>0.711</v>
      </c>
      <c r="K88" s="53">
        <f>Resources!K88*J88*B88</f>
        <v/>
      </c>
      <c r="L88" s="45" t="n">
        <v>533</v>
      </c>
      <c r="M88" s="59" t="n">
        <v>0.547</v>
      </c>
      <c r="N88" s="45" t="n">
        <v>86</v>
      </c>
      <c r="O88" s="68" t="n">
        <v>0.822</v>
      </c>
      <c r="P88" s="53">
        <f>(IF(Gulf!E88=1,0,L88*M88)+N88)*O88*B88</f>
        <v/>
      </c>
      <c r="Q88" s="53">
        <f>P88*oil_book</f>
        <v/>
      </c>
      <c r="R88" s="68" t="n">
        <v>8.625</v>
      </c>
      <c r="S88" s="45" t="n">
        <v>25</v>
      </c>
      <c r="T88" s="53">
        <f>R88*S88*B88</f>
        <v/>
      </c>
      <c r="U88" s="45" t="n">
        <v>1066.7</v>
      </c>
      <c r="V88" s="45" t="n">
        <v>330</v>
      </c>
      <c r="W88" s="53">
        <f>U88/1000*V88*B88</f>
        <v/>
      </c>
      <c r="X88" s="45" t="n">
        <v>7625</v>
      </c>
      <c r="Y88" s="59" t="n">
        <v>0.149</v>
      </c>
      <c r="Z88" s="53">
        <f>X88*Y88*chem_va*B88</f>
        <v/>
      </c>
      <c r="AA88" s="59" t="n">
        <v>0.118</v>
      </c>
      <c r="AB88" s="53">
        <f>X88*AA88*roy_rate*B88*(1-IF(union_resp=2,lic_cut*Labour!S88,0))</f>
        <v/>
      </c>
      <c r="AC88" s="45" t="n">
        <v>3750</v>
      </c>
      <c r="AD88" s="59" t="n">
        <v>0.239</v>
      </c>
      <c r="AE88" s="59" t="n">
        <v>0.447</v>
      </c>
      <c r="AF88" s="53">
        <f>AC88*AD88*elec_va*B88</f>
        <v/>
      </c>
      <c r="AG88" s="53">
        <f>MAX(0,AE88-AD88)*AC88*roy_rate*B88*(1-IF(union_resp=2,lic_cut*Labour!S88,0))</f>
        <v/>
      </c>
      <c r="AH88" s="52" t="n">
        <v>265</v>
      </c>
      <c r="AI88" s="53">
        <f>AH88*B88</f>
        <v/>
      </c>
      <c r="AJ88" s="52" t="n">
        <v>218</v>
      </c>
      <c r="AK88" s="53">
        <f>AJ88*B88</f>
        <v/>
      </c>
      <c r="AL88" s="45" t="n">
        <v>900</v>
      </c>
      <c r="AM88" s="53">
        <f>AL88*uw_fee*B88</f>
        <v/>
      </c>
      <c r="AN88" s="52" t="n">
        <v>515</v>
      </c>
      <c r="AO88" s="52" t="n">
        <v>162</v>
      </c>
      <c r="AP88" s="53">
        <f>K88+T88+W88+Z88+AF88+AI88+AK88+AM88+AN88+AO88</f>
        <v/>
      </c>
      <c r="AQ88" s="53">
        <f>AP88*(1-1/champ_prem+champ_spill)</f>
        <v/>
      </c>
      <c r="AR88" s="63">
        <f>AP88/Economy!O88</f>
        <v/>
      </c>
      <c r="AS88" s="52" t="n">
        <v>1800</v>
      </c>
      <c r="AT88" s="52" t="n">
        <v>425</v>
      </c>
      <c r="AU88" s="52" t="n">
        <v>1425</v>
      </c>
      <c r="AV88" s="52" t="n">
        <v>262</v>
      </c>
      <c r="AW88" s="52" t="n">
        <v>324</v>
      </c>
      <c r="AX88" s="52" t="n">
        <v>813</v>
      </c>
      <c r="AY88" s="53">
        <f>Q88+(AS88+AT88+AU88+AV88+AW88+AX88)*B88</f>
        <v/>
      </c>
      <c r="AZ88" s="53">
        <f>P88+(AS88*ret_rail+AT88*ret_tel+AU88*ret_elec+AV88*ret_auto+AW88*ret_chem+AX88*ret_steel)*B88*IF(OR($A88=1931,$A88=1932),abroad_slump,1)+AB88+AG88</f>
        <v/>
      </c>
      <c r="BA88" s="53">
        <f>AP88*champ_profit+AZ88</f>
        <v/>
      </c>
      <c r="BB88" s="53">
        <f>(K88+AI88+AK88)*champ_profit+P88+(AS88*ret_rail+AT88*ret_tel+AU88*ret_elec)*B88*IF(OR($A88=1931,$A88=1932),abroad_slump,1)</f>
        <v/>
      </c>
      <c r="BC88" s="53">
        <f>(T88+W88+Z88+AF88+AN88+AO88)*champ_profit+(AV88*ret_auto+AW88*ret_chem+AX88*ret_steel)*B88*IF(OR($A88=1931,$A88=1932),abroad_slump,1)+AB88+AG88</f>
        <v/>
      </c>
      <c r="BD88" s="53">
        <f>IF($A88&gt;=crown_start,(BB88*crown_charter+BC88*crown_comp)*crown_payout,0)</f>
        <v/>
      </c>
      <c r="BE88" s="63">
        <f>IF(BB88+BC88&gt;0,(BB88*crown_charter+BC88*crown_comp)/(BA88),0)</f>
        <v/>
      </c>
    </row>
    <row r="89">
      <c r="A89" s="58" t="n">
        <v>1929</v>
      </c>
      <c r="B89" s="65">
        <f>champ_scale*(1+Labour!AP89)*(1+Partners!BX89)*(1-IF(union_resp=2,tariff_cut*Labour!S89,0))</f>
        <v/>
      </c>
      <c r="C89" s="45" t="n">
        <v>10000</v>
      </c>
      <c r="D89" s="45" t="n">
        <v>900</v>
      </c>
      <c r="E89" s="45" t="n">
        <v>14000</v>
      </c>
      <c r="F89" s="47">
        <f>E89*B89</f>
        <v/>
      </c>
      <c r="G89" s="47">
        <f>F89/Economy!B89*1000000</f>
        <v/>
      </c>
      <c r="H89" s="45" t="n">
        <v>371</v>
      </c>
      <c r="I89" s="67">
        <f>IF(H89&gt;0,G89/H89,0)</f>
        <v/>
      </c>
      <c r="J89" s="68" t="n">
        <v>0.7</v>
      </c>
      <c r="K89" s="53">
        <f>Resources!K89*J89*B89</f>
        <v/>
      </c>
      <c r="L89" s="45" t="n">
        <v>600</v>
      </c>
      <c r="M89" s="59" t="n">
        <v>0.55</v>
      </c>
      <c r="N89" s="45" t="n">
        <v>90</v>
      </c>
      <c r="O89" s="68" t="n">
        <v>0.8</v>
      </c>
      <c r="P89" s="53">
        <f>(IF(Gulf!E89=1,0,L89*M89)+N89)*O89*B89</f>
        <v/>
      </c>
      <c r="Q89" s="53">
        <f>P89*oil_book</f>
        <v/>
      </c>
      <c r="R89" s="68" t="n">
        <v>9</v>
      </c>
      <c r="S89" s="45" t="n">
        <v>25</v>
      </c>
      <c r="T89" s="53">
        <f>R89*S89*B89</f>
        <v/>
      </c>
      <c r="U89" s="45" t="n">
        <v>1150</v>
      </c>
      <c r="V89" s="45" t="n">
        <v>330</v>
      </c>
      <c r="W89" s="53">
        <f>U89/1000*V89*B89</f>
        <v/>
      </c>
      <c r="X89" s="45" t="n">
        <v>8000</v>
      </c>
      <c r="Y89" s="59" t="n">
        <v>0.15</v>
      </c>
      <c r="Z89" s="53">
        <f>X89*Y89*chem_va*B89</f>
        <v/>
      </c>
      <c r="AA89" s="59" t="n">
        <v>0.12</v>
      </c>
      <c r="AB89" s="53">
        <f>X89*AA89*roy_rate*B89*(1-IF(union_resp=2,lic_cut*Labour!S89,0))</f>
        <v/>
      </c>
      <c r="AC89" s="45" t="n">
        <v>4000</v>
      </c>
      <c r="AD89" s="59" t="n">
        <v>0.24</v>
      </c>
      <c r="AE89" s="59" t="n">
        <v>0.45</v>
      </c>
      <c r="AF89" s="53">
        <f>AC89*AD89*elec_va*B89</f>
        <v/>
      </c>
      <c r="AG89" s="53">
        <f>MAX(0,AE89-AD89)*AC89*roy_rate*B89*(1-IF(union_resp=2,lic_cut*Labour!S89,0))</f>
        <v/>
      </c>
      <c r="AH89" s="52" t="n">
        <v>280</v>
      </c>
      <c r="AI89" s="53">
        <f>AH89*B89</f>
        <v/>
      </c>
      <c r="AJ89" s="52" t="n">
        <v>230</v>
      </c>
      <c r="AK89" s="53">
        <f>AJ89*B89</f>
        <v/>
      </c>
      <c r="AL89" s="45" t="n">
        <v>600</v>
      </c>
      <c r="AM89" s="53">
        <f>AL89*uw_fee*B89</f>
        <v/>
      </c>
      <c r="AN89" s="52" t="n">
        <v>560</v>
      </c>
      <c r="AO89" s="52" t="n">
        <v>180</v>
      </c>
      <c r="AP89" s="53">
        <f>K89+T89+W89+Z89+AF89+AI89+AK89+AM89+AN89+AO89</f>
        <v/>
      </c>
      <c r="AQ89" s="53">
        <f>AP89*(1-1/champ_prem+champ_spill)</f>
        <v/>
      </c>
      <c r="AR89" s="63">
        <f>AP89/Economy!O89</f>
        <v/>
      </c>
      <c r="AS89" s="52" t="n">
        <v>1900</v>
      </c>
      <c r="AT89" s="52" t="n">
        <v>450</v>
      </c>
      <c r="AU89" s="52" t="n">
        <v>1600</v>
      </c>
      <c r="AV89" s="52" t="n">
        <v>300</v>
      </c>
      <c r="AW89" s="52" t="n">
        <v>350</v>
      </c>
      <c r="AX89" s="52" t="n">
        <v>830</v>
      </c>
      <c r="AY89" s="53">
        <f>Q89+(AS89+AT89+AU89+AV89+AW89+AX89)*B89</f>
        <v/>
      </c>
      <c r="AZ89" s="53">
        <f>P89+(AS89*ret_rail+AT89*ret_tel+AU89*ret_elec+AV89*ret_auto+AW89*ret_chem+AX89*ret_steel)*B89*IF(OR($A89=1931,$A89=1932),abroad_slump,1)+AB89+AG89</f>
        <v/>
      </c>
      <c r="BA89" s="53">
        <f>AP89*champ_profit+AZ89</f>
        <v/>
      </c>
      <c r="BB89" s="53">
        <f>(K89+AI89+AK89)*champ_profit+P89+(AS89*ret_rail+AT89*ret_tel+AU89*ret_elec)*B89*IF(OR($A89=1931,$A89=1932),abroad_slump,1)</f>
        <v/>
      </c>
      <c r="BC89" s="53">
        <f>(T89+W89+Z89+AF89+AN89+AO89)*champ_profit+(AV89*ret_auto+AW89*ret_chem+AX89*ret_steel)*B89*IF(OR($A89=1931,$A89=1932),abroad_slump,1)+AB89+AG89</f>
        <v/>
      </c>
      <c r="BD89" s="53">
        <f>IF($A89&gt;=crown_start,(BB89*crown_charter+BC89*crown_comp)*crown_payout,0)</f>
        <v/>
      </c>
      <c r="BE89" s="63">
        <f>IF(BB89+BC89&gt;0,(BB89*crown_charter+BC89*crown_comp)/(BA89),0)</f>
        <v/>
      </c>
    </row>
    <row r="90">
      <c r="A90" s="58" t="n">
        <v>1930</v>
      </c>
      <c r="B90" s="65">
        <f>champ_scale*(1+Labour!AP90)*(1+Partners!BX90)*(1-IF(union_resp=2,tariff_cut*Labour!S90,0))</f>
        <v/>
      </c>
      <c r="C90" s="45" t="n">
        <v>10170</v>
      </c>
      <c r="D90" s="45" t="n">
        <v>1100</v>
      </c>
      <c r="E90" s="45" t="n">
        <v>13500</v>
      </c>
      <c r="F90" s="47">
        <f>E90*B90</f>
        <v/>
      </c>
      <c r="G90" s="47">
        <f>F90/Economy!B90*1000000</f>
        <v/>
      </c>
      <c r="H90" s="45" t="n">
        <v>390</v>
      </c>
      <c r="I90" s="67">
        <f>IF(H90&gt;0,G90/H90,0)</f>
        <v/>
      </c>
      <c r="J90" s="68" t="n">
        <v>0.617</v>
      </c>
      <c r="K90" s="53">
        <f>Resources!K90*J90*B90</f>
        <v/>
      </c>
      <c r="L90" s="45" t="n">
        <v>560</v>
      </c>
      <c r="M90" s="59" t="n">
        <v>0.55</v>
      </c>
      <c r="N90" s="45" t="n">
        <v>85</v>
      </c>
      <c r="O90" s="68" t="n">
        <v>0.717</v>
      </c>
      <c r="P90" s="53">
        <f>(IF(Gulf!E90=1,0,L90*M90)+N90)*O90*B90</f>
        <v/>
      </c>
      <c r="Q90" s="53">
        <f>P90*oil_book</f>
        <v/>
      </c>
      <c r="R90" s="68" t="n">
        <v>7</v>
      </c>
      <c r="S90" s="45" t="n">
        <v>23</v>
      </c>
      <c r="T90" s="53">
        <f>R90*S90*B90</f>
        <v/>
      </c>
      <c r="U90" s="45" t="n">
        <v>850</v>
      </c>
      <c r="V90" s="45" t="n">
        <v>320</v>
      </c>
      <c r="W90" s="53">
        <f>U90/1000*V90*B90</f>
        <v/>
      </c>
      <c r="X90" s="45" t="n">
        <v>7000</v>
      </c>
      <c r="Y90" s="59" t="n">
        <v>0.153</v>
      </c>
      <c r="Z90" s="53">
        <f>X90*Y90*chem_va*B90</f>
        <v/>
      </c>
      <c r="AA90" s="59" t="n">
        <v>0.12</v>
      </c>
      <c r="AB90" s="53">
        <f>X90*AA90*roy_rate*B90*(1-IF(union_resp=2,lic_cut*Labour!S90,0))</f>
        <v/>
      </c>
      <c r="AC90" s="45" t="n">
        <v>3500</v>
      </c>
      <c r="AD90" s="59" t="n">
        <v>0.24</v>
      </c>
      <c r="AE90" s="59" t="n">
        <v>0.45</v>
      </c>
      <c r="AF90" s="53">
        <f>AC90*AD90*elec_va*B90</f>
        <v/>
      </c>
      <c r="AG90" s="53">
        <f>MAX(0,AE90-AD90)*AC90*roy_rate*B90*(1-IF(union_resp=2,lic_cut*Labour!S90,0))</f>
        <v/>
      </c>
      <c r="AH90" s="52" t="n">
        <v>267</v>
      </c>
      <c r="AI90" s="53">
        <f>AH90*B90</f>
        <v/>
      </c>
      <c r="AJ90" s="52" t="n">
        <v>203</v>
      </c>
      <c r="AK90" s="53">
        <f>AJ90*B90</f>
        <v/>
      </c>
      <c r="AL90" s="45" t="n">
        <v>300</v>
      </c>
      <c r="AM90" s="53">
        <f>AL90*uw_fee*B90</f>
        <v/>
      </c>
      <c r="AN90" s="52" t="n">
        <v>513</v>
      </c>
      <c r="AO90" s="52" t="n">
        <v>157</v>
      </c>
      <c r="AP90" s="53">
        <f>K90+T90+W90+Z90+AF90+AI90+AK90+AM90+AN90+AO90</f>
        <v/>
      </c>
      <c r="AQ90" s="53">
        <f>AP90*(1-1/champ_prem+champ_spill)</f>
        <v/>
      </c>
      <c r="AR90" s="63">
        <f>AP90/Economy!O90</f>
        <v/>
      </c>
      <c r="AS90" s="52" t="n">
        <v>1867</v>
      </c>
      <c r="AT90" s="52" t="n">
        <v>443</v>
      </c>
      <c r="AU90" s="52" t="n">
        <v>1567</v>
      </c>
      <c r="AV90" s="52" t="n">
        <v>287</v>
      </c>
      <c r="AW90" s="52" t="n">
        <v>343</v>
      </c>
      <c r="AX90" s="52" t="n">
        <v>820</v>
      </c>
      <c r="AY90" s="53">
        <f>Q90+(AS90+AT90+AU90+AV90+AW90+AX90)*B90</f>
        <v/>
      </c>
      <c r="AZ90" s="53">
        <f>P90+(AS90*ret_rail+AT90*ret_tel+AU90*ret_elec+AV90*ret_auto+AW90*ret_chem+AX90*ret_steel)*B90*IF(OR($A90=1931,$A90=1932),abroad_slump,1)+AB90+AG90</f>
        <v/>
      </c>
      <c r="BA90" s="53">
        <f>AP90*champ_profit+AZ90</f>
        <v/>
      </c>
      <c r="BB90" s="53">
        <f>(K90+AI90+AK90)*champ_profit+P90+(AS90*ret_rail+AT90*ret_tel+AU90*ret_elec)*B90*IF(OR($A90=1931,$A90=1932),abroad_slump,1)</f>
        <v/>
      </c>
      <c r="BC90" s="53">
        <f>(T90+W90+Z90+AF90+AN90+AO90)*champ_profit+(AV90*ret_auto+AW90*ret_chem+AX90*ret_steel)*B90*IF(OR($A90=1931,$A90=1932),abroad_slump,1)+AB90+AG90</f>
        <v/>
      </c>
      <c r="BD90" s="53">
        <f>IF($A90&gt;=crown_start,(BB90*crown_charter+BC90*crown_comp)*crown_payout,0)</f>
        <v/>
      </c>
      <c r="BE90" s="63">
        <f>IF(BB90+BC90&gt;0,(BB90*crown_charter+BC90*crown_comp)/(BA90),0)</f>
        <v/>
      </c>
    </row>
    <row r="91">
      <c r="A91" s="58" t="n">
        <v>1931</v>
      </c>
      <c r="B91" s="65">
        <f>champ_scale*(1+Labour!AP91)*(1+Partners!BX91)*(1-IF(union_resp=2,tariff_cut*Labour!S91,0))</f>
        <v/>
      </c>
      <c r="C91" s="45" t="n">
        <v>10330</v>
      </c>
      <c r="D91" s="45" t="n">
        <v>1300</v>
      </c>
      <c r="E91" s="45" t="n">
        <v>13000</v>
      </c>
      <c r="F91" s="47">
        <f>E91*B91</f>
        <v/>
      </c>
      <c r="G91" s="47">
        <f>F91/Economy!B91*1000000</f>
        <v/>
      </c>
      <c r="H91" s="45" t="n">
        <v>409</v>
      </c>
      <c r="I91" s="67">
        <f>IF(H91&gt;0,G91/H91,0)</f>
        <v/>
      </c>
      <c r="J91" s="68" t="n">
        <v>0.533</v>
      </c>
      <c r="K91" s="53">
        <f>Resources!K91*J91*B91</f>
        <v/>
      </c>
      <c r="L91" s="45" t="n">
        <v>520</v>
      </c>
      <c r="M91" s="59" t="n">
        <v>0.55</v>
      </c>
      <c r="N91" s="45" t="n">
        <v>78</v>
      </c>
      <c r="O91" s="68" t="n">
        <v>0.633</v>
      </c>
      <c r="P91" s="53">
        <f>(IF(Gulf!E91=1,0,L91*M91)+N91)*O91*B91</f>
        <v/>
      </c>
      <c r="Q91" s="53">
        <f>P91*oil_book</f>
        <v/>
      </c>
      <c r="R91" s="68" t="n">
        <v>5.5</v>
      </c>
      <c r="S91" s="45" t="n">
        <v>22</v>
      </c>
      <c r="T91" s="53">
        <f>R91*S91*B91</f>
        <v/>
      </c>
      <c r="U91" s="45" t="n">
        <v>650</v>
      </c>
      <c r="V91" s="45" t="n">
        <v>310</v>
      </c>
      <c r="W91" s="53">
        <f>U91/1000*V91*B91</f>
        <v/>
      </c>
      <c r="X91" s="45" t="n">
        <v>6000</v>
      </c>
      <c r="Y91" s="59" t="n">
        <v>0.157</v>
      </c>
      <c r="Z91" s="53">
        <f>X91*Y91*chem_va*B91</f>
        <v/>
      </c>
      <c r="AA91" s="59" t="n">
        <v>0.12</v>
      </c>
      <c r="AB91" s="53">
        <f>X91*AA91*roy_rate*B91*(1-IF(union_resp=2,lic_cut*Labour!S91,0))</f>
        <v/>
      </c>
      <c r="AC91" s="45" t="n">
        <v>2900</v>
      </c>
      <c r="AD91" s="59" t="n">
        <v>0.24</v>
      </c>
      <c r="AE91" s="59" t="n">
        <v>0.45</v>
      </c>
      <c r="AF91" s="53">
        <f>AC91*AD91*elec_va*B91</f>
        <v/>
      </c>
      <c r="AG91" s="53">
        <f>MAX(0,AE91-AD91)*AC91*roy_rate*B91*(1-IF(union_resp=2,lic_cut*Labour!S91,0))</f>
        <v/>
      </c>
      <c r="AH91" s="52" t="n">
        <v>253</v>
      </c>
      <c r="AI91" s="53">
        <f>AH91*B91</f>
        <v/>
      </c>
      <c r="AJ91" s="52" t="n">
        <v>177</v>
      </c>
      <c r="AK91" s="53">
        <f>AJ91*B91</f>
        <v/>
      </c>
      <c r="AL91" s="45" t="n">
        <v>50</v>
      </c>
      <c r="AM91" s="53">
        <f>AL91*uw_fee*B91</f>
        <v/>
      </c>
      <c r="AN91" s="52" t="n">
        <v>467</v>
      </c>
      <c r="AO91" s="52" t="n">
        <v>133</v>
      </c>
      <c r="AP91" s="53">
        <f>K91+T91+W91+Z91+AF91+AI91+AK91+AM91+AN91+AO91</f>
        <v/>
      </c>
      <c r="AQ91" s="53">
        <f>AP91*(1-1/champ_prem+champ_spill)</f>
        <v/>
      </c>
      <c r="AR91" s="63">
        <f>AP91/Economy!O91</f>
        <v/>
      </c>
      <c r="AS91" s="52" t="n">
        <v>1833</v>
      </c>
      <c r="AT91" s="52" t="n">
        <v>437</v>
      </c>
      <c r="AU91" s="52" t="n">
        <v>1533</v>
      </c>
      <c r="AV91" s="52" t="n">
        <v>273</v>
      </c>
      <c r="AW91" s="52" t="n">
        <v>337</v>
      </c>
      <c r="AX91" s="52" t="n">
        <v>810</v>
      </c>
      <c r="AY91" s="53">
        <f>Q91+(AS91+AT91+AU91+AV91+AW91+AX91)*B91</f>
        <v/>
      </c>
      <c r="AZ91" s="53">
        <f>P91+(AS91*ret_rail+AT91*ret_tel+AU91*ret_elec+AV91*ret_auto+AW91*ret_chem+AX91*ret_steel)*B91*IF(OR($A91=1931,$A91=1932),abroad_slump,1)+AB91+AG91</f>
        <v/>
      </c>
      <c r="BA91" s="53">
        <f>AP91*champ_profit+AZ91</f>
        <v/>
      </c>
      <c r="BB91" s="53">
        <f>(K91+AI91+AK91)*champ_profit+P91+(AS91*ret_rail+AT91*ret_tel+AU91*ret_elec)*B91*IF(OR($A91=1931,$A91=1932),abroad_slump,1)</f>
        <v/>
      </c>
      <c r="BC91" s="53">
        <f>(T91+W91+Z91+AF91+AN91+AO91)*champ_profit+(AV91*ret_auto+AW91*ret_chem+AX91*ret_steel)*B91*IF(OR($A91=1931,$A91=1932),abroad_slump,1)+AB91+AG91</f>
        <v/>
      </c>
      <c r="BD91" s="53">
        <f>IF($A91&gt;=crown_start,(BB91*crown_charter+BC91*crown_comp)*crown_payout,0)</f>
        <v/>
      </c>
      <c r="BE91" s="63">
        <f>IF(BB91+BC91&gt;0,(BB91*crown_charter+BC91*crown_comp)/(BA91),0)</f>
        <v/>
      </c>
    </row>
    <row r="92">
      <c r="A92" s="58" t="n">
        <v>1932</v>
      </c>
      <c r="B92" s="65">
        <f>champ_scale*(1+Labour!AP92)*(1+Partners!BX92)*(1-IF(union_resp=2,tariff_cut*Labour!S92,0))</f>
        <v/>
      </c>
      <c r="C92" s="45" t="n">
        <v>10500</v>
      </c>
      <c r="D92" s="45" t="n">
        <v>1500</v>
      </c>
      <c r="E92" s="45" t="n">
        <v>12500</v>
      </c>
      <c r="F92" s="47">
        <f>E92*B92</f>
        <v/>
      </c>
      <c r="G92" s="47">
        <f>F92/Economy!B92*1000000</f>
        <v/>
      </c>
      <c r="H92" s="45" t="n">
        <v>428</v>
      </c>
      <c r="I92" s="67">
        <f>IF(H92&gt;0,G92/H92,0)</f>
        <v/>
      </c>
      <c r="J92" s="68" t="n">
        <v>0.45</v>
      </c>
      <c r="K92" s="53">
        <f>Resources!K92*J92*B92</f>
        <v/>
      </c>
      <c r="L92" s="45" t="n">
        <v>450</v>
      </c>
      <c r="M92" s="59" t="n">
        <v>0.55</v>
      </c>
      <c r="N92" s="45" t="n">
        <v>72</v>
      </c>
      <c r="O92" s="68" t="n">
        <v>0.55</v>
      </c>
      <c r="P92" s="53">
        <f>(IF(Gulf!E92=1,0,L92*M92)+N92)*O92*B92</f>
        <v/>
      </c>
      <c r="Q92" s="53">
        <f>P92*oil_book</f>
        <v/>
      </c>
      <c r="R92" s="68" t="n">
        <v>4</v>
      </c>
      <c r="S92" s="45" t="n">
        <v>20</v>
      </c>
      <c r="T92" s="53">
        <f>R92*S92*B92</f>
        <v/>
      </c>
      <c r="U92" s="45" t="n">
        <v>450</v>
      </c>
      <c r="V92" s="45" t="n">
        <v>300</v>
      </c>
      <c r="W92" s="53">
        <f>U92/1000*V92*B92</f>
        <v/>
      </c>
      <c r="X92" s="45" t="n">
        <v>5500</v>
      </c>
      <c r="Y92" s="59" t="n">
        <v>0.16</v>
      </c>
      <c r="Z92" s="53">
        <f>X92*Y92*chem_va*B92</f>
        <v/>
      </c>
      <c r="AA92" s="59" t="n">
        <v>0.12</v>
      </c>
      <c r="AB92" s="53">
        <f>X92*AA92*roy_rate*B92*(1-IF(union_resp=2,lic_cut*Labour!S92,0))</f>
        <v/>
      </c>
      <c r="AC92" s="45" t="n">
        <v>2500</v>
      </c>
      <c r="AD92" s="59" t="n">
        <v>0.24</v>
      </c>
      <c r="AE92" s="59" t="n">
        <v>0.45</v>
      </c>
      <c r="AF92" s="53">
        <f>AC92*AD92*elec_va*B92</f>
        <v/>
      </c>
      <c r="AG92" s="53">
        <f>MAX(0,AE92-AD92)*AC92*roy_rate*B92*(1-IF(union_resp=2,lic_cut*Labour!S92,0))</f>
        <v/>
      </c>
      <c r="AH92" s="52" t="n">
        <v>240</v>
      </c>
      <c r="AI92" s="53">
        <f>AH92*B92</f>
        <v/>
      </c>
      <c r="AJ92" s="52" t="n">
        <v>150</v>
      </c>
      <c r="AK92" s="53">
        <f>AJ92*B92</f>
        <v/>
      </c>
      <c r="AL92" s="45" t="n">
        <v>20</v>
      </c>
      <c r="AM92" s="53">
        <f>AL92*uw_fee*B92</f>
        <v/>
      </c>
      <c r="AN92" s="52" t="n">
        <v>420</v>
      </c>
      <c r="AO92" s="52" t="n">
        <v>110</v>
      </c>
      <c r="AP92" s="53">
        <f>K92+T92+W92+Z92+AF92+AI92+AK92+AM92+AN92+AO92</f>
        <v/>
      </c>
      <c r="AQ92" s="53">
        <f>AP92*(1-1/champ_prem+champ_spill)</f>
        <v/>
      </c>
      <c r="AR92" s="63">
        <f>AP92/Economy!O92</f>
        <v/>
      </c>
      <c r="AS92" s="52" t="n">
        <v>1800</v>
      </c>
      <c r="AT92" s="52" t="n">
        <v>430</v>
      </c>
      <c r="AU92" s="52" t="n">
        <v>1500</v>
      </c>
      <c r="AV92" s="52" t="n">
        <v>260</v>
      </c>
      <c r="AW92" s="52" t="n">
        <v>330</v>
      </c>
      <c r="AX92" s="52" t="n">
        <v>800</v>
      </c>
      <c r="AY92" s="53">
        <f>Q92+(AS92+AT92+AU92+AV92+AW92+AX92)*B92</f>
        <v/>
      </c>
      <c r="AZ92" s="53">
        <f>P92+(AS92*ret_rail+AT92*ret_tel+AU92*ret_elec+AV92*ret_auto+AW92*ret_chem+AX92*ret_steel)*B92*IF(OR($A92=1931,$A92=1932),abroad_slump,1)+AB92+AG92</f>
        <v/>
      </c>
      <c r="BA92" s="53">
        <f>AP92*champ_profit+AZ92</f>
        <v/>
      </c>
      <c r="BB92" s="53">
        <f>(K92+AI92+AK92)*champ_profit+P92+(AS92*ret_rail+AT92*ret_tel+AU92*ret_elec)*B92*IF(OR($A92=1931,$A92=1932),abroad_slump,1)</f>
        <v/>
      </c>
      <c r="BC92" s="53">
        <f>(T92+W92+Z92+AF92+AN92+AO92)*champ_profit+(AV92*ret_auto+AW92*ret_chem+AX92*ret_steel)*B92*IF(OR($A92=1931,$A92=1932),abroad_slump,1)+AB92+AG92</f>
        <v/>
      </c>
      <c r="BD92" s="53">
        <f>IF($A92&gt;=crown_start,(BB92*crown_charter+BC92*crown_comp)*crown_payout,0)</f>
        <v/>
      </c>
      <c r="BE92" s="63">
        <f>IF(BB92+BC92&gt;0,(BB92*crown_charter+BC92*crown_comp)/(BA92),0)</f>
        <v/>
      </c>
    </row>
  </sheetData>
  <mergeCells count="10">
    <mergeCell ref="AC4:AG4"/>
    <mergeCell ref="J4:Q4"/>
    <mergeCell ref="BA4:BE4"/>
    <mergeCell ref="AS4:AY4"/>
    <mergeCell ref="AH4:AO4"/>
    <mergeCell ref="R4:T4"/>
    <mergeCell ref="U4:W4"/>
    <mergeCell ref="AP4:AR4"/>
    <mergeCell ref="B4:I4"/>
    <mergeCell ref="X4:AB4"/>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548235"/>
    <outlinePr summaryBelow="1" summaryRight="1"/>
    <pageSetUpPr fitToPage="1"/>
  </sheetPr>
  <dimension ref="A1:BP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s>
  <sheetData>
    <row r="1">
      <c r="A1" s="18" t="inlineStr">
        <is>
          <t>Talent, migration and jobs</t>
        </is>
      </c>
    </row>
    <row r="2">
      <c r="A2" s="2" t="inlineStr">
        <is>
          <t>The loop: Pacifica's lead draws skilled people, who raise output and the champions, who create jobs that draw more people; what the Union loses (CR-020 B10).</t>
        </is>
      </c>
    </row>
    <row r="3">
      <c r="A3" s="19" t="inlineStr">
        <is>
          <t>Years run down the page. Blue = input you can change · black = formula · green = link to another sheet. Hover a column heading for its definition.</t>
        </is>
      </c>
    </row>
    <row r="4">
      <c r="B4" s="56" t="inlineStr">
        <is>
          <t>Pacifica's workers</t>
        </is>
      </c>
      <c r="J4" s="56" t="inlineStr">
        <is>
          <t>Guest workers</t>
        </is>
      </c>
      <c r="S4" s="56" t="inlineStr">
        <is>
          <t>The pull</t>
        </is>
      </c>
      <c r="AG4" s="56" t="inlineStr">
        <is>
          <t>Extra arrivals</t>
        </is>
      </c>
      <c r="AM4" s="56" t="inlineStr">
        <is>
          <t>Productivity</t>
        </is>
      </c>
      <c r="AQ4" s="56" t="inlineStr">
        <is>
          <t>Diverted immigration</t>
        </is>
      </c>
      <c r="AU4" s="56" t="inlineStr">
        <is>
          <t>The Union</t>
        </is>
      </c>
    </row>
    <row r="5" ht="54" customHeight="1">
      <c r="A5" s="57" t="inlineStr">
        <is>
          <t>Year</t>
        </is>
      </c>
      <c r="B5" s="6" t="inlineStr">
        <is>
          <t>Labour force</t>
        </is>
      </c>
      <c r="C5" s="6" t="inlineStr">
        <is>
          <t>Output per worker ($)</t>
        </is>
      </c>
      <c r="D5" s="6" t="inlineStr">
        <is>
          <t>Jobs in the champions</t>
        </is>
      </c>
      <c r="E5" s="6" t="inlineStr">
        <is>
          <t>Related jobs: suppliers, services, construction</t>
        </is>
      </c>
      <c r="F5" s="6" t="inlineStr">
        <is>
          <t>Champion-related jobs</t>
        </is>
      </c>
      <c r="G5" s="6" t="inlineStr">
        <is>
          <t>Champion-related jobs / labour force</t>
        </is>
      </c>
      <c r="H5" s="6" t="inlineStr">
        <is>
          <t>New champion-related jobs</t>
        </is>
      </c>
      <c r="I5" s="6" t="inlineStr">
        <is>
          <t>Unemployment rate</t>
        </is>
      </c>
      <c r="J5" s="6" t="inlineStr">
        <is>
          <t>Guest-worker permits wanted by employers</t>
        </is>
      </c>
      <c r="K5" s="6" t="inlineStr">
        <is>
          <t>Guest workers who become residents</t>
        </is>
      </c>
      <c r="L5" s="6" t="inlineStr">
        <is>
          <t>Guest workers present</t>
        </is>
      </c>
      <c r="M5" s="6" t="inlineStr">
        <is>
          <t>Guest workers arriving</t>
        </is>
      </c>
      <c r="N5" s="6" t="inlineStr">
        <is>
          <t>Guest workers / resident labour force</t>
        </is>
      </c>
      <c r="O5" s="6" t="inlineStr">
        <is>
          <t>Guest workers' output ($m)</t>
        </is>
      </c>
      <c r="P5" s="6" t="inlineStr">
        <is>
          <t>Guest workers' wages ($m)</t>
        </is>
      </c>
      <c r="Q5" s="6" t="inlineStr">
        <is>
          <t>Employer levy ($m)</t>
        </is>
      </c>
      <c r="R5" s="6" t="inlineStr">
        <is>
          <t>Remittances sent home ($m)</t>
        </is>
      </c>
      <c r="S5" s="6" t="inlineStr">
        <is>
          <t>The Union's response, phased in</t>
        </is>
      </c>
      <c r="T5" s="6" t="inlineStr">
        <is>
          <t>Lead over US output per person, last year</t>
        </is>
      </c>
      <c r="U5" s="6" t="inlineStr">
        <is>
          <t>Lead beyond what the baseline arrivals assume</t>
        </is>
      </c>
      <c r="V5" s="6" t="inlineStr">
        <is>
          <t>Union population without Pacifica's pull (m)</t>
        </is>
      </c>
      <c r="W5" s="6" t="inlineStr">
        <is>
          <t>Union skilled workers</t>
        </is>
      </c>
      <c r="X5" s="6" t="inlineStr">
        <is>
          <t>Skilled emigrants leaving Europe and Asia</t>
        </is>
      </c>
      <c r="Y5" s="6" t="inlineStr">
        <is>
          <t>Skilled workers who want to come: from the Union</t>
        </is>
      </c>
      <c r="Z5" s="6" t="inlineStr">
        <is>
          <t>Skilled workers who want to come: from Europe and Asia</t>
        </is>
      </c>
      <c r="AA5" s="6" t="inlineStr">
        <is>
          <t>Skilled people in Asia ready to emigrate</t>
        </is>
      </c>
      <c r="AB5" s="6" t="inlineStr">
        <is>
          <t>Skilled workers who want to come: from Asia</t>
        </is>
      </c>
      <c r="AC5" s="6" t="inlineStr">
        <is>
          <t>Places in the skilled-entry programme</t>
        </is>
      </c>
      <c r="AD5" s="6" t="inlineStr">
        <is>
          <t>Skilled workers admitted</t>
        </is>
      </c>
      <c r="AE5" s="6" t="inlineStr">
        <is>
          <t>… of whom from the Union</t>
        </is>
      </c>
      <c r="AF5" s="6" t="inlineStr">
        <is>
          <t>… of whom from Asia</t>
        </is>
      </c>
      <c r="AG5" s="6" t="inlineStr">
        <is>
          <t>Skilled arrivals with their families</t>
        </is>
      </c>
      <c r="AH5" s="6" t="inlineStr">
        <is>
          <t>Talent migrants and descendants</t>
        </is>
      </c>
      <c r="AI5" s="6" t="inlineStr">
        <is>
          <t>Relatives who follow</t>
        </is>
      </c>
      <c r="AJ5" s="6" t="inlineStr">
        <is>
          <t>Arrivals for new jobs (− leave when jobs go)</t>
        </is>
      </c>
      <c r="AK5" s="6" t="inlineStr">
        <is>
          <t>Former guest workers settling, with families</t>
        </is>
      </c>
      <c r="AL5" s="6" t="inlineStr">
        <is>
          <t>Extra arrivals, all</t>
        </is>
      </c>
      <c r="AM5" s="6" t="inlineStr">
        <is>
          <t>Extra skilled workers in Pacifica</t>
        </is>
      </c>
      <c r="AN5" s="6" t="inlineStr">
        <is>
          <t>Extra skilled workers / labour force</t>
        </is>
      </c>
      <c r="AO5" s="6" t="inlineStr">
        <is>
          <t>Output per resident raised by the extra talent</t>
        </is>
      </c>
      <c r="AP5" s="6" t="inlineStr">
        <is>
          <t>Champions raised by the extra talent</t>
        </is>
      </c>
      <c r="AQ5" s="6" t="inlineStr">
        <is>
          <t>US immigration, historical</t>
        </is>
      </c>
      <c r="AR5" s="6" t="inlineStr">
        <is>
          <t>Immigrants who choose Pacifica instead</t>
        </is>
      </c>
      <c r="AS5" s="6" t="inlineStr">
        <is>
          <t>First-generation diverted immigrants in Pacifica</t>
        </is>
      </c>
      <c r="AT5" s="6" t="inlineStr">
        <is>
          <t>Output per resident lowered while they learn the language and trades</t>
        </is>
      </c>
      <c r="AU5" s="6" t="inlineStr">
        <is>
          <t>Union-born skilled workers in Pacifica</t>
        </is>
      </c>
      <c r="AV5" s="6" t="inlineStr">
        <is>
          <t>Missing from the Union: diverted immigrants and their children</t>
        </is>
      </c>
      <c r="AW5" s="6" t="inlineStr">
        <is>
          <t>Missing from the Union: talent emigrants, families and children</t>
        </is>
      </c>
      <c r="AX5" s="6" t="inlineStr">
        <is>
          <t>Union population (m)</t>
        </is>
      </c>
      <c r="AY5" s="6" t="inlineStr">
        <is>
          <t>Union citizens working in Pacifica as guest workers</t>
        </is>
      </c>
      <c r="AZ5" s="6" t="inlineStr">
        <is>
          <t>Union output per person vs the US average</t>
        </is>
      </c>
      <c r="BA5" s="6" t="inlineStr">
        <is>
          <t>Union output per worker, historical ($)</t>
        </is>
      </c>
      <c r="BB5" s="6" t="inlineStr">
        <is>
          <t>Growth lost to the brain drain</t>
        </is>
      </c>
      <c r="BC5" s="6" t="inlineStr">
        <is>
          <t>Growth lost to Pacific trade and gold</t>
        </is>
      </c>
      <c r="BD5" s="6" t="inlineStr">
        <is>
          <t>Growth regained by emulating Pacifica</t>
        </is>
      </c>
      <c r="BE5" s="6" t="inlineStr">
        <is>
          <t>Union productivity vs history</t>
        </is>
      </c>
      <c r="BF5" s="6" t="inlineStr">
        <is>
          <t>Extra crash: the German loan book (§34)</t>
        </is>
      </c>
      <c r="BG5" s="6" t="inlineStr">
        <is>
          <t>Skill premium lost with the emigrants ($m)</t>
        </is>
      </c>
      <c r="BH5" s="6" t="inlineStr">
        <is>
          <t>Business lost to the champions ($m)</t>
        </is>
      </c>
      <c r="BI5" s="6" t="inlineStr">
        <is>
          <t>Output of Union workers away as guest workers ($m)</t>
        </is>
      </c>
      <c r="BJ5" s="6" t="inlineStr">
        <is>
          <t>Union GDP without Pacifica's pull ($m)</t>
        </is>
      </c>
      <c r="BK5" s="6" t="inlineStr">
        <is>
          <t>Union GDP ($m)</t>
        </is>
      </c>
      <c r="BL5" s="6" t="inlineStr">
        <is>
          <t>Union output lost to Pacifica</t>
        </is>
      </c>
      <c r="BM5" s="6" t="inlineStr">
        <is>
          <t>Union jobs displaced this year</t>
        </is>
      </c>
      <c r="BN5" s="6" t="inlineStr">
        <is>
          <t>Displaced Union workers not yet re-employed</t>
        </is>
      </c>
      <c r="BO5" s="6" t="inlineStr">
        <is>
          <t>US unemployment, historical</t>
        </is>
      </c>
      <c r="BP5" s="6" t="inlineStr">
        <is>
          <t>Union unemployment</t>
        </is>
      </c>
    </row>
    <row r="6">
      <c r="A6" s="58" t="n">
        <v>1846</v>
      </c>
      <c r="B6" s="47">
        <f>Economy!B6*lf_rate</f>
        <v/>
      </c>
      <c r="C6" s="47">
        <f>Economy!O6*1000000/(B6+L6)</f>
        <v/>
      </c>
      <c r="D6" s="47">
        <f>Champions!AP6*1000000/(C6*champ_prem)</f>
        <v/>
      </c>
      <c r="E6" s="47">
        <f>D6*job_mult</f>
        <v/>
      </c>
      <c r="F6" s="47">
        <f>D6+E6</f>
        <v/>
      </c>
      <c r="G6" s="63">
        <f>F6/B6</f>
        <v/>
      </c>
      <c r="H6" s="47">
        <f>0</f>
        <v/>
      </c>
      <c r="I6" s="63">
        <f>pac_u_base</f>
        <v/>
      </c>
      <c r="J6" s="47">
        <f>0</f>
        <v/>
      </c>
      <c r="K6" s="47">
        <f>0</f>
        <v/>
      </c>
      <c r="L6" s="47">
        <f>0</f>
        <v/>
      </c>
      <c r="M6" s="47">
        <f>0</f>
        <v/>
      </c>
      <c r="N6" s="63">
        <f>L6/B6</f>
        <v/>
      </c>
      <c r="O6" s="53">
        <f>Economy!L6</f>
        <v/>
      </c>
      <c r="P6" s="53">
        <f>O6*gw_wage_share</f>
        <v/>
      </c>
      <c r="Q6" s="53">
        <f>P6*gw_levy</f>
        <v/>
      </c>
      <c r="R6" s="53">
        <f>P6*gw_remit</f>
        <v/>
      </c>
      <c r="S6" s="63">
        <f>IF(union_resp&gt;=1,MIN(1,MAX(0,($A6-resp_start)/(resp_full-resp_start))),0)</f>
        <v/>
      </c>
      <c r="T6" s="67">
        <f>0</f>
        <v/>
      </c>
      <c r="U6" s="67">
        <f>MAX(0,T6-gap_base)</f>
        <v/>
      </c>
      <c r="V6" s="68" t="n">
        <v>15</v>
      </c>
      <c r="W6" s="47">
        <f>V6*1000000*lf_rate*union_skill_share</f>
        <v/>
      </c>
      <c r="X6" s="45" t="n">
        <v>0</v>
      </c>
      <c r="Y6" s="47">
        <f>IF(AND(mig_endo=1,$A6&gt;=talent_start),talent_rate_u*W6*U6*(1-(1-bd_keep)*S6),0)</f>
        <v/>
      </c>
      <c r="Z6" s="47">
        <f>IF(AND(mig_endo=1,$A6&gt;=talent_start),X6*MIN(0.5,talent_share_o*U6)*(1-eu_comp*S6),0)</f>
        <v/>
      </c>
      <c r="AA6" s="45" t="n">
        <v>0</v>
      </c>
      <c r="AB6" s="47">
        <f>IF(AND(mig_endo=1,$A6&gt;=talent_start),AA6*MIN(0.5,talent_share_a*U6),0)</f>
        <v/>
      </c>
      <c r="AC6" s="47">
        <f>entry_cap*People!B6</f>
        <v/>
      </c>
      <c r="AD6" s="47">
        <f>MIN(AC6,Y6+Z6+AB6)</f>
        <v/>
      </c>
      <c r="AE6" s="47">
        <f>IF(Y6+Z6+AB6&gt;0,AD6*Y6/(Y6+Z6+AB6),0)</f>
        <v/>
      </c>
      <c r="AF6" s="47">
        <f>IF(Y6+Z6+AB6&gt;0,AD6*AB6/(Y6+Z6+AB6),0)</f>
        <v/>
      </c>
      <c r="AG6" s="47">
        <f>AD6*family_mult</f>
        <v/>
      </c>
      <c r="AH6" s="47">
        <f>0</f>
        <v/>
      </c>
      <c r="AI6" s="47">
        <f>0</f>
        <v/>
      </c>
      <c r="AJ6" s="47">
        <f>0</f>
        <v/>
      </c>
      <c r="AK6" s="47">
        <f>K6*gw_conv_family</f>
        <v/>
      </c>
      <c r="AL6" s="47">
        <f>AG6+AI6+AJ6+AK6+AR6</f>
        <v/>
      </c>
      <c r="AM6" s="47">
        <f>0</f>
        <v/>
      </c>
      <c r="AN6" s="64">
        <f>AM6/B6</f>
        <v/>
      </c>
      <c r="AO6" s="64">
        <f>0</f>
        <v/>
      </c>
      <c r="AP6" s="64">
        <f>0</f>
        <v/>
      </c>
      <c r="AQ6" s="45" t="n">
        <v>150000</v>
      </c>
      <c r="AR6" s="47">
        <f>IF(AND(div_on=1,$A6&gt;=div_start),AQ6*MIN(div_max,div_rate*U6)*(1-div_comp*S6),0)</f>
        <v/>
      </c>
      <c r="AS6" s="47">
        <f>0</f>
        <v/>
      </c>
      <c r="AT6" s="64">
        <f>0</f>
        <v/>
      </c>
      <c r="AU6" s="47">
        <f>0</f>
        <v/>
      </c>
      <c r="AV6" s="47">
        <f>0</f>
        <v/>
      </c>
      <c r="AW6" s="47">
        <f>0</f>
        <v/>
      </c>
      <c r="AX6" s="67">
        <f>V6-(AV6+AW6)/1000000</f>
        <v/>
      </c>
      <c r="AY6" s="47">
        <f>L6*gw_union</f>
        <v/>
      </c>
      <c r="AZ6" s="46" t="n">
        <v>1.12</v>
      </c>
      <c r="BA6" s="47">
        <f>Economy!Q6*AZ6/lf_rate</f>
        <v/>
      </c>
      <c r="BB6" s="64">
        <f>0</f>
        <v/>
      </c>
      <c r="BC6" s="64">
        <f>0</f>
        <v/>
      </c>
      <c r="BD6" s="64">
        <f>emu_g*S6</f>
        <v/>
      </c>
      <c r="BE6" s="65">
        <f>1</f>
        <v/>
      </c>
      <c r="BF6" s="46" t="n">
        <v>1</v>
      </c>
      <c r="BG6" s="53">
        <f>AU6*BA6*BE6*(skill_rel-1+skill_spill)/1000000</f>
        <v/>
      </c>
      <c r="BH6" s="53">
        <f>union_disp*(Champions!AP6+Champions!AZ6)*(1-IF(union_resp=2,mkt_cut*S6,0))</f>
        <v/>
      </c>
      <c r="BI6" s="53">
        <f>AY6*BA6*BE6/1000000</f>
        <v/>
      </c>
      <c r="BJ6" s="47">
        <f>V6*Economy!Q6*AZ6</f>
        <v/>
      </c>
      <c r="BK6" s="47">
        <f>BJ6</f>
        <v/>
      </c>
      <c r="BL6" s="63">
        <f>1-BK6/BJ6</f>
        <v/>
      </c>
      <c r="BM6" s="47">
        <f>0</f>
        <v/>
      </c>
      <c r="BN6" s="47">
        <f>0</f>
        <v/>
      </c>
      <c r="BO6" s="59" t="n">
        <v>0.04</v>
      </c>
      <c r="BP6" s="63">
        <f>BO6+BN6/(AX6*1000000*lf_rate)</f>
        <v/>
      </c>
    </row>
    <row r="7">
      <c r="A7" s="58" t="n">
        <v>1847</v>
      </c>
      <c r="B7" s="47">
        <f>Economy!B7*lf_rate</f>
        <v/>
      </c>
      <c r="C7" s="47">
        <f>Economy!O7*1000000/(B7+L7)</f>
        <v/>
      </c>
      <c r="D7" s="47">
        <f>Champions!AP7*1000000/(C7*champ_prem)</f>
        <v/>
      </c>
      <c r="E7" s="47">
        <f>D7*job_mult</f>
        <v/>
      </c>
      <c r="F7" s="47">
        <f>D7+E7</f>
        <v/>
      </c>
      <c r="G7" s="63">
        <f>F7/B7</f>
        <v/>
      </c>
      <c r="H7" s="47">
        <f>F7-F6</f>
        <v/>
      </c>
      <c r="I7" s="63">
        <f>MAX(0.005,pac_u_base*IF(Paths!AC7=1,pac_u_war,1)+(okun*(1-Economy!G7)*(B7+L7)-MAX(0,L6-L7))/B7)</f>
        <v/>
      </c>
      <c r="J7" s="47">
        <f>IF(AND(gw_on=1,$A7&gt;=gw_start),MIN(gw_cap*B6,gw_cover*F6+gw_gen*B6),0)</f>
        <v/>
      </c>
      <c r="K7" s="47">
        <f>L6*gw_conv</f>
        <v/>
      </c>
      <c r="L7" s="47">
        <f>MAX(0,L6-K7+gw_adj*(J7-L6))*MAX(0,1-gw_slump*(1-Economy!G7))</f>
        <v/>
      </c>
      <c r="M7" s="47">
        <f>MAX(0,L7-L6+L6/gw_term)</f>
        <v/>
      </c>
      <c r="N7" s="63">
        <f>L7/B7</f>
        <v/>
      </c>
      <c r="O7" s="53">
        <f>Economy!L7</f>
        <v/>
      </c>
      <c r="P7" s="53">
        <f>O7*gw_wage_share</f>
        <v/>
      </c>
      <c r="Q7" s="53">
        <f>P7*gw_levy</f>
        <v/>
      </c>
      <c r="R7" s="53">
        <f>P7*gw_remit</f>
        <v/>
      </c>
      <c r="S7" s="63">
        <f>IF(union_resp&gt;=1,MIN(1,MAX(0,($A7-resp_start)/(resp_full-resp_start))),0)</f>
        <v/>
      </c>
      <c r="T7" s="67">
        <f>Economy!R6</f>
        <v/>
      </c>
      <c r="U7" s="67">
        <f>MAX(0,T7-gap_base)</f>
        <v/>
      </c>
      <c r="V7" s="68" t="n">
        <v>15.47</v>
      </c>
      <c r="W7" s="47">
        <f>V7*1000000*lf_rate*union_skill_share</f>
        <v/>
      </c>
      <c r="X7" s="45" t="n">
        <v>0</v>
      </c>
      <c r="Y7" s="47">
        <f>IF(AND(mig_endo=1,$A7&gt;=talent_start),talent_rate_u*W7*U7*(1-(1-bd_keep)*S7),0)</f>
        <v/>
      </c>
      <c r="Z7" s="47">
        <f>IF(AND(mig_endo=1,$A7&gt;=talent_start),X7*MIN(0.5,talent_share_o*U7)*(1-eu_comp*S7),0)</f>
        <v/>
      </c>
      <c r="AA7" s="45" t="n">
        <v>0</v>
      </c>
      <c r="AB7" s="47">
        <f>IF(AND(mig_endo=1,$A7&gt;=talent_start),AA7*MIN(0.5,talent_share_a*U7),0)</f>
        <v/>
      </c>
      <c r="AC7" s="47">
        <f>entry_cap*People!B7</f>
        <v/>
      </c>
      <c r="AD7" s="47">
        <f>MIN(AC7,Y7+Z7+AB7)</f>
        <v/>
      </c>
      <c r="AE7" s="47">
        <f>IF(Y7+Z7+AB7&gt;0,AD7*Y7/(Y7+Z7+AB7),0)</f>
        <v/>
      </c>
      <c r="AF7" s="47">
        <f>IF(Y7+Z7+AB7&gt;0,AD7*AB7/(Y7+Z7+AB7),0)</f>
        <v/>
      </c>
      <c r="AG7" s="47">
        <f>AD7*family_mult</f>
        <v/>
      </c>
      <c r="AH7" s="47">
        <f>AH6*(1+Paths!C7)+AG7</f>
        <v/>
      </c>
      <c r="AI7" s="47">
        <f>IF(AND(mig_endo=1,$A7&gt;=talent_start),chain_rate*AH6,0)</f>
        <v/>
      </c>
      <c r="AJ7" s="47">
        <f>IF(AND(mig_endo=1,$A7&gt;=talent_start),IF(H6&gt;0,H6*job_fill,H6*job_return)*job_family,0)</f>
        <v/>
      </c>
      <c r="AK7" s="47">
        <f>K7*gw_conv_family</f>
        <v/>
      </c>
      <c r="AL7" s="47">
        <f>AG7+AI7+AJ7+AK7+AR7</f>
        <v/>
      </c>
      <c r="AM7" s="47">
        <f>AM6*(1-skill_ret)+AD7</f>
        <v/>
      </c>
      <c r="AN7" s="64">
        <f>AM7/B7</f>
        <v/>
      </c>
      <c r="AO7" s="64">
        <f>(skill_rel-1+skill_spill)*AM6/B6-AT7</f>
        <v/>
      </c>
      <c r="AP7" s="64">
        <f>talent_champ*AM6/(skill_base_share*B6)</f>
        <v/>
      </c>
      <c r="AQ7" s="45" t="n">
        <v>205000</v>
      </c>
      <c r="AR7" s="47">
        <f>IF(AND(div_on=1,$A7&gt;=div_start),AQ7*MIN(div_max,div_rate*U7)*(1-div_comp*S7),0)</f>
        <v/>
      </c>
      <c r="AS7" s="47">
        <f>AS6*(1-div_assim)+AR7</f>
        <v/>
      </c>
      <c r="AT7" s="64">
        <f>(1-div_rel)*AS6/Economy!B6</f>
        <v/>
      </c>
      <c r="AU7" s="47">
        <f>AU6*(1-skill_ret)+AE7</f>
        <v/>
      </c>
      <c r="AV7" s="47">
        <f>AV6*(1+union_nat)+AR7</f>
        <v/>
      </c>
      <c r="AW7" s="47">
        <f>AW6*(1+union_nat)+AE7*family_mult</f>
        <v/>
      </c>
      <c r="AX7" s="67">
        <f>V7-(AV7+AW7)/1000000</f>
        <v/>
      </c>
      <c r="AY7" s="47">
        <f>L7*gw_union</f>
        <v/>
      </c>
      <c r="AZ7" s="46" t="n">
        <v>1.12</v>
      </c>
      <c r="BA7" s="47">
        <f>Economy!Q7*AZ7/lf_rate</f>
        <v/>
      </c>
      <c r="BB7" s="64">
        <f>bd_growth*AU6/W6</f>
        <v/>
      </c>
      <c r="BC7" s="64">
        <f>tg_k*MIN(1,Economy!O6/BK6)</f>
        <v/>
      </c>
      <c r="BD7" s="64">
        <f>emu_g*S7</f>
        <v/>
      </c>
      <c r="BE7" s="65">
        <f>BE6*(1-BB7-BC7+BD7)</f>
        <v/>
      </c>
      <c r="BF7" s="46" t="n">
        <v>1</v>
      </c>
      <c r="BG7" s="53">
        <f>AU7*BA7*BE7*(skill_rel-1+skill_spill)/1000000</f>
        <v/>
      </c>
      <c r="BH7" s="53">
        <f>union_disp*(Champions!AP7+Champions!AZ7)*(1-IF(union_resp=2,mkt_cut*S7,0))</f>
        <v/>
      </c>
      <c r="BI7" s="53">
        <f>AY7*BA7*BE7/1000000</f>
        <v/>
      </c>
      <c r="BJ7" s="47">
        <f>V7*Economy!Q7*AZ7</f>
        <v/>
      </c>
      <c r="BK7" s="47">
        <f>MAX(0.3*BJ7,AX7*Economy!Q7*AZ7*BE7*BF7-BG7-BH7-BI7)</f>
        <v/>
      </c>
      <c r="BL7" s="63">
        <f>1-BK7/BJ7</f>
        <v/>
      </c>
      <c r="BM7" s="47">
        <f>MAX(0,BH7-BH6)*1000000/BA7</f>
        <v/>
      </c>
      <c r="BN7" s="47">
        <f>BN6*(1-IF(AND($A7&gt;=1930,$A7&lt;=1932),0,union_reabsorb))+BM7</f>
        <v/>
      </c>
      <c r="BO7" s="59" t="n">
        <v>0.04</v>
      </c>
      <c r="BP7" s="63">
        <f>BO7+BN7/(AX7*1000000*lf_rate)</f>
        <v/>
      </c>
    </row>
    <row r="8">
      <c r="A8" s="58" t="n">
        <v>1848</v>
      </c>
      <c r="B8" s="47">
        <f>Economy!B8*lf_rate</f>
        <v/>
      </c>
      <c r="C8" s="47">
        <f>Economy!O8*1000000/(B8+L8)</f>
        <v/>
      </c>
      <c r="D8" s="47">
        <f>Champions!AP8*1000000/(C8*champ_prem)</f>
        <v/>
      </c>
      <c r="E8" s="47">
        <f>D8*job_mult</f>
        <v/>
      </c>
      <c r="F8" s="47">
        <f>D8+E8</f>
        <v/>
      </c>
      <c r="G8" s="63">
        <f>F8/B8</f>
        <v/>
      </c>
      <c r="H8" s="47">
        <f>F8-F7</f>
        <v/>
      </c>
      <c r="I8" s="63">
        <f>MAX(0.005,pac_u_base*IF(Paths!AC8=1,pac_u_war,1)+(okun*(1-Economy!G8)*(B8+L8)-MAX(0,L7-L8))/B8)</f>
        <v/>
      </c>
      <c r="J8" s="47">
        <f>IF(AND(gw_on=1,$A8&gt;=gw_start),MIN(gw_cap*B7,gw_cover*F7+gw_gen*B7),0)</f>
        <v/>
      </c>
      <c r="K8" s="47">
        <f>L7*gw_conv</f>
        <v/>
      </c>
      <c r="L8" s="47">
        <f>MAX(0,L7-K8+gw_adj*(J8-L7))*MAX(0,1-gw_slump*(1-Economy!G8))</f>
        <v/>
      </c>
      <c r="M8" s="47">
        <f>MAX(0,L8-L7+L7/gw_term)</f>
        <v/>
      </c>
      <c r="N8" s="63">
        <f>L8/B8</f>
        <v/>
      </c>
      <c r="O8" s="53">
        <f>Economy!L8</f>
        <v/>
      </c>
      <c r="P8" s="53">
        <f>O8*gw_wage_share</f>
        <v/>
      </c>
      <c r="Q8" s="53">
        <f>P8*gw_levy</f>
        <v/>
      </c>
      <c r="R8" s="53">
        <f>P8*gw_remit</f>
        <v/>
      </c>
      <c r="S8" s="63">
        <f>IF(union_resp&gt;=1,MIN(1,MAX(0,($A8-resp_start)/(resp_full-resp_start))),0)</f>
        <v/>
      </c>
      <c r="T8" s="67">
        <f>Economy!R7</f>
        <v/>
      </c>
      <c r="U8" s="67">
        <f>MAX(0,T8-gap_base)</f>
        <v/>
      </c>
      <c r="V8" s="68" t="n">
        <v>15.93</v>
      </c>
      <c r="W8" s="47">
        <f>V8*1000000*lf_rate*union_skill_share</f>
        <v/>
      </c>
      <c r="X8" s="45" t="n">
        <v>0</v>
      </c>
      <c r="Y8" s="47">
        <f>IF(AND(mig_endo=1,$A8&gt;=talent_start),talent_rate_u*W8*U8*(1-(1-bd_keep)*S8),0)</f>
        <v/>
      </c>
      <c r="Z8" s="47">
        <f>IF(AND(mig_endo=1,$A8&gt;=talent_start),X8*MIN(0.5,talent_share_o*U8)*(1-eu_comp*S8),0)</f>
        <v/>
      </c>
      <c r="AA8" s="45" t="n">
        <v>0</v>
      </c>
      <c r="AB8" s="47">
        <f>IF(AND(mig_endo=1,$A8&gt;=talent_start),AA8*MIN(0.5,talent_share_a*U8),0)</f>
        <v/>
      </c>
      <c r="AC8" s="47">
        <f>entry_cap*People!B8</f>
        <v/>
      </c>
      <c r="AD8" s="47">
        <f>MIN(AC8,Y8+Z8+AB8)</f>
        <v/>
      </c>
      <c r="AE8" s="47">
        <f>IF(Y8+Z8+AB8&gt;0,AD8*Y8/(Y8+Z8+AB8),0)</f>
        <v/>
      </c>
      <c r="AF8" s="47">
        <f>IF(Y8+Z8+AB8&gt;0,AD8*AB8/(Y8+Z8+AB8),0)</f>
        <v/>
      </c>
      <c r="AG8" s="47">
        <f>AD8*family_mult</f>
        <v/>
      </c>
      <c r="AH8" s="47">
        <f>AH7*(1+Paths!C8)+AG8</f>
        <v/>
      </c>
      <c r="AI8" s="47">
        <f>IF(AND(mig_endo=1,$A8&gt;=talent_start),chain_rate*AH7,0)</f>
        <v/>
      </c>
      <c r="AJ8" s="47">
        <f>IF(AND(mig_endo=1,$A8&gt;=talent_start),IF(H7&gt;0,H7*job_fill,H7*job_return)*job_family,0)</f>
        <v/>
      </c>
      <c r="AK8" s="47">
        <f>K8*gw_conv_family</f>
        <v/>
      </c>
      <c r="AL8" s="47">
        <f>AG8+AI8+AJ8+AK8+AR8</f>
        <v/>
      </c>
      <c r="AM8" s="47">
        <f>AM7*(1-skill_ret)+AD8</f>
        <v/>
      </c>
      <c r="AN8" s="64">
        <f>AM8/B8</f>
        <v/>
      </c>
      <c r="AO8" s="64">
        <f>(skill_rel-1+skill_spill)*AM7/B7-AT8</f>
        <v/>
      </c>
      <c r="AP8" s="64">
        <f>talent_champ*AM7/(skill_base_share*B7)</f>
        <v/>
      </c>
      <c r="AQ8" s="45" t="n">
        <v>260000</v>
      </c>
      <c r="AR8" s="47">
        <f>IF(AND(div_on=1,$A8&gt;=div_start),AQ8*MIN(div_max,div_rate*U8)*(1-div_comp*S8),0)</f>
        <v/>
      </c>
      <c r="AS8" s="47">
        <f>AS7*(1-div_assim)+AR8</f>
        <v/>
      </c>
      <c r="AT8" s="64">
        <f>(1-div_rel)*AS7/Economy!B7</f>
        <v/>
      </c>
      <c r="AU8" s="47">
        <f>AU7*(1-skill_ret)+AE8</f>
        <v/>
      </c>
      <c r="AV8" s="47">
        <f>AV7*(1+union_nat)+AR8</f>
        <v/>
      </c>
      <c r="AW8" s="47">
        <f>AW7*(1+union_nat)+AE8*family_mult</f>
        <v/>
      </c>
      <c r="AX8" s="67">
        <f>V8-(AV8+AW8)/1000000</f>
        <v/>
      </c>
      <c r="AY8" s="47">
        <f>L8*gw_union</f>
        <v/>
      </c>
      <c r="AZ8" s="46" t="n">
        <v>1.12</v>
      </c>
      <c r="BA8" s="47">
        <f>Economy!Q8*AZ8/lf_rate</f>
        <v/>
      </c>
      <c r="BB8" s="64">
        <f>bd_growth*AU7/W7</f>
        <v/>
      </c>
      <c r="BC8" s="64">
        <f>tg_k*MIN(1,Economy!O7/BK7)</f>
        <v/>
      </c>
      <c r="BD8" s="64">
        <f>emu_g*S8</f>
        <v/>
      </c>
      <c r="BE8" s="65">
        <f>BE7*(1-BB8-BC8+BD8)</f>
        <v/>
      </c>
      <c r="BF8" s="46" t="n">
        <v>1</v>
      </c>
      <c r="BG8" s="53">
        <f>AU8*BA8*BE8*(skill_rel-1+skill_spill)/1000000</f>
        <v/>
      </c>
      <c r="BH8" s="53">
        <f>union_disp*(Champions!AP8+Champions!AZ8)*(1-IF(union_resp=2,mkt_cut*S8,0))</f>
        <v/>
      </c>
      <c r="BI8" s="53">
        <f>AY8*BA8*BE8/1000000</f>
        <v/>
      </c>
      <c r="BJ8" s="47">
        <f>V8*Economy!Q8*AZ8</f>
        <v/>
      </c>
      <c r="BK8" s="47">
        <f>MAX(0.3*BJ8,AX8*Economy!Q8*AZ8*BE8*BF8-BG8-BH8-BI8)</f>
        <v/>
      </c>
      <c r="BL8" s="63">
        <f>1-BK8/BJ8</f>
        <v/>
      </c>
      <c r="BM8" s="47">
        <f>MAX(0,BH8-BH7)*1000000/BA8</f>
        <v/>
      </c>
      <c r="BN8" s="47">
        <f>BN7*(1-IF(AND($A8&gt;=1930,$A8&lt;=1932),0,union_reabsorb))+BM8</f>
        <v/>
      </c>
      <c r="BO8" s="59" t="n">
        <v>0.04</v>
      </c>
      <c r="BP8" s="63">
        <f>BO8+BN8/(AX8*1000000*lf_rate)</f>
        <v/>
      </c>
    </row>
    <row r="9">
      <c r="A9" s="58" t="n">
        <v>1849</v>
      </c>
      <c r="B9" s="47">
        <f>Economy!B9*lf_rate</f>
        <v/>
      </c>
      <c r="C9" s="47">
        <f>Economy!O9*1000000/(B9+L9)</f>
        <v/>
      </c>
      <c r="D9" s="47">
        <f>Champions!AP9*1000000/(C9*champ_prem)</f>
        <v/>
      </c>
      <c r="E9" s="47">
        <f>D9*job_mult</f>
        <v/>
      </c>
      <c r="F9" s="47">
        <f>D9+E9</f>
        <v/>
      </c>
      <c r="G9" s="63">
        <f>F9/B9</f>
        <v/>
      </c>
      <c r="H9" s="47">
        <f>F9-F8</f>
        <v/>
      </c>
      <c r="I9" s="63">
        <f>MAX(0.005,pac_u_base*IF(Paths!AC9=1,pac_u_war,1)+(okun*(1-Economy!G9)*(B9+L9)-MAX(0,L8-L9))/B9)</f>
        <v/>
      </c>
      <c r="J9" s="47">
        <f>IF(AND(gw_on=1,$A9&gt;=gw_start),MIN(gw_cap*B8,gw_cover*F8+gw_gen*B8),0)</f>
        <v/>
      </c>
      <c r="K9" s="47">
        <f>L8*gw_conv</f>
        <v/>
      </c>
      <c r="L9" s="47">
        <f>MAX(0,L8-K9+gw_adj*(J9-L8))*MAX(0,1-gw_slump*(1-Economy!G9))</f>
        <v/>
      </c>
      <c r="M9" s="47">
        <f>MAX(0,L9-L8+L8/gw_term)</f>
        <v/>
      </c>
      <c r="N9" s="63">
        <f>L9/B9</f>
        <v/>
      </c>
      <c r="O9" s="53">
        <f>Economy!L9</f>
        <v/>
      </c>
      <c r="P9" s="53">
        <f>O9*gw_wage_share</f>
        <v/>
      </c>
      <c r="Q9" s="53">
        <f>P9*gw_levy</f>
        <v/>
      </c>
      <c r="R9" s="53">
        <f>P9*gw_remit</f>
        <v/>
      </c>
      <c r="S9" s="63">
        <f>IF(union_resp&gt;=1,MIN(1,MAX(0,($A9-resp_start)/(resp_full-resp_start))),0)</f>
        <v/>
      </c>
      <c r="T9" s="67">
        <f>Economy!R8</f>
        <v/>
      </c>
      <c r="U9" s="67">
        <f>MAX(0,T9-gap_base)</f>
        <v/>
      </c>
      <c r="V9" s="68" t="n">
        <v>16.4</v>
      </c>
      <c r="W9" s="47">
        <f>V9*1000000*lf_rate*union_skill_share</f>
        <v/>
      </c>
      <c r="X9" s="45" t="n">
        <v>0</v>
      </c>
      <c r="Y9" s="47">
        <f>IF(AND(mig_endo=1,$A9&gt;=talent_start),talent_rate_u*W9*U9*(1-(1-bd_keep)*S9),0)</f>
        <v/>
      </c>
      <c r="Z9" s="47">
        <f>IF(AND(mig_endo=1,$A9&gt;=talent_start),X9*MIN(0.5,talent_share_o*U9)*(1-eu_comp*S9),0)</f>
        <v/>
      </c>
      <c r="AA9" s="45" t="n">
        <v>0</v>
      </c>
      <c r="AB9" s="47">
        <f>IF(AND(mig_endo=1,$A9&gt;=talent_start),AA9*MIN(0.5,talent_share_a*U9),0)</f>
        <v/>
      </c>
      <c r="AC9" s="47">
        <f>entry_cap*People!B9</f>
        <v/>
      </c>
      <c r="AD9" s="47">
        <f>MIN(AC9,Y9+Z9+AB9)</f>
        <v/>
      </c>
      <c r="AE9" s="47">
        <f>IF(Y9+Z9+AB9&gt;0,AD9*Y9/(Y9+Z9+AB9),0)</f>
        <v/>
      </c>
      <c r="AF9" s="47">
        <f>IF(Y9+Z9+AB9&gt;0,AD9*AB9/(Y9+Z9+AB9),0)</f>
        <v/>
      </c>
      <c r="AG9" s="47">
        <f>AD9*family_mult</f>
        <v/>
      </c>
      <c r="AH9" s="47">
        <f>AH8*(1+Paths!C9)+AG9</f>
        <v/>
      </c>
      <c r="AI9" s="47">
        <f>IF(AND(mig_endo=1,$A9&gt;=talent_start),chain_rate*AH8,0)</f>
        <v/>
      </c>
      <c r="AJ9" s="47">
        <f>IF(AND(mig_endo=1,$A9&gt;=talent_start),IF(H8&gt;0,H8*job_fill,H8*job_return)*job_family,0)</f>
        <v/>
      </c>
      <c r="AK9" s="47">
        <f>K9*gw_conv_family</f>
        <v/>
      </c>
      <c r="AL9" s="47">
        <f>AG9+AI9+AJ9+AK9+AR9</f>
        <v/>
      </c>
      <c r="AM9" s="47">
        <f>AM8*(1-skill_ret)+AD9</f>
        <v/>
      </c>
      <c r="AN9" s="64">
        <f>AM9/B9</f>
        <v/>
      </c>
      <c r="AO9" s="64">
        <f>(skill_rel-1+skill_spill)*AM8/B8-AT9</f>
        <v/>
      </c>
      <c r="AP9" s="64">
        <f>talent_champ*AM8/(skill_base_share*B8)</f>
        <v/>
      </c>
      <c r="AQ9" s="45" t="n">
        <v>315000</v>
      </c>
      <c r="AR9" s="47">
        <f>IF(AND(div_on=1,$A9&gt;=div_start),AQ9*MIN(div_max,div_rate*U9)*(1-div_comp*S9),0)</f>
        <v/>
      </c>
      <c r="AS9" s="47">
        <f>AS8*(1-div_assim)+AR9</f>
        <v/>
      </c>
      <c r="AT9" s="64">
        <f>(1-div_rel)*AS8/Economy!B8</f>
        <v/>
      </c>
      <c r="AU9" s="47">
        <f>AU8*(1-skill_ret)+AE9</f>
        <v/>
      </c>
      <c r="AV9" s="47">
        <f>AV8*(1+union_nat)+AR9</f>
        <v/>
      </c>
      <c r="AW9" s="47">
        <f>AW8*(1+union_nat)+AE9*family_mult</f>
        <v/>
      </c>
      <c r="AX9" s="67">
        <f>V9-(AV9+AW9)/1000000</f>
        <v/>
      </c>
      <c r="AY9" s="47">
        <f>L9*gw_union</f>
        <v/>
      </c>
      <c r="AZ9" s="46" t="n">
        <v>1.119</v>
      </c>
      <c r="BA9" s="47">
        <f>Economy!Q9*AZ9/lf_rate</f>
        <v/>
      </c>
      <c r="BB9" s="64">
        <f>bd_growth*AU8/W8</f>
        <v/>
      </c>
      <c r="BC9" s="64">
        <f>tg_k*MIN(1,Economy!O8/BK8)</f>
        <v/>
      </c>
      <c r="BD9" s="64">
        <f>emu_g*S9</f>
        <v/>
      </c>
      <c r="BE9" s="65">
        <f>BE8*(1-BB9-BC9+BD9)</f>
        <v/>
      </c>
      <c r="BF9" s="46" t="n">
        <v>1</v>
      </c>
      <c r="BG9" s="53">
        <f>AU9*BA9*BE9*(skill_rel-1+skill_spill)/1000000</f>
        <v/>
      </c>
      <c r="BH9" s="53">
        <f>union_disp*(Champions!AP9+Champions!AZ9)*(1-IF(union_resp=2,mkt_cut*S9,0))</f>
        <v/>
      </c>
      <c r="BI9" s="53">
        <f>AY9*BA9*BE9/1000000</f>
        <v/>
      </c>
      <c r="BJ9" s="47">
        <f>V9*Economy!Q9*AZ9</f>
        <v/>
      </c>
      <c r="BK9" s="47">
        <f>MAX(0.3*BJ9,AX9*Economy!Q9*AZ9*BE9*BF9-BG9-BH9-BI9)</f>
        <v/>
      </c>
      <c r="BL9" s="63">
        <f>1-BK9/BJ9</f>
        <v/>
      </c>
      <c r="BM9" s="47">
        <f>MAX(0,BH9-BH8)*1000000/BA9</f>
        <v/>
      </c>
      <c r="BN9" s="47">
        <f>BN8*(1-IF(AND($A9&gt;=1930,$A9&lt;=1932),0,union_reabsorb))+BM9</f>
        <v/>
      </c>
      <c r="BO9" s="59" t="n">
        <v>0.04</v>
      </c>
      <c r="BP9" s="63">
        <f>BO9+BN9/(AX9*1000000*lf_rate)</f>
        <v/>
      </c>
    </row>
    <row r="10">
      <c r="A10" s="58" t="n">
        <v>1850</v>
      </c>
      <c r="B10" s="47">
        <f>Economy!B10*lf_rate</f>
        <v/>
      </c>
      <c r="C10" s="47">
        <f>Economy!O10*1000000/(B10+L10)</f>
        <v/>
      </c>
      <c r="D10" s="47">
        <f>Champions!AP10*1000000/(C10*champ_prem)</f>
        <v/>
      </c>
      <c r="E10" s="47">
        <f>D10*job_mult</f>
        <v/>
      </c>
      <c r="F10" s="47">
        <f>D10+E10</f>
        <v/>
      </c>
      <c r="G10" s="63">
        <f>F10/B10</f>
        <v/>
      </c>
      <c r="H10" s="47">
        <f>F10-F9</f>
        <v/>
      </c>
      <c r="I10" s="63">
        <f>MAX(0.005,pac_u_base*IF(Paths!AC10=1,pac_u_war,1)+(okun*(1-Economy!G10)*(B10+L10)-MAX(0,L9-L10))/B10)</f>
        <v/>
      </c>
      <c r="J10" s="47">
        <f>IF(AND(gw_on=1,$A10&gt;=gw_start),MIN(gw_cap*B9,gw_cover*F9+gw_gen*B9),0)</f>
        <v/>
      </c>
      <c r="K10" s="47">
        <f>L9*gw_conv</f>
        <v/>
      </c>
      <c r="L10" s="47">
        <f>MAX(0,L9-K10+gw_adj*(J10-L9))*MAX(0,1-gw_slump*(1-Economy!G10))</f>
        <v/>
      </c>
      <c r="M10" s="47">
        <f>MAX(0,L10-L9+L9/gw_term)</f>
        <v/>
      </c>
      <c r="N10" s="63">
        <f>L10/B10</f>
        <v/>
      </c>
      <c r="O10" s="53">
        <f>Economy!L10</f>
        <v/>
      </c>
      <c r="P10" s="53">
        <f>O10*gw_wage_share</f>
        <v/>
      </c>
      <c r="Q10" s="53">
        <f>P10*gw_levy</f>
        <v/>
      </c>
      <c r="R10" s="53">
        <f>P10*gw_remit</f>
        <v/>
      </c>
      <c r="S10" s="63">
        <f>IF(union_resp&gt;=1,MIN(1,MAX(0,($A10-resp_start)/(resp_full-resp_start))),0)</f>
        <v/>
      </c>
      <c r="T10" s="67">
        <f>Economy!R9</f>
        <v/>
      </c>
      <c r="U10" s="67">
        <f>MAX(0,T10-gap_base)</f>
        <v/>
      </c>
      <c r="V10" s="68" t="n">
        <v>16.87</v>
      </c>
      <c r="W10" s="47">
        <f>V10*1000000*lf_rate*union_skill_share</f>
        <v/>
      </c>
      <c r="X10" s="45" t="n">
        <v>0</v>
      </c>
      <c r="Y10" s="47">
        <f>IF(AND(mig_endo=1,$A10&gt;=talent_start),talent_rate_u*W10*U10*(1-(1-bd_keep)*S10),0)</f>
        <v/>
      </c>
      <c r="Z10" s="47">
        <f>IF(AND(mig_endo=1,$A10&gt;=talent_start),X10*MIN(0.5,talent_share_o*U10)*(1-eu_comp*S10),0)</f>
        <v/>
      </c>
      <c r="AA10" s="45" t="n">
        <v>0</v>
      </c>
      <c r="AB10" s="47">
        <f>IF(AND(mig_endo=1,$A10&gt;=talent_start),AA10*MIN(0.5,talent_share_a*U10),0)</f>
        <v/>
      </c>
      <c r="AC10" s="47">
        <f>entry_cap*People!B10</f>
        <v/>
      </c>
      <c r="AD10" s="47">
        <f>MIN(AC10,Y10+Z10+AB10)</f>
        <v/>
      </c>
      <c r="AE10" s="47">
        <f>IF(Y10+Z10+AB10&gt;0,AD10*Y10/(Y10+Z10+AB10),0)</f>
        <v/>
      </c>
      <c r="AF10" s="47">
        <f>IF(Y10+Z10+AB10&gt;0,AD10*AB10/(Y10+Z10+AB10),0)</f>
        <v/>
      </c>
      <c r="AG10" s="47">
        <f>AD10*family_mult</f>
        <v/>
      </c>
      <c r="AH10" s="47">
        <f>AH9*(1+Paths!C10)+AG10</f>
        <v/>
      </c>
      <c r="AI10" s="47">
        <f>IF(AND(mig_endo=1,$A10&gt;=talent_start),chain_rate*AH9,0)</f>
        <v/>
      </c>
      <c r="AJ10" s="47">
        <f>IF(AND(mig_endo=1,$A10&gt;=talent_start),IF(H9&gt;0,H9*job_fill,H9*job_return)*job_family,0)</f>
        <v/>
      </c>
      <c r="AK10" s="47">
        <f>K10*gw_conv_family</f>
        <v/>
      </c>
      <c r="AL10" s="47">
        <f>AG10+AI10+AJ10+AK10+AR10</f>
        <v/>
      </c>
      <c r="AM10" s="47">
        <f>AM9*(1-skill_ret)+AD10</f>
        <v/>
      </c>
      <c r="AN10" s="64">
        <f>AM10/B10</f>
        <v/>
      </c>
      <c r="AO10" s="64">
        <f>(skill_rel-1+skill_spill)*AM9/B9-AT10</f>
        <v/>
      </c>
      <c r="AP10" s="64">
        <f>talent_champ*AM9/(skill_base_share*B9)</f>
        <v/>
      </c>
      <c r="AQ10" s="45" t="n">
        <v>370000</v>
      </c>
      <c r="AR10" s="47">
        <f>IF(AND(div_on=1,$A10&gt;=div_start),AQ10*MIN(div_max,div_rate*U10)*(1-div_comp*S10),0)</f>
        <v/>
      </c>
      <c r="AS10" s="47">
        <f>AS9*(1-div_assim)+AR10</f>
        <v/>
      </c>
      <c r="AT10" s="64">
        <f>(1-div_rel)*AS9/Economy!B9</f>
        <v/>
      </c>
      <c r="AU10" s="47">
        <f>AU9*(1-skill_ret)+AE10</f>
        <v/>
      </c>
      <c r="AV10" s="47">
        <f>AV9*(1+union_nat)+AR10</f>
        <v/>
      </c>
      <c r="AW10" s="47">
        <f>AW9*(1+union_nat)+AE10*family_mult</f>
        <v/>
      </c>
      <c r="AX10" s="67">
        <f>V10-(AV10+AW10)/1000000</f>
        <v/>
      </c>
      <c r="AY10" s="47">
        <f>L10*gw_union</f>
        <v/>
      </c>
      <c r="AZ10" s="46" t="n">
        <v>1.119</v>
      </c>
      <c r="BA10" s="47">
        <f>Economy!Q10*AZ10/lf_rate</f>
        <v/>
      </c>
      <c r="BB10" s="64">
        <f>bd_growth*AU9/W9</f>
        <v/>
      </c>
      <c r="BC10" s="64">
        <f>tg_k*MIN(1,Economy!O9/BK9)</f>
        <v/>
      </c>
      <c r="BD10" s="64">
        <f>emu_g*S10</f>
        <v/>
      </c>
      <c r="BE10" s="65">
        <f>BE9*(1-BB10-BC10+BD10)</f>
        <v/>
      </c>
      <c r="BF10" s="46" t="n">
        <v>1</v>
      </c>
      <c r="BG10" s="53">
        <f>AU10*BA10*BE10*(skill_rel-1+skill_spill)/1000000</f>
        <v/>
      </c>
      <c r="BH10" s="53">
        <f>union_disp*(Champions!AP10+Champions!AZ10)*(1-IF(union_resp=2,mkt_cut*S10,0))</f>
        <v/>
      </c>
      <c r="BI10" s="53">
        <f>AY10*BA10*BE10/1000000</f>
        <v/>
      </c>
      <c r="BJ10" s="47">
        <f>V10*Economy!Q10*AZ10</f>
        <v/>
      </c>
      <c r="BK10" s="47">
        <f>MAX(0.3*BJ10,AX10*Economy!Q10*AZ10*BE10*BF10-BG10-BH10-BI10)</f>
        <v/>
      </c>
      <c r="BL10" s="63">
        <f>1-BK10/BJ10</f>
        <v/>
      </c>
      <c r="BM10" s="47">
        <f>MAX(0,BH10-BH9)*1000000/BA10</f>
        <v/>
      </c>
      <c r="BN10" s="47">
        <f>BN9*(1-IF(AND($A10&gt;=1930,$A10&lt;=1932),0,union_reabsorb))+BM10</f>
        <v/>
      </c>
      <c r="BO10" s="59" t="n">
        <v>0.04</v>
      </c>
      <c r="BP10" s="63">
        <f>BO10+BN10/(AX10*1000000*lf_rate)</f>
        <v/>
      </c>
    </row>
    <row r="11">
      <c r="A11" s="58" t="n">
        <v>1851</v>
      </c>
      <c r="B11" s="47">
        <f>Economy!B11*lf_rate</f>
        <v/>
      </c>
      <c r="C11" s="47">
        <f>Economy!O11*1000000/(B11+L11)</f>
        <v/>
      </c>
      <c r="D11" s="47">
        <f>Champions!AP11*1000000/(C11*champ_prem)</f>
        <v/>
      </c>
      <c r="E11" s="47">
        <f>D11*job_mult</f>
        <v/>
      </c>
      <c r="F11" s="47">
        <f>D11+E11</f>
        <v/>
      </c>
      <c r="G11" s="63">
        <f>F11/B11</f>
        <v/>
      </c>
      <c r="H11" s="47">
        <f>F11-F10</f>
        <v/>
      </c>
      <c r="I11" s="63">
        <f>MAX(0.005,pac_u_base*IF(Paths!AC11=1,pac_u_war,1)+(okun*(1-Economy!G11)*(B11+L11)-MAX(0,L10-L11))/B11)</f>
        <v/>
      </c>
      <c r="J11" s="47">
        <f>IF(AND(gw_on=1,$A11&gt;=gw_start),MIN(gw_cap*B10,gw_cover*F10+gw_gen*B10),0)</f>
        <v/>
      </c>
      <c r="K11" s="47">
        <f>L10*gw_conv</f>
        <v/>
      </c>
      <c r="L11" s="47">
        <f>MAX(0,L10-K11+gw_adj*(J11-L10))*MAX(0,1-gw_slump*(1-Economy!G11))</f>
        <v/>
      </c>
      <c r="M11" s="47">
        <f>MAX(0,L11-L10+L10/gw_term)</f>
        <v/>
      </c>
      <c r="N11" s="63">
        <f>L11/B11</f>
        <v/>
      </c>
      <c r="O11" s="53">
        <f>Economy!L11</f>
        <v/>
      </c>
      <c r="P11" s="53">
        <f>O11*gw_wage_share</f>
        <v/>
      </c>
      <c r="Q11" s="53">
        <f>P11*gw_levy</f>
        <v/>
      </c>
      <c r="R11" s="53">
        <f>P11*gw_remit</f>
        <v/>
      </c>
      <c r="S11" s="63">
        <f>IF(union_resp&gt;=1,MIN(1,MAX(0,($A11-resp_start)/(resp_full-resp_start))),0)</f>
        <v/>
      </c>
      <c r="T11" s="67">
        <f>Economy!R10</f>
        <v/>
      </c>
      <c r="U11" s="67">
        <f>MAX(0,T11-gap_base)</f>
        <v/>
      </c>
      <c r="V11" s="68" t="n">
        <v>17.33</v>
      </c>
      <c r="W11" s="47">
        <f>V11*1000000*lf_rate*union_skill_share</f>
        <v/>
      </c>
      <c r="X11" s="45" t="n">
        <v>0</v>
      </c>
      <c r="Y11" s="47">
        <f>IF(AND(mig_endo=1,$A11&gt;=talent_start),talent_rate_u*W11*U11*(1-(1-bd_keep)*S11),0)</f>
        <v/>
      </c>
      <c r="Z11" s="47">
        <f>IF(AND(mig_endo=1,$A11&gt;=talent_start),X11*MIN(0.5,talent_share_o*U11)*(1-eu_comp*S11),0)</f>
        <v/>
      </c>
      <c r="AA11" s="45" t="n">
        <v>0</v>
      </c>
      <c r="AB11" s="47">
        <f>IF(AND(mig_endo=1,$A11&gt;=talent_start),AA11*MIN(0.5,talent_share_a*U11),0)</f>
        <v/>
      </c>
      <c r="AC11" s="47">
        <f>entry_cap*People!B11</f>
        <v/>
      </c>
      <c r="AD11" s="47">
        <f>MIN(AC11,Y11+Z11+AB11)</f>
        <v/>
      </c>
      <c r="AE11" s="47">
        <f>IF(Y11+Z11+AB11&gt;0,AD11*Y11/(Y11+Z11+AB11),0)</f>
        <v/>
      </c>
      <c r="AF11" s="47">
        <f>IF(Y11+Z11+AB11&gt;0,AD11*AB11/(Y11+Z11+AB11),0)</f>
        <v/>
      </c>
      <c r="AG11" s="47">
        <f>AD11*family_mult</f>
        <v/>
      </c>
      <c r="AH11" s="47">
        <f>AH10*(1+Paths!C11)+AG11</f>
        <v/>
      </c>
      <c r="AI11" s="47">
        <f>IF(AND(mig_endo=1,$A11&gt;=talent_start),chain_rate*AH10,0)</f>
        <v/>
      </c>
      <c r="AJ11" s="47">
        <f>IF(AND(mig_endo=1,$A11&gt;=talent_start),IF(H10&gt;0,H10*job_fill,H10*job_return)*job_family,0)</f>
        <v/>
      </c>
      <c r="AK11" s="47">
        <f>K11*gw_conv_family</f>
        <v/>
      </c>
      <c r="AL11" s="47">
        <f>AG11+AI11+AJ11+AK11+AR11</f>
        <v/>
      </c>
      <c r="AM11" s="47">
        <f>AM10*(1-skill_ret)+AD11</f>
        <v/>
      </c>
      <c r="AN11" s="64">
        <f>AM11/B11</f>
        <v/>
      </c>
      <c r="AO11" s="64">
        <f>(skill_rel-1+skill_spill)*AM10/B10-AT11</f>
        <v/>
      </c>
      <c r="AP11" s="64">
        <f>talent_champ*AM10/(skill_base_share*B10)</f>
        <v/>
      </c>
      <c r="AQ11" s="45" t="n">
        <v>385000</v>
      </c>
      <c r="AR11" s="47">
        <f>IF(AND(div_on=1,$A11&gt;=div_start),AQ11*MIN(div_max,div_rate*U11)*(1-div_comp*S11),0)</f>
        <v/>
      </c>
      <c r="AS11" s="47">
        <f>AS10*(1-div_assim)+AR11</f>
        <v/>
      </c>
      <c r="AT11" s="64">
        <f>(1-div_rel)*AS10/Economy!B10</f>
        <v/>
      </c>
      <c r="AU11" s="47">
        <f>AU10*(1-skill_ret)+AE11</f>
        <v/>
      </c>
      <c r="AV11" s="47">
        <f>AV10*(1+union_nat)+AR11</f>
        <v/>
      </c>
      <c r="AW11" s="47">
        <f>AW10*(1+union_nat)+AE11*family_mult</f>
        <v/>
      </c>
      <c r="AX11" s="67">
        <f>V11-(AV11+AW11)/1000000</f>
        <v/>
      </c>
      <c r="AY11" s="47">
        <f>L11*gw_union</f>
        <v/>
      </c>
      <c r="AZ11" s="46" t="n">
        <v>1.119</v>
      </c>
      <c r="BA11" s="47">
        <f>Economy!Q11*AZ11/lf_rate</f>
        <v/>
      </c>
      <c r="BB11" s="64">
        <f>bd_growth*AU10/W10</f>
        <v/>
      </c>
      <c r="BC11" s="64">
        <f>tg_k*MIN(1,Economy!O10/BK10)</f>
        <v/>
      </c>
      <c r="BD11" s="64">
        <f>emu_g*S11</f>
        <v/>
      </c>
      <c r="BE11" s="65">
        <f>BE10*(1-BB11-BC11+BD11)</f>
        <v/>
      </c>
      <c r="BF11" s="46" t="n">
        <v>1</v>
      </c>
      <c r="BG11" s="53">
        <f>AU11*BA11*BE11*(skill_rel-1+skill_spill)/1000000</f>
        <v/>
      </c>
      <c r="BH11" s="53">
        <f>union_disp*(Champions!AP11+Champions!AZ11)*(1-IF(union_resp=2,mkt_cut*S11,0))</f>
        <v/>
      </c>
      <c r="BI11" s="53">
        <f>AY11*BA11*BE11/1000000</f>
        <v/>
      </c>
      <c r="BJ11" s="47">
        <f>V11*Economy!Q11*AZ11</f>
        <v/>
      </c>
      <c r="BK11" s="47">
        <f>MAX(0.3*BJ11,AX11*Economy!Q11*AZ11*BE11*BF11-BG11-BH11-BI11)</f>
        <v/>
      </c>
      <c r="BL11" s="63">
        <f>1-BK11/BJ11</f>
        <v/>
      </c>
      <c r="BM11" s="47">
        <f>MAX(0,BH11-BH10)*1000000/BA11</f>
        <v/>
      </c>
      <c r="BN11" s="47">
        <f>BN10*(1-IF(AND($A11&gt;=1930,$A11&lt;=1932),0,union_reabsorb))+BM11</f>
        <v/>
      </c>
      <c r="BO11" s="59" t="n">
        <v>0.04</v>
      </c>
      <c r="BP11" s="63">
        <f>BO11+BN11/(AX11*1000000*lf_rate)</f>
        <v/>
      </c>
    </row>
    <row r="12">
      <c r="A12" s="58" t="n">
        <v>1852</v>
      </c>
      <c r="B12" s="47">
        <f>Economy!B12*lf_rate</f>
        <v/>
      </c>
      <c r="C12" s="47">
        <f>Economy!O12*1000000/(B12+L12)</f>
        <v/>
      </c>
      <c r="D12" s="47">
        <f>Champions!AP12*1000000/(C12*champ_prem)</f>
        <v/>
      </c>
      <c r="E12" s="47">
        <f>D12*job_mult</f>
        <v/>
      </c>
      <c r="F12" s="47">
        <f>D12+E12</f>
        <v/>
      </c>
      <c r="G12" s="63">
        <f>F12/B12</f>
        <v/>
      </c>
      <c r="H12" s="47">
        <f>F12-F11</f>
        <v/>
      </c>
      <c r="I12" s="63">
        <f>MAX(0.005,pac_u_base*IF(Paths!AC12=1,pac_u_war,1)+(okun*(1-Economy!G12)*(B12+L12)-MAX(0,L11-L12))/B12)</f>
        <v/>
      </c>
      <c r="J12" s="47">
        <f>IF(AND(gw_on=1,$A12&gt;=gw_start),MIN(gw_cap*B11,gw_cover*F11+gw_gen*B11),0)</f>
        <v/>
      </c>
      <c r="K12" s="47">
        <f>L11*gw_conv</f>
        <v/>
      </c>
      <c r="L12" s="47">
        <f>MAX(0,L11-K12+gw_adj*(J12-L11))*MAX(0,1-gw_slump*(1-Economy!G12))</f>
        <v/>
      </c>
      <c r="M12" s="47">
        <f>MAX(0,L12-L11+L11/gw_term)</f>
        <v/>
      </c>
      <c r="N12" s="63">
        <f>L12/B12</f>
        <v/>
      </c>
      <c r="O12" s="53">
        <f>Economy!L12</f>
        <v/>
      </c>
      <c r="P12" s="53">
        <f>O12*gw_wage_share</f>
        <v/>
      </c>
      <c r="Q12" s="53">
        <f>P12*gw_levy</f>
        <v/>
      </c>
      <c r="R12" s="53">
        <f>P12*gw_remit</f>
        <v/>
      </c>
      <c r="S12" s="63">
        <f>IF(union_resp&gt;=1,MIN(1,MAX(0,($A12-resp_start)/(resp_full-resp_start))),0)</f>
        <v/>
      </c>
      <c r="T12" s="67">
        <f>Economy!R11</f>
        <v/>
      </c>
      <c r="U12" s="67">
        <f>MAX(0,T12-gap_base)</f>
        <v/>
      </c>
      <c r="V12" s="68" t="n">
        <v>17.8</v>
      </c>
      <c r="W12" s="47">
        <f>V12*1000000*lf_rate*union_skill_share</f>
        <v/>
      </c>
      <c r="X12" s="45" t="n">
        <v>0</v>
      </c>
      <c r="Y12" s="47">
        <f>IF(AND(mig_endo=1,$A12&gt;=talent_start),talent_rate_u*W12*U12*(1-(1-bd_keep)*S12),0)</f>
        <v/>
      </c>
      <c r="Z12" s="47">
        <f>IF(AND(mig_endo=1,$A12&gt;=talent_start),X12*MIN(0.5,talent_share_o*U12)*(1-eu_comp*S12),0)</f>
        <v/>
      </c>
      <c r="AA12" s="45" t="n">
        <v>0</v>
      </c>
      <c r="AB12" s="47">
        <f>IF(AND(mig_endo=1,$A12&gt;=talent_start),AA12*MIN(0.5,talent_share_a*U12),0)</f>
        <v/>
      </c>
      <c r="AC12" s="47">
        <f>entry_cap*People!B12</f>
        <v/>
      </c>
      <c r="AD12" s="47">
        <f>MIN(AC12,Y12+Z12+AB12)</f>
        <v/>
      </c>
      <c r="AE12" s="47">
        <f>IF(Y12+Z12+AB12&gt;0,AD12*Y12/(Y12+Z12+AB12),0)</f>
        <v/>
      </c>
      <c r="AF12" s="47">
        <f>IF(Y12+Z12+AB12&gt;0,AD12*AB12/(Y12+Z12+AB12),0)</f>
        <v/>
      </c>
      <c r="AG12" s="47">
        <f>AD12*family_mult</f>
        <v/>
      </c>
      <c r="AH12" s="47">
        <f>AH11*(1+Paths!C12)+AG12</f>
        <v/>
      </c>
      <c r="AI12" s="47">
        <f>IF(AND(mig_endo=1,$A12&gt;=talent_start),chain_rate*AH11,0)</f>
        <v/>
      </c>
      <c r="AJ12" s="47">
        <f>IF(AND(mig_endo=1,$A12&gt;=talent_start),IF(H11&gt;0,H11*job_fill,H11*job_return)*job_family,0)</f>
        <v/>
      </c>
      <c r="AK12" s="47">
        <f>K12*gw_conv_family</f>
        <v/>
      </c>
      <c r="AL12" s="47">
        <f>AG12+AI12+AJ12+AK12+AR12</f>
        <v/>
      </c>
      <c r="AM12" s="47">
        <f>AM11*(1-skill_ret)+AD12</f>
        <v/>
      </c>
      <c r="AN12" s="64">
        <f>AM12/B12</f>
        <v/>
      </c>
      <c r="AO12" s="64">
        <f>(skill_rel-1+skill_spill)*AM11/B11-AT12</f>
        <v/>
      </c>
      <c r="AP12" s="64">
        <f>talent_champ*AM11/(skill_base_share*B11)</f>
        <v/>
      </c>
      <c r="AQ12" s="45" t="n">
        <v>400000</v>
      </c>
      <c r="AR12" s="47">
        <f>IF(AND(div_on=1,$A12&gt;=div_start),AQ12*MIN(div_max,div_rate*U12)*(1-div_comp*S12),0)</f>
        <v/>
      </c>
      <c r="AS12" s="47">
        <f>AS11*(1-div_assim)+AR12</f>
        <v/>
      </c>
      <c r="AT12" s="64">
        <f>(1-div_rel)*AS11/Economy!B11</f>
        <v/>
      </c>
      <c r="AU12" s="47">
        <f>AU11*(1-skill_ret)+AE12</f>
        <v/>
      </c>
      <c r="AV12" s="47">
        <f>AV11*(1+union_nat)+AR12</f>
        <v/>
      </c>
      <c r="AW12" s="47">
        <f>AW11*(1+union_nat)+AE12*family_mult</f>
        <v/>
      </c>
      <c r="AX12" s="67">
        <f>V12-(AV12+AW12)/1000000</f>
        <v/>
      </c>
      <c r="AY12" s="47">
        <f>L12*gw_union</f>
        <v/>
      </c>
      <c r="AZ12" s="46" t="n">
        <v>1.119</v>
      </c>
      <c r="BA12" s="47">
        <f>Economy!Q12*AZ12/lf_rate</f>
        <v/>
      </c>
      <c r="BB12" s="64">
        <f>bd_growth*AU11/W11</f>
        <v/>
      </c>
      <c r="BC12" s="64">
        <f>tg_k*MIN(1,Economy!O11/BK11)</f>
        <v/>
      </c>
      <c r="BD12" s="64">
        <f>emu_g*S12</f>
        <v/>
      </c>
      <c r="BE12" s="65">
        <f>BE11*(1-BB12-BC12+BD12)</f>
        <v/>
      </c>
      <c r="BF12" s="46" t="n">
        <v>1</v>
      </c>
      <c r="BG12" s="53">
        <f>AU12*BA12*BE12*(skill_rel-1+skill_spill)/1000000</f>
        <v/>
      </c>
      <c r="BH12" s="53">
        <f>union_disp*(Champions!AP12+Champions!AZ12)*(1-IF(union_resp=2,mkt_cut*S12,0))</f>
        <v/>
      </c>
      <c r="BI12" s="53">
        <f>AY12*BA12*BE12/1000000</f>
        <v/>
      </c>
      <c r="BJ12" s="47">
        <f>V12*Economy!Q12*AZ12</f>
        <v/>
      </c>
      <c r="BK12" s="47">
        <f>MAX(0.3*BJ12,AX12*Economy!Q12*AZ12*BE12*BF12-BG12-BH12-BI12)</f>
        <v/>
      </c>
      <c r="BL12" s="63">
        <f>1-BK12/BJ12</f>
        <v/>
      </c>
      <c r="BM12" s="47">
        <f>MAX(0,BH12-BH11)*1000000/BA12</f>
        <v/>
      </c>
      <c r="BN12" s="47">
        <f>BN11*(1-IF(AND($A12&gt;=1930,$A12&lt;=1932),0,union_reabsorb))+BM12</f>
        <v/>
      </c>
      <c r="BO12" s="59" t="n">
        <v>0.04</v>
      </c>
      <c r="BP12" s="63">
        <f>BO12+BN12/(AX12*1000000*lf_rate)</f>
        <v/>
      </c>
    </row>
    <row r="13">
      <c r="A13" s="58" t="n">
        <v>1853</v>
      </c>
      <c r="B13" s="47">
        <f>Economy!B13*lf_rate</f>
        <v/>
      </c>
      <c r="C13" s="47">
        <f>Economy!O13*1000000/(B13+L13)</f>
        <v/>
      </c>
      <c r="D13" s="47">
        <f>Champions!AP13*1000000/(C13*champ_prem)</f>
        <v/>
      </c>
      <c r="E13" s="47">
        <f>D13*job_mult</f>
        <v/>
      </c>
      <c r="F13" s="47">
        <f>D13+E13</f>
        <v/>
      </c>
      <c r="G13" s="63">
        <f>F13/B13</f>
        <v/>
      </c>
      <c r="H13" s="47">
        <f>F13-F12</f>
        <v/>
      </c>
      <c r="I13" s="63">
        <f>MAX(0.005,pac_u_base*IF(Paths!AC13=1,pac_u_war,1)+(okun*(1-Economy!G13)*(B13+L13)-MAX(0,L12-L13))/B13)</f>
        <v/>
      </c>
      <c r="J13" s="47">
        <f>IF(AND(gw_on=1,$A13&gt;=gw_start),MIN(gw_cap*B12,gw_cover*F12+gw_gen*B12),0)</f>
        <v/>
      </c>
      <c r="K13" s="47">
        <f>L12*gw_conv</f>
        <v/>
      </c>
      <c r="L13" s="47">
        <f>MAX(0,L12-K13+gw_adj*(J13-L12))*MAX(0,1-gw_slump*(1-Economy!G13))</f>
        <v/>
      </c>
      <c r="M13" s="47">
        <f>MAX(0,L13-L12+L12/gw_term)</f>
        <v/>
      </c>
      <c r="N13" s="63">
        <f>L13/B13</f>
        <v/>
      </c>
      <c r="O13" s="53">
        <f>Economy!L13</f>
        <v/>
      </c>
      <c r="P13" s="53">
        <f>O13*gw_wage_share</f>
        <v/>
      </c>
      <c r="Q13" s="53">
        <f>P13*gw_levy</f>
        <v/>
      </c>
      <c r="R13" s="53">
        <f>P13*gw_remit</f>
        <v/>
      </c>
      <c r="S13" s="63">
        <f>IF(union_resp&gt;=1,MIN(1,MAX(0,($A13-resp_start)/(resp_full-resp_start))),0)</f>
        <v/>
      </c>
      <c r="T13" s="67">
        <f>Economy!R12</f>
        <v/>
      </c>
      <c r="U13" s="67">
        <f>MAX(0,T13-gap_base)</f>
        <v/>
      </c>
      <c r="V13" s="68" t="n">
        <v>18.27</v>
      </c>
      <c r="W13" s="47">
        <f>V13*1000000*lf_rate*union_skill_share</f>
        <v/>
      </c>
      <c r="X13" s="45" t="n">
        <v>0</v>
      </c>
      <c r="Y13" s="47">
        <f>IF(AND(mig_endo=1,$A13&gt;=talent_start),talent_rate_u*W13*U13*(1-(1-bd_keep)*S13),0)</f>
        <v/>
      </c>
      <c r="Z13" s="47">
        <f>IF(AND(mig_endo=1,$A13&gt;=talent_start),X13*MIN(0.5,talent_share_o*U13)*(1-eu_comp*S13),0)</f>
        <v/>
      </c>
      <c r="AA13" s="45" t="n">
        <v>0</v>
      </c>
      <c r="AB13" s="47">
        <f>IF(AND(mig_endo=1,$A13&gt;=talent_start),AA13*MIN(0.5,talent_share_a*U13),0)</f>
        <v/>
      </c>
      <c r="AC13" s="47">
        <f>entry_cap*People!B13</f>
        <v/>
      </c>
      <c r="AD13" s="47">
        <f>MIN(AC13,Y13+Z13+AB13)</f>
        <v/>
      </c>
      <c r="AE13" s="47">
        <f>IF(Y13+Z13+AB13&gt;0,AD13*Y13/(Y13+Z13+AB13),0)</f>
        <v/>
      </c>
      <c r="AF13" s="47">
        <f>IF(Y13+Z13+AB13&gt;0,AD13*AB13/(Y13+Z13+AB13),0)</f>
        <v/>
      </c>
      <c r="AG13" s="47">
        <f>AD13*family_mult</f>
        <v/>
      </c>
      <c r="AH13" s="47">
        <f>AH12*(1+Paths!C13)+AG13</f>
        <v/>
      </c>
      <c r="AI13" s="47">
        <f>IF(AND(mig_endo=1,$A13&gt;=talent_start),chain_rate*AH12,0)</f>
        <v/>
      </c>
      <c r="AJ13" s="47">
        <f>IF(AND(mig_endo=1,$A13&gt;=talent_start),IF(H12&gt;0,H12*job_fill,H12*job_return)*job_family,0)</f>
        <v/>
      </c>
      <c r="AK13" s="47">
        <f>K13*gw_conv_family</f>
        <v/>
      </c>
      <c r="AL13" s="47">
        <f>AG13+AI13+AJ13+AK13+AR13</f>
        <v/>
      </c>
      <c r="AM13" s="47">
        <f>AM12*(1-skill_ret)+AD13</f>
        <v/>
      </c>
      <c r="AN13" s="64">
        <f>AM13/B13</f>
        <v/>
      </c>
      <c r="AO13" s="64">
        <f>(skill_rel-1+skill_spill)*AM12/B12-AT13</f>
        <v/>
      </c>
      <c r="AP13" s="64">
        <f>talent_champ*AM12/(skill_base_share*B12)</f>
        <v/>
      </c>
      <c r="AQ13" s="45" t="n">
        <v>415000</v>
      </c>
      <c r="AR13" s="47">
        <f>IF(AND(div_on=1,$A13&gt;=div_start),AQ13*MIN(div_max,div_rate*U13)*(1-div_comp*S13),0)</f>
        <v/>
      </c>
      <c r="AS13" s="47">
        <f>AS12*(1-div_assim)+AR13</f>
        <v/>
      </c>
      <c r="AT13" s="64">
        <f>(1-div_rel)*AS12/Economy!B12</f>
        <v/>
      </c>
      <c r="AU13" s="47">
        <f>AU12*(1-skill_ret)+AE13</f>
        <v/>
      </c>
      <c r="AV13" s="47">
        <f>AV12*(1+union_nat)+AR13</f>
        <v/>
      </c>
      <c r="AW13" s="47">
        <f>AW12*(1+union_nat)+AE13*family_mult</f>
        <v/>
      </c>
      <c r="AX13" s="67">
        <f>V13-(AV13+AW13)/1000000</f>
        <v/>
      </c>
      <c r="AY13" s="47">
        <f>L13*gw_union</f>
        <v/>
      </c>
      <c r="AZ13" s="46" t="n">
        <v>1.119</v>
      </c>
      <c r="BA13" s="47">
        <f>Economy!Q13*AZ13/lf_rate</f>
        <v/>
      </c>
      <c r="BB13" s="64">
        <f>bd_growth*AU12/W12</f>
        <v/>
      </c>
      <c r="BC13" s="64">
        <f>tg_k*MIN(1,Economy!O12/BK12)</f>
        <v/>
      </c>
      <c r="BD13" s="64">
        <f>emu_g*S13</f>
        <v/>
      </c>
      <c r="BE13" s="65">
        <f>BE12*(1-BB13-BC13+BD13)</f>
        <v/>
      </c>
      <c r="BF13" s="46" t="n">
        <v>1</v>
      </c>
      <c r="BG13" s="53">
        <f>AU13*BA13*BE13*(skill_rel-1+skill_spill)/1000000</f>
        <v/>
      </c>
      <c r="BH13" s="53">
        <f>union_disp*(Champions!AP13+Champions!AZ13)*(1-IF(union_resp=2,mkt_cut*S13,0))</f>
        <v/>
      </c>
      <c r="BI13" s="53">
        <f>AY13*BA13*BE13/1000000</f>
        <v/>
      </c>
      <c r="BJ13" s="47">
        <f>V13*Economy!Q13*AZ13</f>
        <v/>
      </c>
      <c r="BK13" s="47">
        <f>MAX(0.3*BJ13,AX13*Economy!Q13*AZ13*BE13*BF13-BG13-BH13-BI13)</f>
        <v/>
      </c>
      <c r="BL13" s="63">
        <f>1-BK13/BJ13</f>
        <v/>
      </c>
      <c r="BM13" s="47">
        <f>MAX(0,BH13-BH12)*1000000/BA13</f>
        <v/>
      </c>
      <c r="BN13" s="47">
        <f>BN12*(1-IF(AND($A13&gt;=1930,$A13&lt;=1932),0,union_reabsorb))+BM13</f>
        <v/>
      </c>
      <c r="BO13" s="59" t="n">
        <v>0.04</v>
      </c>
      <c r="BP13" s="63">
        <f>BO13+BN13/(AX13*1000000*lf_rate)</f>
        <v/>
      </c>
    </row>
    <row r="14">
      <c r="A14" s="58" t="n">
        <v>1854</v>
      </c>
      <c r="B14" s="47">
        <f>Economy!B14*lf_rate</f>
        <v/>
      </c>
      <c r="C14" s="47">
        <f>Economy!O14*1000000/(B14+L14)</f>
        <v/>
      </c>
      <c r="D14" s="47">
        <f>Champions!AP14*1000000/(C14*champ_prem)</f>
        <v/>
      </c>
      <c r="E14" s="47">
        <f>D14*job_mult</f>
        <v/>
      </c>
      <c r="F14" s="47">
        <f>D14+E14</f>
        <v/>
      </c>
      <c r="G14" s="63">
        <f>F14/B14</f>
        <v/>
      </c>
      <c r="H14" s="47">
        <f>F14-F13</f>
        <v/>
      </c>
      <c r="I14" s="63">
        <f>MAX(0.005,pac_u_base*IF(Paths!AC14=1,pac_u_war,1)+(okun*(1-Economy!G14)*(B14+L14)-MAX(0,L13-L14))/B14)</f>
        <v/>
      </c>
      <c r="J14" s="47">
        <f>IF(AND(gw_on=1,$A14&gt;=gw_start),MIN(gw_cap*B13,gw_cover*F13+gw_gen*B13),0)</f>
        <v/>
      </c>
      <c r="K14" s="47">
        <f>L13*gw_conv</f>
        <v/>
      </c>
      <c r="L14" s="47">
        <f>MAX(0,L13-K14+gw_adj*(J14-L13))*MAX(0,1-gw_slump*(1-Economy!G14))</f>
        <v/>
      </c>
      <c r="M14" s="47">
        <f>MAX(0,L14-L13+L13/gw_term)</f>
        <v/>
      </c>
      <c r="N14" s="63">
        <f>L14/B14</f>
        <v/>
      </c>
      <c r="O14" s="53">
        <f>Economy!L14</f>
        <v/>
      </c>
      <c r="P14" s="53">
        <f>O14*gw_wage_share</f>
        <v/>
      </c>
      <c r="Q14" s="53">
        <f>P14*gw_levy</f>
        <v/>
      </c>
      <c r="R14" s="53">
        <f>P14*gw_remit</f>
        <v/>
      </c>
      <c r="S14" s="63">
        <f>IF(union_resp&gt;=1,MIN(1,MAX(0,($A14-resp_start)/(resp_full-resp_start))),0)</f>
        <v/>
      </c>
      <c r="T14" s="67">
        <f>Economy!R13</f>
        <v/>
      </c>
      <c r="U14" s="67">
        <f>MAX(0,T14-gap_base)</f>
        <v/>
      </c>
      <c r="V14" s="68" t="n">
        <v>18.73</v>
      </c>
      <c r="W14" s="47">
        <f>V14*1000000*lf_rate*union_skill_share</f>
        <v/>
      </c>
      <c r="X14" s="45" t="n">
        <v>0</v>
      </c>
      <c r="Y14" s="47">
        <f>IF(AND(mig_endo=1,$A14&gt;=talent_start),talent_rate_u*W14*U14*(1-(1-bd_keep)*S14),0)</f>
        <v/>
      </c>
      <c r="Z14" s="47">
        <f>IF(AND(mig_endo=1,$A14&gt;=talent_start),X14*MIN(0.5,talent_share_o*U14)*(1-eu_comp*S14),0)</f>
        <v/>
      </c>
      <c r="AA14" s="45" t="n">
        <v>0</v>
      </c>
      <c r="AB14" s="47">
        <f>IF(AND(mig_endo=1,$A14&gt;=talent_start),AA14*MIN(0.5,talent_share_a*U14),0)</f>
        <v/>
      </c>
      <c r="AC14" s="47">
        <f>entry_cap*People!B14</f>
        <v/>
      </c>
      <c r="AD14" s="47">
        <f>MIN(AC14,Y14+Z14+AB14)</f>
        <v/>
      </c>
      <c r="AE14" s="47">
        <f>IF(Y14+Z14+AB14&gt;0,AD14*Y14/(Y14+Z14+AB14),0)</f>
        <v/>
      </c>
      <c r="AF14" s="47">
        <f>IF(Y14+Z14+AB14&gt;0,AD14*AB14/(Y14+Z14+AB14),0)</f>
        <v/>
      </c>
      <c r="AG14" s="47">
        <f>AD14*family_mult</f>
        <v/>
      </c>
      <c r="AH14" s="47">
        <f>AH13*(1+Paths!C14)+AG14</f>
        <v/>
      </c>
      <c r="AI14" s="47">
        <f>IF(AND(mig_endo=1,$A14&gt;=talent_start),chain_rate*AH13,0)</f>
        <v/>
      </c>
      <c r="AJ14" s="47">
        <f>IF(AND(mig_endo=1,$A14&gt;=talent_start),IF(H13&gt;0,H13*job_fill,H13*job_return)*job_family,0)</f>
        <v/>
      </c>
      <c r="AK14" s="47">
        <f>K14*gw_conv_family</f>
        <v/>
      </c>
      <c r="AL14" s="47">
        <f>AG14+AI14+AJ14+AK14+AR14</f>
        <v/>
      </c>
      <c r="AM14" s="47">
        <f>AM13*(1-skill_ret)+AD14</f>
        <v/>
      </c>
      <c r="AN14" s="64">
        <f>AM14/B14</f>
        <v/>
      </c>
      <c r="AO14" s="64">
        <f>(skill_rel-1+skill_spill)*AM13/B13-AT14</f>
        <v/>
      </c>
      <c r="AP14" s="64">
        <f>talent_champ*AM13/(skill_base_share*B13)</f>
        <v/>
      </c>
      <c r="AQ14" s="45" t="n">
        <v>430000</v>
      </c>
      <c r="AR14" s="47">
        <f>IF(AND(div_on=1,$A14&gt;=div_start),AQ14*MIN(div_max,div_rate*U14)*(1-div_comp*S14),0)</f>
        <v/>
      </c>
      <c r="AS14" s="47">
        <f>AS13*(1-div_assim)+AR14</f>
        <v/>
      </c>
      <c r="AT14" s="64">
        <f>(1-div_rel)*AS13/Economy!B13</f>
        <v/>
      </c>
      <c r="AU14" s="47">
        <f>AU13*(1-skill_ret)+AE14</f>
        <v/>
      </c>
      <c r="AV14" s="47">
        <f>AV13*(1+union_nat)+AR14</f>
        <v/>
      </c>
      <c r="AW14" s="47">
        <f>AW13*(1+union_nat)+AE14*family_mult</f>
        <v/>
      </c>
      <c r="AX14" s="67">
        <f>V14-(AV14+AW14)/1000000</f>
        <v/>
      </c>
      <c r="AY14" s="47">
        <f>L14*gw_union</f>
        <v/>
      </c>
      <c r="AZ14" s="46" t="n">
        <v>1.118</v>
      </c>
      <c r="BA14" s="47">
        <f>Economy!Q14*AZ14/lf_rate</f>
        <v/>
      </c>
      <c r="BB14" s="64">
        <f>bd_growth*AU13/W13</f>
        <v/>
      </c>
      <c r="BC14" s="64">
        <f>tg_k*MIN(1,Economy!O13/BK13)</f>
        <v/>
      </c>
      <c r="BD14" s="64">
        <f>emu_g*S14</f>
        <v/>
      </c>
      <c r="BE14" s="65">
        <f>BE13*(1-BB14-BC14+BD14)</f>
        <v/>
      </c>
      <c r="BF14" s="46" t="n">
        <v>1</v>
      </c>
      <c r="BG14" s="53">
        <f>AU14*BA14*BE14*(skill_rel-1+skill_spill)/1000000</f>
        <v/>
      </c>
      <c r="BH14" s="53">
        <f>union_disp*(Champions!AP14+Champions!AZ14)*(1-IF(union_resp=2,mkt_cut*S14,0))</f>
        <v/>
      </c>
      <c r="BI14" s="53">
        <f>AY14*BA14*BE14/1000000</f>
        <v/>
      </c>
      <c r="BJ14" s="47">
        <f>V14*Economy!Q14*AZ14</f>
        <v/>
      </c>
      <c r="BK14" s="47">
        <f>MAX(0.3*BJ14,AX14*Economy!Q14*AZ14*BE14*BF14-BG14-BH14-BI14)</f>
        <v/>
      </c>
      <c r="BL14" s="63">
        <f>1-BK14/BJ14</f>
        <v/>
      </c>
      <c r="BM14" s="47">
        <f>MAX(0,BH14-BH13)*1000000/BA14</f>
        <v/>
      </c>
      <c r="BN14" s="47">
        <f>BN13*(1-IF(AND($A14&gt;=1930,$A14&lt;=1932),0,union_reabsorb))+BM14</f>
        <v/>
      </c>
      <c r="BO14" s="59" t="n">
        <v>0.04</v>
      </c>
      <c r="BP14" s="63">
        <f>BO14+BN14/(AX14*1000000*lf_rate)</f>
        <v/>
      </c>
    </row>
    <row r="15">
      <c r="A15" s="58" t="n">
        <v>1855</v>
      </c>
      <c r="B15" s="47">
        <f>Economy!B15*lf_rate</f>
        <v/>
      </c>
      <c r="C15" s="47">
        <f>Economy!O15*1000000/(B15+L15)</f>
        <v/>
      </c>
      <c r="D15" s="47">
        <f>Champions!AP15*1000000/(C15*champ_prem)</f>
        <v/>
      </c>
      <c r="E15" s="47">
        <f>D15*job_mult</f>
        <v/>
      </c>
      <c r="F15" s="47">
        <f>D15+E15</f>
        <v/>
      </c>
      <c r="G15" s="63">
        <f>F15/B15</f>
        <v/>
      </c>
      <c r="H15" s="47">
        <f>F15-F14</f>
        <v/>
      </c>
      <c r="I15" s="63">
        <f>MAX(0.005,pac_u_base*IF(Paths!AC15=1,pac_u_war,1)+(okun*(1-Economy!G15)*(B15+L15)-MAX(0,L14-L15))/B15)</f>
        <v/>
      </c>
      <c r="J15" s="47">
        <f>IF(AND(gw_on=1,$A15&gt;=gw_start),MIN(gw_cap*B14,gw_cover*F14+gw_gen*B14),0)</f>
        <v/>
      </c>
      <c r="K15" s="47">
        <f>L14*gw_conv</f>
        <v/>
      </c>
      <c r="L15" s="47">
        <f>MAX(0,L14-K15+gw_adj*(J15-L14))*MAX(0,1-gw_slump*(1-Economy!G15))</f>
        <v/>
      </c>
      <c r="M15" s="47">
        <f>MAX(0,L15-L14+L14/gw_term)</f>
        <v/>
      </c>
      <c r="N15" s="63">
        <f>L15/B15</f>
        <v/>
      </c>
      <c r="O15" s="53">
        <f>Economy!L15</f>
        <v/>
      </c>
      <c r="P15" s="53">
        <f>O15*gw_wage_share</f>
        <v/>
      </c>
      <c r="Q15" s="53">
        <f>P15*gw_levy</f>
        <v/>
      </c>
      <c r="R15" s="53">
        <f>P15*gw_remit</f>
        <v/>
      </c>
      <c r="S15" s="63">
        <f>IF(union_resp&gt;=1,MIN(1,MAX(0,($A15-resp_start)/(resp_full-resp_start))),0)</f>
        <v/>
      </c>
      <c r="T15" s="67">
        <f>Economy!R14</f>
        <v/>
      </c>
      <c r="U15" s="67">
        <f>MAX(0,T15-gap_base)</f>
        <v/>
      </c>
      <c r="V15" s="68" t="n">
        <v>19.2</v>
      </c>
      <c r="W15" s="47">
        <f>V15*1000000*lf_rate*union_skill_share</f>
        <v/>
      </c>
      <c r="X15" s="45" t="n">
        <v>0</v>
      </c>
      <c r="Y15" s="47">
        <f>IF(AND(mig_endo=1,$A15&gt;=talent_start),talent_rate_u*W15*U15*(1-(1-bd_keep)*S15),0)</f>
        <v/>
      </c>
      <c r="Z15" s="47">
        <f>IF(AND(mig_endo=1,$A15&gt;=talent_start),X15*MIN(0.5,talent_share_o*U15)*(1-eu_comp*S15),0)</f>
        <v/>
      </c>
      <c r="AA15" s="45" t="n">
        <v>0</v>
      </c>
      <c r="AB15" s="47">
        <f>IF(AND(mig_endo=1,$A15&gt;=talent_start),AA15*MIN(0.5,talent_share_a*U15),0)</f>
        <v/>
      </c>
      <c r="AC15" s="47">
        <f>entry_cap*People!B15</f>
        <v/>
      </c>
      <c r="AD15" s="47">
        <f>MIN(AC15,Y15+Z15+AB15)</f>
        <v/>
      </c>
      <c r="AE15" s="47">
        <f>IF(Y15+Z15+AB15&gt;0,AD15*Y15/(Y15+Z15+AB15),0)</f>
        <v/>
      </c>
      <c r="AF15" s="47">
        <f>IF(Y15+Z15+AB15&gt;0,AD15*AB15/(Y15+Z15+AB15),0)</f>
        <v/>
      </c>
      <c r="AG15" s="47">
        <f>AD15*family_mult</f>
        <v/>
      </c>
      <c r="AH15" s="47">
        <f>AH14*(1+Paths!C15)+AG15</f>
        <v/>
      </c>
      <c r="AI15" s="47">
        <f>IF(AND(mig_endo=1,$A15&gt;=talent_start),chain_rate*AH14,0)</f>
        <v/>
      </c>
      <c r="AJ15" s="47">
        <f>IF(AND(mig_endo=1,$A15&gt;=talent_start),IF(H14&gt;0,H14*job_fill,H14*job_return)*job_family,0)</f>
        <v/>
      </c>
      <c r="AK15" s="47">
        <f>K15*gw_conv_family</f>
        <v/>
      </c>
      <c r="AL15" s="47">
        <f>AG15+AI15+AJ15+AK15+AR15</f>
        <v/>
      </c>
      <c r="AM15" s="47">
        <f>AM14*(1-skill_ret)+AD15</f>
        <v/>
      </c>
      <c r="AN15" s="64">
        <f>AM15/B15</f>
        <v/>
      </c>
      <c r="AO15" s="64">
        <f>(skill_rel-1+skill_spill)*AM14/B14-AT15</f>
        <v/>
      </c>
      <c r="AP15" s="64">
        <f>talent_champ*AM14/(skill_base_share*B14)</f>
        <v/>
      </c>
      <c r="AQ15" s="45" t="n">
        <v>315000</v>
      </c>
      <c r="AR15" s="47">
        <f>IF(AND(div_on=1,$A15&gt;=div_start),AQ15*MIN(div_max,div_rate*U15)*(1-div_comp*S15),0)</f>
        <v/>
      </c>
      <c r="AS15" s="47">
        <f>AS14*(1-div_assim)+AR15</f>
        <v/>
      </c>
      <c r="AT15" s="64">
        <f>(1-div_rel)*AS14/Economy!B14</f>
        <v/>
      </c>
      <c r="AU15" s="47">
        <f>AU14*(1-skill_ret)+AE15</f>
        <v/>
      </c>
      <c r="AV15" s="47">
        <f>AV14*(1+union_nat)+AR15</f>
        <v/>
      </c>
      <c r="AW15" s="47">
        <f>AW14*(1+union_nat)+AE15*family_mult</f>
        <v/>
      </c>
      <c r="AX15" s="67">
        <f>V15-(AV15+AW15)/1000000</f>
        <v/>
      </c>
      <c r="AY15" s="47">
        <f>L15*gw_union</f>
        <v/>
      </c>
      <c r="AZ15" s="46" t="n">
        <v>1.118</v>
      </c>
      <c r="BA15" s="47">
        <f>Economy!Q15*AZ15/lf_rate</f>
        <v/>
      </c>
      <c r="BB15" s="64">
        <f>bd_growth*AU14/W14</f>
        <v/>
      </c>
      <c r="BC15" s="64">
        <f>tg_k*MIN(1,Economy!O14/BK14)</f>
        <v/>
      </c>
      <c r="BD15" s="64">
        <f>emu_g*S15</f>
        <v/>
      </c>
      <c r="BE15" s="65">
        <f>BE14*(1-BB15-BC15+BD15)</f>
        <v/>
      </c>
      <c r="BF15" s="46" t="n">
        <v>1</v>
      </c>
      <c r="BG15" s="53">
        <f>AU15*BA15*BE15*(skill_rel-1+skill_spill)/1000000</f>
        <v/>
      </c>
      <c r="BH15" s="53">
        <f>union_disp*(Champions!AP15+Champions!AZ15)*(1-IF(union_resp=2,mkt_cut*S15,0))</f>
        <v/>
      </c>
      <c r="BI15" s="53">
        <f>AY15*BA15*BE15/1000000</f>
        <v/>
      </c>
      <c r="BJ15" s="47">
        <f>V15*Economy!Q15*AZ15</f>
        <v/>
      </c>
      <c r="BK15" s="47">
        <f>MAX(0.3*BJ15,AX15*Economy!Q15*AZ15*BE15*BF15-BG15-BH15-BI15)</f>
        <v/>
      </c>
      <c r="BL15" s="63">
        <f>1-BK15/BJ15</f>
        <v/>
      </c>
      <c r="BM15" s="47">
        <f>MAX(0,BH15-BH14)*1000000/BA15</f>
        <v/>
      </c>
      <c r="BN15" s="47">
        <f>BN14*(1-IF(AND($A15&gt;=1930,$A15&lt;=1932),0,union_reabsorb))+BM15</f>
        <v/>
      </c>
      <c r="BO15" s="59" t="n">
        <v>0.04</v>
      </c>
      <c r="BP15" s="63">
        <f>BO15+BN15/(AX15*1000000*lf_rate)</f>
        <v/>
      </c>
    </row>
    <row r="16">
      <c r="A16" s="58" t="n">
        <v>1856</v>
      </c>
      <c r="B16" s="47">
        <f>Economy!B16*lf_rate</f>
        <v/>
      </c>
      <c r="C16" s="47">
        <f>Economy!O16*1000000/(B16+L16)</f>
        <v/>
      </c>
      <c r="D16" s="47">
        <f>Champions!AP16*1000000/(C16*champ_prem)</f>
        <v/>
      </c>
      <c r="E16" s="47">
        <f>D16*job_mult</f>
        <v/>
      </c>
      <c r="F16" s="47">
        <f>D16+E16</f>
        <v/>
      </c>
      <c r="G16" s="63">
        <f>F16/B16</f>
        <v/>
      </c>
      <c r="H16" s="47">
        <f>F16-F15</f>
        <v/>
      </c>
      <c r="I16" s="63">
        <f>MAX(0.005,pac_u_base*IF(Paths!AC16=1,pac_u_war,1)+(okun*(1-Economy!G16)*(B16+L16)-MAX(0,L15-L16))/B16)</f>
        <v/>
      </c>
      <c r="J16" s="47">
        <f>IF(AND(gw_on=1,$A16&gt;=gw_start),MIN(gw_cap*B15,gw_cover*F15+gw_gen*B15),0)</f>
        <v/>
      </c>
      <c r="K16" s="47">
        <f>L15*gw_conv</f>
        <v/>
      </c>
      <c r="L16" s="47">
        <f>MAX(0,L15-K16+gw_adj*(J16-L15))*MAX(0,1-gw_slump*(1-Economy!G16))</f>
        <v/>
      </c>
      <c r="M16" s="47">
        <f>MAX(0,L16-L15+L15/gw_term)</f>
        <v/>
      </c>
      <c r="N16" s="63">
        <f>L16/B16</f>
        <v/>
      </c>
      <c r="O16" s="53">
        <f>Economy!L16</f>
        <v/>
      </c>
      <c r="P16" s="53">
        <f>O16*gw_wage_share</f>
        <v/>
      </c>
      <c r="Q16" s="53">
        <f>P16*gw_levy</f>
        <v/>
      </c>
      <c r="R16" s="53">
        <f>P16*gw_remit</f>
        <v/>
      </c>
      <c r="S16" s="63">
        <f>IF(union_resp&gt;=1,MIN(1,MAX(0,($A16-resp_start)/(resp_full-resp_start))),0)</f>
        <v/>
      </c>
      <c r="T16" s="67">
        <f>Economy!R15</f>
        <v/>
      </c>
      <c r="U16" s="67">
        <f>MAX(0,T16-gap_base)</f>
        <v/>
      </c>
      <c r="V16" s="68" t="n">
        <v>19.67</v>
      </c>
      <c r="W16" s="47">
        <f>V16*1000000*lf_rate*union_skill_share</f>
        <v/>
      </c>
      <c r="X16" s="45" t="n">
        <v>0</v>
      </c>
      <c r="Y16" s="47">
        <f>IF(AND(mig_endo=1,$A16&gt;=talent_start),talent_rate_u*W16*U16*(1-(1-bd_keep)*S16),0)</f>
        <v/>
      </c>
      <c r="Z16" s="47">
        <f>IF(AND(mig_endo=1,$A16&gt;=talent_start),X16*MIN(0.5,talent_share_o*U16)*(1-eu_comp*S16),0)</f>
        <v/>
      </c>
      <c r="AA16" s="45" t="n">
        <v>0</v>
      </c>
      <c r="AB16" s="47">
        <f>IF(AND(mig_endo=1,$A16&gt;=talent_start),AA16*MIN(0.5,talent_share_a*U16),0)</f>
        <v/>
      </c>
      <c r="AC16" s="47">
        <f>entry_cap*People!B16</f>
        <v/>
      </c>
      <c r="AD16" s="47">
        <f>MIN(AC16,Y16+Z16+AB16)</f>
        <v/>
      </c>
      <c r="AE16" s="47">
        <f>IF(Y16+Z16+AB16&gt;0,AD16*Y16/(Y16+Z16+AB16),0)</f>
        <v/>
      </c>
      <c r="AF16" s="47">
        <f>IF(Y16+Z16+AB16&gt;0,AD16*AB16/(Y16+Z16+AB16),0)</f>
        <v/>
      </c>
      <c r="AG16" s="47">
        <f>AD16*family_mult</f>
        <v/>
      </c>
      <c r="AH16" s="47">
        <f>AH15*(1+Paths!C16)+AG16</f>
        <v/>
      </c>
      <c r="AI16" s="47">
        <f>IF(AND(mig_endo=1,$A16&gt;=talent_start),chain_rate*AH15,0)</f>
        <v/>
      </c>
      <c r="AJ16" s="47">
        <f>IF(AND(mig_endo=1,$A16&gt;=talent_start),IF(H15&gt;0,H15*job_fill,H15*job_return)*job_family,0)</f>
        <v/>
      </c>
      <c r="AK16" s="47">
        <f>K16*gw_conv_family</f>
        <v/>
      </c>
      <c r="AL16" s="47">
        <f>AG16+AI16+AJ16+AK16+AR16</f>
        <v/>
      </c>
      <c r="AM16" s="47">
        <f>AM15*(1-skill_ret)+AD16</f>
        <v/>
      </c>
      <c r="AN16" s="64">
        <f>AM16/B16</f>
        <v/>
      </c>
      <c r="AO16" s="64">
        <f>(skill_rel-1+skill_spill)*AM15/B15-AT16</f>
        <v/>
      </c>
      <c r="AP16" s="64">
        <f>talent_champ*AM15/(skill_base_share*B15)</f>
        <v/>
      </c>
      <c r="AQ16" s="45" t="n">
        <v>200000</v>
      </c>
      <c r="AR16" s="47">
        <f>IF(AND(div_on=1,$A16&gt;=div_start),AQ16*MIN(div_max,div_rate*U16)*(1-div_comp*S16),0)</f>
        <v/>
      </c>
      <c r="AS16" s="47">
        <f>AS15*(1-div_assim)+AR16</f>
        <v/>
      </c>
      <c r="AT16" s="64">
        <f>(1-div_rel)*AS15/Economy!B15</f>
        <v/>
      </c>
      <c r="AU16" s="47">
        <f>AU15*(1-skill_ret)+AE16</f>
        <v/>
      </c>
      <c r="AV16" s="47">
        <f>AV15*(1+union_nat)+AR16</f>
        <v/>
      </c>
      <c r="AW16" s="47">
        <f>AW15*(1+union_nat)+AE16*family_mult</f>
        <v/>
      </c>
      <c r="AX16" s="67">
        <f>V16-(AV16+AW16)/1000000</f>
        <v/>
      </c>
      <c r="AY16" s="47">
        <f>L16*gw_union</f>
        <v/>
      </c>
      <c r="AZ16" s="46" t="n">
        <v>1.118</v>
      </c>
      <c r="BA16" s="47">
        <f>Economy!Q16*AZ16/lf_rate</f>
        <v/>
      </c>
      <c r="BB16" s="64">
        <f>bd_growth*AU15/W15</f>
        <v/>
      </c>
      <c r="BC16" s="64">
        <f>tg_k*MIN(1,Economy!O15/BK15)</f>
        <v/>
      </c>
      <c r="BD16" s="64">
        <f>emu_g*S16</f>
        <v/>
      </c>
      <c r="BE16" s="65">
        <f>BE15*(1-BB16-BC16+BD16)</f>
        <v/>
      </c>
      <c r="BF16" s="46" t="n">
        <v>1</v>
      </c>
      <c r="BG16" s="53">
        <f>AU16*BA16*BE16*(skill_rel-1+skill_spill)/1000000</f>
        <v/>
      </c>
      <c r="BH16" s="53">
        <f>union_disp*(Champions!AP16+Champions!AZ16)*(1-IF(union_resp=2,mkt_cut*S16,0))</f>
        <v/>
      </c>
      <c r="BI16" s="53">
        <f>AY16*BA16*BE16/1000000</f>
        <v/>
      </c>
      <c r="BJ16" s="47">
        <f>V16*Economy!Q16*AZ16</f>
        <v/>
      </c>
      <c r="BK16" s="47">
        <f>MAX(0.3*BJ16,AX16*Economy!Q16*AZ16*BE16*BF16-BG16-BH16-BI16)</f>
        <v/>
      </c>
      <c r="BL16" s="63">
        <f>1-BK16/BJ16</f>
        <v/>
      </c>
      <c r="BM16" s="47">
        <f>MAX(0,BH16-BH15)*1000000/BA16</f>
        <v/>
      </c>
      <c r="BN16" s="47">
        <f>BN15*(1-IF(AND($A16&gt;=1930,$A16&lt;=1932),0,union_reabsorb))+BM16</f>
        <v/>
      </c>
      <c r="BO16" s="59" t="n">
        <v>0.04</v>
      </c>
      <c r="BP16" s="63">
        <f>BO16+BN16/(AX16*1000000*lf_rate)</f>
        <v/>
      </c>
    </row>
    <row r="17">
      <c r="A17" s="58" t="n">
        <v>1857</v>
      </c>
      <c r="B17" s="47">
        <f>Economy!B17*lf_rate</f>
        <v/>
      </c>
      <c r="C17" s="47">
        <f>Economy!O17*1000000/(B17+L17)</f>
        <v/>
      </c>
      <c r="D17" s="47">
        <f>Champions!AP17*1000000/(C17*champ_prem)</f>
        <v/>
      </c>
      <c r="E17" s="47">
        <f>D17*job_mult</f>
        <v/>
      </c>
      <c r="F17" s="47">
        <f>D17+E17</f>
        <v/>
      </c>
      <c r="G17" s="63">
        <f>F17/B17</f>
        <v/>
      </c>
      <c r="H17" s="47">
        <f>F17-F16</f>
        <v/>
      </c>
      <c r="I17" s="63">
        <f>MAX(0.005,pac_u_base*IF(Paths!AC17=1,pac_u_war,1)+(okun*(1-Economy!G17)*(B17+L17)-MAX(0,L16-L17))/B17)</f>
        <v/>
      </c>
      <c r="J17" s="47">
        <f>IF(AND(gw_on=1,$A17&gt;=gw_start),MIN(gw_cap*B16,gw_cover*F16+gw_gen*B16),0)</f>
        <v/>
      </c>
      <c r="K17" s="47">
        <f>L16*gw_conv</f>
        <v/>
      </c>
      <c r="L17" s="47">
        <f>MAX(0,L16-K17+gw_adj*(J17-L16))*MAX(0,1-gw_slump*(1-Economy!G17))</f>
        <v/>
      </c>
      <c r="M17" s="47">
        <f>MAX(0,L17-L16+L16/gw_term)</f>
        <v/>
      </c>
      <c r="N17" s="63">
        <f>L17/B17</f>
        <v/>
      </c>
      <c r="O17" s="53">
        <f>Economy!L17</f>
        <v/>
      </c>
      <c r="P17" s="53">
        <f>O17*gw_wage_share</f>
        <v/>
      </c>
      <c r="Q17" s="53">
        <f>P17*gw_levy</f>
        <v/>
      </c>
      <c r="R17" s="53">
        <f>P17*gw_remit</f>
        <v/>
      </c>
      <c r="S17" s="63">
        <f>IF(union_resp&gt;=1,MIN(1,MAX(0,($A17-resp_start)/(resp_full-resp_start))),0)</f>
        <v/>
      </c>
      <c r="T17" s="67">
        <f>Economy!R16</f>
        <v/>
      </c>
      <c r="U17" s="67">
        <f>MAX(0,T17-gap_base)</f>
        <v/>
      </c>
      <c r="V17" s="68" t="n">
        <v>20.13</v>
      </c>
      <c r="W17" s="47">
        <f>V17*1000000*lf_rate*union_skill_share</f>
        <v/>
      </c>
      <c r="X17" s="45" t="n">
        <v>0</v>
      </c>
      <c r="Y17" s="47">
        <f>IF(AND(mig_endo=1,$A17&gt;=talent_start),talent_rate_u*W17*U17*(1-(1-bd_keep)*S17),0)</f>
        <v/>
      </c>
      <c r="Z17" s="47">
        <f>IF(AND(mig_endo=1,$A17&gt;=talent_start),X17*MIN(0.5,talent_share_o*U17)*(1-eu_comp*S17),0)</f>
        <v/>
      </c>
      <c r="AA17" s="45" t="n">
        <v>0</v>
      </c>
      <c r="AB17" s="47">
        <f>IF(AND(mig_endo=1,$A17&gt;=talent_start),AA17*MIN(0.5,talent_share_a*U17),0)</f>
        <v/>
      </c>
      <c r="AC17" s="47">
        <f>entry_cap*People!B17</f>
        <v/>
      </c>
      <c r="AD17" s="47">
        <f>MIN(AC17,Y17+Z17+AB17)</f>
        <v/>
      </c>
      <c r="AE17" s="47">
        <f>IF(Y17+Z17+AB17&gt;0,AD17*Y17/(Y17+Z17+AB17),0)</f>
        <v/>
      </c>
      <c r="AF17" s="47">
        <f>IF(Y17+Z17+AB17&gt;0,AD17*AB17/(Y17+Z17+AB17),0)</f>
        <v/>
      </c>
      <c r="AG17" s="47">
        <f>AD17*family_mult</f>
        <v/>
      </c>
      <c r="AH17" s="47">
        <f>AH16*(1+Paths!C17)+AG17</f>
        <v/>
      </c>
      <c r="AI17" s="47">
        <f>IF(AND(mig_endo=1,$A17&gt;=talent_start),chain_rate*AH16,0)</f>
        <v/>
      </c>
      <c r="AJ17" s="47">
        <f>IF(AND(mig_endo=1,$A17&gt;=talent_start),IF(H16&gt;0,H16*job_fill,H16*job_return)*job_family,0)</f>
        <v/>
      </c>
      <c r="AK17" s="47">
        <f>K17*gw_conv_family</f>
        <v/>
      </c>
      <c r="AL17" s="47">
        <f>AG17+AI17+AJ17+AK17+AR17</f>
        <v/>
      </c>
      <c r="AM17" s="47">
        <f>AM16*(1-skill_ret)+AD17</f>
        <v/>
      </c>
      <c r="AN17" s="64">
        <f>AM17/B17</f>
        <v/>
      </c>
      <c r="AO17" s="64">
        <f>(skill_rel-1+skill_spill)*AM16/B16-AT17</f>
        <v/>
      </c>
      <c r="AP17" s="64">
        <f>talent_champ*AM16/(skill_base_share*B16)</f>
        <v/>
      </c>
      <c r="AQ17" s="45" t="n">
        <v>188000</v>
      </c>
      <c r="AR17" s="47">
        <f>IF(AND(div_on=1,$A17&gt;=div_start),AQ17*MIN(div_max,div_rate*U17)*(1-div_comp*S17),0)</f>
        <v/>
      </c>
      <c r="AS17" s="47">
        <f>AS16*(1-div_assim)+AR17</f>
        <v/>
      </c>
      <c r="AT17" s="64">
        <f>(1-div_rel)*AS16/Economy!B16</f>
        <v/>
      </c>
      <c r="AU17" s="47">
        <f>AU16*(1-skill_ret)+AE17</f>
        <v/>
      </c>
      <c r="AV17" s="47">
        <f>AV16*(1+union_nat)+AR17</f>
        <v/>
      </c>
      <c r="AW17" s="47">
        <f>AW16*(1+union_nat)+AE17*family_mult</f>
        <v/>
      </c>
      <c r="AX17" s="67">
        <f>V17-(AV17+AW17)/1000000</f>
        <v/>
      </c>
      <c r="AY17" s="47">
        <f>L17*gw_union</f>
        <v/>
      </c>
      <c r="AZ17" s="46" t="n">
        <v>1.118</v>
      </c>
      <c r="BA17" s="47">
        <f>Economy!Q17*AZ17/lf_rate</f>
        <v/>
      </c>
      <c r="BB17" s="64">
        <f>bd_growth*AU16/W16</f>
        <v/>
      </c>
      <c r="BC17" s="64">
        <f>tg_k*MIN(1,Economy!O16/BK16)</f>
        <v/>
      </c>
      <c r="BD17" s="64">
        <f>emu_g*S17</f>
        <v/>
      </c>
      <c r="BE17" s="65">
        <f>BE16*(1-BB17-BC17+BD17)</f>
        <v/>
      </c>
      <c r="BF17" s="46" t="n">
        <v>1</v>
      </c>
      <c r="BG17" s="53">
        <f>AU17*BA17*BE17*(skill_rel-1+skill_spill)/1000000</f>
        <v/>
      </c>
      <c r="BH17" s="53">
        <f>union_disp*(Champions!AP17+Champions!AZ17)*(1-IF(union_resp=2,mkt_cut*S17,0))</f>
        <v/>
      </c>
      <c r="BI17" s="53">
        <f>AY17*BA17*BE17/1000000</f>
        <v/>
      </c>
      <c r="BJ17" s="47">
        <f>V17*Economy!Q17*AZ17</f>
        <v/>
      </c>
      <c r="BK17" s="47">
        <f>MAX(0.3*BJ17,AX17*Economy!Q17*AZ17*BE17*BF17-BG17-BH17-BI17)</f>
        <v/>
      </c>
      <c r="BL17" s="63">
        <f>1-BK17/BJ17</f>
        <v/>
      </c>
      <c r="BM17" s="47">
        <f>MAX(0,BH17-BH16)*1000000/BA17</f>
        <v/>
      </c>
      <c r="BN17" s="47">
        <f>BN16*(1-IF(AND($A17&gt;=1930,$A17&lt;=1932),0,union_reabsorb))+BM17</f>
        <v/>
      </c>
      <c r="BO17" s="59" t="n">
        <v>0.04</v>
      </c>
      <c r="BP17" s="63">
        <f>BO17+BN17/(AX17*1000000*lf_rate)</f>
        <v/>
      </c>
    </row>
    <row r="18">
      <c r="A18" s="58" t="n">
        <v>1858</v>
      </c>
      <c r="B18" s="47">
        <f>Economy!B18*lf_rate</f>
        <v/>
      </c>
      <c r="C18" s="47">
        <f>Economy!O18*1000000/(B18+L18)</f>
        <v/>
      </c>
      <c r="D18" s="47">
        <f>Champions!AP18*1000000/(C18*champ_prem)</f>
        <v/>
      </c>
      <c r="E18" s="47">
        <f>D18*job_mult</f>
        <v/>
      </c>
      <c r="F18" s="47">
        <f>D18+E18</f>
        <v/>
      </c>
      <c r="G18" s="63">
        <f>F18/B18</f>
        <v/>
      </c>
      <c r="H18" s="47">
        <f>F18-F17</f>
        <v/>
      </c>
      <c r="I18" s="63">
        <f>MAX(0.005,pac_u_base*IF(Paths!AC18=1,pac_u_war,1)+(okun*(1-Economy!G18)*(B18+L18)-MAX(0,L17-L18))/B18)</f>
        <v/>
      </c>
      <c r="J18" s="47">
        <f>IF(AND(gw_on=1,$A18&gt;=gw_start),MIN(gw_cap*B17,gw_cover*F17+gw_gen*B17),0)</f>
        <v/>
      </c>
      <c r="K18" s="47">
        <f>L17*gw_conv</f>
        <v/>
      </c>
      <c r="L18" s="47">
        <f>MAX(0,L17-K18+gw_adj*(J18-L17))*MAX(0,1-gw_slump*(1-Economy!G18))</f>
        <v/>
      </c>
      <c r="M18" s="47">
        <f>MAX(0,L18-L17+L17/gw_term)</f>
        <v/>
      </c>
      <c r="N18" s="63">
        <f>L18/B18</f>
        <v/>
      </c>
      <c r="O18" s="53">
        <f>Economy!L18</f>
        <v/>
      </c>
      <c r="P18" s="53">
        <f>O18*gw_wage_share</f>
        <v/>
      </c>
      <c r="Q18" s="53">
        <f>P18*gw_levy</f>
        <v/>
      </c>
      <c r="R18" s="53">
        <f>P18*gw_remit</f>
        <v/>
      </c>
      <c r="S18" s="63">
        <f>IF(union_resp&gt;=1,MIN(1,MAX(0,($A18-resp_start)/(resp_full-resp_start))),0)</f>
        <v/>
      </c>
      <c r="T18" s="67">
        <f>Economy!R17</f>
        <v/>
      </c>
      <c r="U18" s="67">
        <f>MAX(0,T18-gap_base)</f>
        <v/>
      </c>
      <c r="V18" s="68" t="n">
        <v>20.6</v>
      </c>
      <c r="W18" s="47">
        <f>V18*1000000*lf_rate*union_skill_share</f>
        <v/>
      </c>
      <c r="X18" s="45" t="n">
        <v>0</v>
      </c>
      <c r="Y18" s="47">
        <f>IF(AND(mig_endo=1,$A18&gt;=talent_start),talent_rate_u*W18*U18*(1-(1-bd_keep)*S18),0)</f>
        <v/>
      </c>
      <c r="Z18" s="47">
        <f>IF(AND(mig_endo=1,$A18&gt;=talent_start),X18*MIN(0.5,talent_share_o*U18)*(1-eu_comp*S18),0)</f>
        <v/>
      </c>
      <c r="AA18" s="45" t="n">
        <v>0</v>
      </c>
      <c r="AB18" s="47">
        <f>IF(AND(mig_endo=1,$A18&gt;=talent_start),AA18*MIN(0.5,talent_share_a*U18),0)</f>
        <v/>
      </c>
      <c r="AC18" s="47">
        <f>entry_cap*People!B18</f>
        <v/>
      </c>
      <c r="AD18" s="47">
        <f>MIN(AC18,Y18+Z18+AB18)</f>
        <v/>
      </c>
      <c r="AE18" s="47">
        <f>IF(Y18+Z18+AB18&gt;0,AD18*Y18/(Y18+Z18+AB18),0)</f>
        <v/>
      </c>
      <c r="AF18" s="47">
        <f>IF(Y18+Z18+AB18&gt;0,AD18*AB18/(Y18+Z18+AB18),0)</f>
        <v/>
      </c>
      <c r="AG18" s="47">
        <f>AD18*family_mult</f>
        <v/>
      </c>
      <c r="AH18" s="47">
        <f>AH17*(1+Paths!C18)+AG18</f>
        <v/>
      </c>
      <c r="AI18" s="47">
        <f>IF(AND(mig_endo=1,$A18&gt;=talent_start),chain_rate*AH17,0)</f>
        <v/>
      </c>
      <c r="AJ18" s="47">
        <f>IF(AND(mig_endo=1,$A18&gt;=talent_start),IF(H17&gt;0,H17*job_fill,H17*job_return)*job_family,0)</f>
        <v/>
      </c>
      <c r="AK18" s="47">
        <f>K18*gw_conv_family</f>
        <v/>
      </c>
      <c r="AL18" s="47">
        <f>AG18+AI18+AJ18+AK18+AR18</f>
        <v/>
      </c>
      <c r="AM18" s="47">
        <f>AM17*(1-skill_ret)+AD18</f>
        <v/>
      </c>
      <c r="AN18" s="64">
        <f>AM18/B18</f>
        <v/>
      </c>
      <c r="AO18" s="64">
        <f>(skill_rel-1+skill_spill)*AM17/B17-AT18</f>
        <v/>
      </c>
      <c r="AP18" s="64">
        <f>talent_champ*AM17/(skill_base_share*B17)</f>
        <v/>
      </c>
      <c r="AQ18" s="45" t="n">
        <v>175000</v>
      </c>
      <c r="AR18" s="47">
        <f>IF(AND(div_on=1,$A18&gt;=div_start),AQ18*MIN(div_max,div_rate*U18)*(1-div_comp*S18),0)</f>
        <v/>
      </c>
      <c r="AS18" s="47">
        <f>AS17*(1-div_assim)+AR18</f>
        <v/>
      </c>
      <c r="AT18" s="64">
        <f>(1-div_rel)*AS17/Economy!B17</f>
        <v/>
      </c>
      <c r="AU18" s="47">
        <f>AU17*(1-skill_ret)+AE18</f>
        <v/>
      </c>
      <c r="AV18" s="47">
        <f>AV17*(1+union_nat)+AR18</f>
        <v/>
      </c>
      <c r="AW18" s="47">
        <f>AW17*(1+union_nat)+AE18*family_mult</f>
        <v/>
      </c>
      <c r="AX18" s="67">
        <f>V18-(AV18+AW18)/1000000</f>
        <v/>
      </c>
      <c r="AY18" s="47">
        <f>L18*gw_union</f>
        <v/>
      </c>
      <c r="AZ18" s="46" t="n">
        <v>1.118</v>
      </c>
      <c r="BA18" s="47">
        <f>Economy!Q18*AZ18/lf_rate</f>
        <v/>
      </c>
      <c r="BB18" s="64">
        <f>bd_growth*AU17/W17</f>
        <v/>
      </c>
      <c r="BC18" s="64">
        <f>tg_k*MIN(1,Economy!O17/BK17)</f>
        <v/>
      </c>
      <c r="BD18" s="64">
        <f>emu_g*S18</f>
        <v/>
      </c>
      <c r="BE18" s="65">
        <f>BE17*(1-BB18-BC18+BD18)</f>
        <v/>
      </c>
      <c r="BF18" s="46" t="n">
        <v>1</v>
      </c>
      <c r="BG18" s="53">
        <f>AU18*BA18*BE18*(skill_rel-1+skill_spill)/1000000</f>
        <v/>
      </c>
      <c r="BH18" s="53">
        <f>union_disp*(Champions!AP18+Champions!AZ18)*(1-IF(union_resp=2,mkt_cut*S18,0))</f>
        <v/>
      </c>
      <c r="BI18" s="53">
        <f>AY18*BA18*BE18/1000000</f>
        <v/>
      </c>
      <c r="BJ18" s="47">
        <f>V18*Economy!Q18*AZ18</f>
        <v/>
      </c>
      <c r="BK18" s="47">
        <f>MAX(0.3*BJ18,AX18*Economy!Q18*AZ18*BE18*BF18-BG18-BH18-BI18)</f>
        <v/>
      </c>
      <c r="BL18" s="63">
        <f>1-BK18/BJ18</f>
        <v/>
      </c>
      <c r="BM18" s="47">
        <f>MAX(0,BH18-BH17)*1000000/BA18</f>
        <v/>
      </c>
      <c r="BN18" s="47">
        <f>BN17*(1-IF(AND($A18&gt;=1930,$A18&lt;=1932),0,union_reabsorb))+BM18</f>
        <v/>
      </c>
      <c r="BO18" s="59" t="n">
        <v>0.04</v>
      </c>
      <c r="BP18" s="63">
        <f>BO18+BN18/(AX18*1000000*lf_rate)</f>
        <v/>
      </c>
    </row>
    <row r="19">
      <c r="A19" s="58" t="n">
        <v>1859</v>
      </c>
      <c r="B19" s="47">
        <f>Economy!B19*lf_rate</f>
        <v/>
      </c>
      <c r="C19" s="47">
        <f>Economy!O19*1000000/(B19+L19)</f>
        <v/>
      </c>
      <c r="D19" s="47">
        <f>Champions!AP19*1000000/(C19*champ_prem)</f>
        <v/>
      </c>
      <c r="E19" s="47">
        <f>D19*job_mult</f>
        <v/>
      </c>
      <c r="F19" s="47">
        <f>D19+E19</f>
        <v/>
      </c>
      <c r="G19" s="63">
        <f>F19/B19</f>
        <v/>
      </c>
      <c r="H19" s="47">
        <f>F19-F18</f>
        <v/>
      </c>
      <c r="I19" s="63">
        <f>MAX(0.005,pac_u_base*IF(Paths!AC19=1,pac_u_war,1)+(okun*(1-Economy!G19)*(B19+L19)-MAX(0,L18-L19))/B19)</f>
        <v/>
      </c>
      <c r="J19" s="47">
        <f>IF(AND(gw_on=1,$A19&gt;=gw_start),MIN(gw_cap*B18,gw_cover*F18+gw_gen*B18),0)</f>
        <v/>
      </c>
      <c r="K19" s="47">
        <f>L18*gw_conv</f>
        <v/>
      </c>
      <c r="L19" s="47">
        <f>MAX(0,L18-K19+gw_adj*(J19-L18))*MAX(0,1-gw_slump*(1-Economy!G19))</f>
        <v/>
      </c>
      <c r="M19" s="47">
        <f>MAX(0,L19-L18+L18/gw_term)</f>
        <v/>
      </c>
      <c r="N19" s="63">
        <f>L19/B19</f>
        <v/>
      </c>
      <c r="O19" s="53">
        <f>Economy!L19</f>
        <v/>
      </c>
      <c r="P19" s="53">
        <f>O19*gw_wage_share</f>
        <v/>
      </c>
      <c r="Q19" s="53">
        <f>P19*gw_levy</f>
        <v/>
      </c>
      <c r="R19" s="53">
        <f>P19*gw_remit</f>
        <v/>
      </c>
      <c r="S19" s="63">
        <f>IF(union_resp&gt;=1,MIN(1,MAX(0,($A19-resp_start)/(resp_full-resp_start))),0)</f>
        <v/>
      </c>
      <c r="T19" s="67">
        <f>Economy!R18</f>
        <v/>
      </c>
      <c r="U19" s="67">
        <f>MAX(0,T19-gap_base)</f>
        <v/>
      </c>
      <c r="V19" s="68" t="n">
        <v>21.07</v>
      </c>
      <c r="W19" s="47">
        <f>V19*1000000*lf_rate*union_skill_share</f>
        <v/>
      </c>
      <c r="X19" s="45" t="n">
        <v>0</v>
      </c>
      <c r="Y19" s="47">
        <f>IF(AND(mig_endo=1,$A19&gt;=talent_start),talent_rate_u*W19*U19*(1-(1-bd_keep)*S19),0)</f>
        <v/>
      </c>
      <c r="Z19" s="47">
        <f>IF(AND(mig_endo=1,$A19&gt;=talent_start),X19*MIN(0.5,talent_share_o*U19)*(1-eu_comp*S19),0)</f>
        <v/>
      </c>
      <c r="AA19" s="45" t="n">
        <v>0</v>
      </c>
      <c r="AB19" s="47">
        <f>IF(AND(mig_endo=1,$A19&gt;=talent_start),AA19*MIN(0.5,talent_share_a*U19),0)</f>
        <v/>
      </c>
      <c r="AC19" s="47">
        <f>entry_cap*People!B19</f>
        <v/>
      </c>
      <c r="AD19" s="47">
        <f>MIN(AC19,Y19+Z19+AB19)</f>
        <v/>
      </c>
      <c r="AE19" s="47">
        <f>IF(Y19+Z19+AB19&gt;0,AD19*Y19/(Y19+Z19+AB19),0)</f>
        <v/>
      </c>
      <c r="AF19" s="47">
        <f>IF(Y19+Z19+AB19&gt;0,AD19*AB19/(Y19+Z19+AB19),0)</f>
        <v/>
      </c>
      <c r="AG19" s="47">
        <f>AD19*family_mult</f>
        <v/>
      </c>
      <c r="AH19" s="47">
        <f>AH18*(1+Paths!C19)+AG19</f>
        <v/>
      </c>
      <c r="AI19" s="47">
        <f>IF(AND(mig_endo=1,$A19&gt;=talent_start),chain_rate*AH18,0)</f>
        <v/>
      </c>
      <c r="AJ19" s="47">
        <f>IF(AND(mig_endo=1,$A19&gt;=talent_start),IF(H18&gt;0,H18*job_fill,H18*job_return)*job_family,0)</f>
        <v/>
      </c>
      <c r="AK19" s="47">
        <f>K19*gw_conv_family</f>
        <v/>
      </c>
      <c r="AL19" s="47">
        <f>AG19+AI19+AJ19+AK19+AR19</f>
        <v/>
      </c>
      <c r="AM19" s="47">
        <f>AM18*(1-skill_ret)+AD19</f>
        <v/>
      </c>
      <c r="AN19" s="64">
        <f>AM19/B19</f>
        <v/>
      </c>
      <c r="AO19" s="64">
        <f>(skill_rel-1+skill_spill)*AM18/B18-AT19</f>
        <v/>
      </c>
      <c r="AP19" s="64">
        <f>talent_champ*AM18/(skill_base_share*B18)</f>
        <v/>
      </c>
      <c r="AQ19" s="45" t="n">
        <v>162000</v>
      </c>
      <c r="AR19" s="47">
        <f>IF(AND(div_on=1,$A19&gt;=div_start),AQ19*MIN(div_max,div_rate*U19)*(1-div_comp*S19),0)</f>
        <v/>
      </c>
      <c r="AS19" s="47">
        <f>AS18*(1-div_assim)+AR19</f>
        <v/>
      </c>
      <c r="AT19" s="64">
        <f>(1-div_rel)*AS18/Economy!B18</f>
        <v/>
      </c>
      <c r="AU19" s="47">
        <f>AU18*(1-skill_ret)+AE19</f>
        <v/>
      </c>
      <c r="AV19" s="47">
        <f>AV18*(1+union_nat)+AR19</f>
        <v/>
      </c>
      <c r="AW19" s="47">
        <f>AW18*(1+union_nat)+AE19*family_mult</f>
        <v/>
      </c>
      <c r="AX19" s="67">
        <f>V19-(AV19+AW19)/1000000</f>
        <v/>
      </c>
      <c r="AY19" s="47">
        <f>L19*gw_union</f>
        <v/>
      </c>
      <c r="AZ19" s="46" t="n">
        <v>1.117</v>
      </c>
      <c r="BA19" s="47">
        <f>Economy!Q19*AZ19/lf_rate</f>
        <v/>
      </c>
      <c r="BB19" s="64">
        <f>bd_growth*AU18/W18</f>
        <v/>
      </c>
      <c r="BC19" s="64">
        <f>tg_k*MIN(1,Economy!O18/BK18)</f>
        <v/>
      </c>
      <c r="BD19" s="64">
        <f>emu_g*S19</f>
        <v/>
      </c>
      <c r="BE19" s="65">
        <f>BE18*(1-BB19-BC19+BD19)</f>
        <v/>
      </c>
      <c r="BF19" s="46" t="n">
        <v>1</v>
      </c>
      <c r="BG19" s="53">
        <f>AU19*BA19*BE19*(skill_rel-1+skill_spill)/1000000</f>
        <v/>
      </c>
      <c r="BH19" s="53">
        <f>union_disp*(Champions!AP19+Champions!AZ19)*(1-IF(union_resp=2,mkt_cut*S19,0))</f>
        <v/>
      </c>
      <c r="BI19" s="53">
        <f>AY19*BA19*BE19/1000000</f>
        <v/>
      </c>
      <c r="BJ19" s="47">
        <f>V19*Economy!Q19*AZ19</f>
        <v/>
      </c>
      <c r="BK19" s="47">
        <f>MAX(0.3*BJ19,AX19*Economy!Q19*AZ19*BE19*BF19-BG19-BH19-BI19)</f>
        <v/>
      </c>
      <c r="BL19" s="63">
        <f>1-BK19/BJ19</f>
        <v/>
      </c>
      <c r="BM19" s="47">
        <f>MAX(0,BH19-BH18)*1000000/BA19</f>
        <v/>
      </c>
      <c r="BN19" s="47">
        <f>BN18*(1-IF(AND($A19&gt;=1930,$A19&lt;=1932),0,union_reabsorb))+BM19</f>
        <v/>
      </c>
      <c r="BO19" s="59" t="n">
        <v>0.04</v>
      </c>
      <c r="BP19" s="63">
        <f>BO19+BN19/(AX19*1000000*lf_rate)</f>
        <v/>
      </c>
    </row>
    <row r="20">
      <c r="A20" s="58" t="n">
        <v>1860</v>
      </c>
      <c r="B20" s="47">
        <f>Economy!B20*lf_rate</f>
        <v/>
      </c>
      <c r="C20" s="47">
        <f>Economy!O20*1000000/(B20+L20)</f>
        <v/>
      </c>
      <c r="D20" s="47">
        <f>Champions!AP20*1000000/(C20*champ_prem)</f>
        <v/>
      </c>
      <c r="E20" s="47">
        <f>D20*job_mult</f>
        <v/>
      </c>
      <c r="F20" s="47">
        <f>D20+E20</f>
        <v/>
      </c>
      <c r="G20" s="63">
        <f>F20/B20</f>
        <v/>
      </c>
      <c r="H20" s="47">
        <f>F20-F19</f>
        <v/>
      </c>
      <c r="I20" s="63">
        <f>MAX(0.005,pac_u_base*IF(Paths!AC20=1,pac_u_war,1)+(okun*(1-Economy!G20)*(B20+L20)-MAX(0,L19-L20))/B20)</f>
        <v/>
      </c>
      <c r="J20" s="47">
        <f>IF(AND(gw_on=1,$A20&gt;=gw_start),MIN(gw_cap*B19,gw_cover*F19+gw_gen*B19),0)</f>
        <v/>
      </c>
      <c r="K20" s="47">
        <f>L19*gw_conv</f>
        <v/>
      </c>
      <c r="L20" s="47">
        <f>MAX(0,L19-K20+gw_adj*(J20-L19))*MAX(0,1-gw_slump*(1-Economy!G20))</f>
        <v/>
      </c>
      <c r="M20" s="47">
        <f>MAX(0,L20-L19+L19/gw_term)</f>
        <v/>
      </c>
      <c r="N20" s="63">
        <f>L20/B20</f>
        <v/>
      </c>
      <c r="O20" s="53">
        <f>Economy!L20</f>
        <v/>
      </c>
      <c r="P20" s="53">
        <f>O20*gw_wage_share</f>
        <v/>
      </c>
      <c r="Q20" s="53">
        <f>P20*gw_levy</f>
        <v/>
      </c>
      <c r="R20" s="53">
        <f>P20*gw_remit</f>
        <v/>
      </c>
      <c r="S20" s="63">
        <f>IF(union_resp&gt;=1,MIN(1,MAX(0,($A20-resp_start)/(resp_full-resp_start))),0)</f>
        <v/>
      </c>
      <c r="T20" s="67">
        <f>Economy!R19</f>
        <v/>
      </c>
      <c r="U20" s="67">
        <f>MAX(0,T20-gap_base)</f>
        <v/>
      </c>
      <c r="V20" s="68" t="n">
        <v>21.53</v>
      </c>
      <c r="W20" s="47">
        <f>V20*1000000*lf_rate*union_skill_share</f>
        <v/>
      </c>
      <c r="X20" s="45" t="n">
        <v>0</v>
      </c>
      <c r="Y20" s="47">
        <f>IF(AND(mig_endo=1,$A20&gt;=talent_start),talent_rate_u*W20*U20*(1-(1-bd_keep)*S20),0)</f>
        <v/>
      </c>
      <c r="Z20" s="47">
        <f>IF(AND(mig_endo=1,$A20&gt;=talent_start),X20*MIN(0.5,talent_share_o*U20)*(1-eu_comp*S20),0)</f>
        <v/>
      </c>
      <c r="AA20" s="45" t="n">
        <v>0</v>
      </c>
      <c r="AB20" s="47">
        <f>IF(AND(mig_endo=1,$A20&gt;=talent_start),AA20*MIN(0.5,talent_share_a*U20),0)</f>
        <v/>
      </c>
      <c r="AC20" s="47">
        <f>entry_cap*People!B20</f>
        <v/>
      </c>
      <c r="AD20" s="47">
        <f>MIN(AC20,Y20+Z20+AB20)</f>
        <v/>
      </c>
      <c r="AE20" s="47">
        <f>IF(Y20+Z20+AB20&gt;0,AD20*Y20/(Y20+Z20+AB20),0)</f>
        <v/>
      </c>
      <c r="AF20" s="47">
        <f>IF(Y20+Z20+AB20&gt;0,AD20*AB20/(Y20+Z20+AB20),0)</f>
        <v/>
      </c>
      <c r="AG20" s="47">
        <f>AD20*family_mult</f>
        <v/>
      </c>
      <c r="AH20" s="47">
        <f>AH19*(1+Paths!C20)+AG20</f>
        <v/>
      </c>
      <c r="AI20" s="47">
        <f>IF(AND(mig_endo=1,$A20&gt;=talent_start),chain_rate*AH19,0)</f>
        <v/>
      </c>
      <c r="AJ20" s="47">
        <f>IF(AND(mig_endo=1,$A20&gt;=talent_start),IF(H19&gt;0,H19*job_fill,H19*job_return)*job_family,0)</f>
        <v/>
      </c>
      <c r="AK20" s="47">
        <f>K20*gw_conv_family</f>
        <v/>
      </c>
      <c r="AL20" s="47">
        <f>AG20+AI20+AJ20+AK20+AR20</f>
        <v/>
      </c>
      <c r="AM20" s="47">
        <f>AM19*(1-skill_ret)+AD20</f>
        <v/>
      </c>
      <c r="AN20" s="64">
        <f>AM20/B20</f>
        <v/>
      </c>
      <c r="AO20" s="64">
        <f>(skill_rel-1+skill_spill)*AM19/B19-AT20</f>
        <v/>
      </c>
      <c r="AP20" s="64">
        <f>talent_champ*AM19/(skill_base_share*B19)</f>
        <v/>
      </c>
      <c r="AQ20" s="45" t="n">
        <v>150000</v>
      </c>
      <c r="AR20" s="47">
        <f>IF(AND(div_on=1,$A20&gt;=div_start),AQ20*MIN(div_max,div_rate*U20)*(1-div_comp*S20),0)</f>
        <v/>
      </c>
      <c r="AS20" s="47">
        <f>AS19*(1-div_assim)+AR20</f>
        <v/>
      </c>
      <c r="AT20" s="64">
        <f>(1-div_rel)*AS19/Economy!B19</f>
        <v/>
      </c>
      <c r="AU20" s="47">
        <f>AU19*(1-skill_ret)+AE20</f>
        <v/>
      </c>
      <c r="AV20" s="47">
        <f>AV19*(1+union_nat)+AR20</f>
        <v/>
      </c>
      <c r="AW20" s="47">
        <f>AW19*(1+union_nat)+AE20*family_mult</f>
        <v/>
      </c>
      <c r="AX20" s="67">
        <f>V20-(AV20+AW20)/1000000</f>
        <v/>
      </c>
      <c r="AY20" s="47">
        <f>L20*gw_union</f>
        <v/>
      </c>
      <c r="AZ20" s="46" t="n">
        <v>1.117</v>
      </c>
      <c r="BA20" s="47">
        <f>Economy!Q20*AZ20/lf_rate</f>
        <v/>
      </c>
      <c r="BB20" s="64">
        <f>bd_growth*AU19/W19</f>
        <v/>
      </c>
      <c r="BC20" s="64">
        <f>tg_k*MIN(1,Economy!O19/BK19)</f>
        <v/>
      </c>
      <c r="BD20" s="64">
        <f>emu_g*S20</f>
        <v/>
      </c>
      <c r="BE20" s="65">
        <f>BE19*(1-BB20-BC20+BD20)</f>
        <v/>
      </c>
      <c r="BF20" s="46" t="n">
        <v>1</v>
      </c>
      <c r="BG20" s="53">
        <f>AU20*BA20*BE20*(skill_rel-1+skill_spill)/1000000</f>
        <v/>
      </c>
      <c r="BH20" s="53">
        <f>union_disp*(Champions!AP20+Champions!AZ20)*(1-IF(union_resp=2,mkt_cut*S20,0))</f>
        <v/>
      </c>
      <c r="BI20" s="53">
        <f>AY20*BA20*BE20/1000000</f>
        <v/>
      </c>
      <c r="BJ20" s="47">
        <f>V20*Economy!Q20*AZ20</f>
        <v/>
      </c>
      <c r="BK20" s="47">
        <f>MAX(0.3*BJ20,AX20*Economy!Q20*AZ20*BE20*BF20-BG20-BH20-BI20)</f>
        <v/>
      </c>
      <c r="BL20" s="63">
        <f>1-BK20/BJ20</f>
        <v/>
      </c>
      <c r="BM20" s="47">
        <f>MAX(0,BH20-BH19)*1000000/BA20</f>
        <v/>
      </c>
      <c r="BN20" s="47">
        <f>BN19*(1-IF(AND($A20&gt;=1930,$A20&lt;=1932),0,union_reabsorb))+BM20</f>
        <v/>
      </c>
      <c r="BO20" s="59" t="n">
        <v>0.04</v>
      </c>
      <c r="BP20" s="63">
        <f>BO20+BN20/(AX20*1000000*lf_rate)</f>
        <v/>
      </c>
    </row>
    <row r="21">
      <c r="A21" s="61" t="n">
        <v>1861</v>
      </c>
      <c r="B21" s="47">
        <f>Economy!B21*lf_rate</f>
        <v/>
      </c>
      <c r="C21" s="47">
        <f>Economy!O21*1000000/(B21+L21)</f>
        <v/>
      </c>
      <c r="D21" s="47">
        <f>Champions!AP21*1000000/(C21*champ_prem)</f>
        <v/>
      </c>
      <c r="E21" s="47">
        <f>D21*job_mult</f>
        <v/>
      </c>
      <c r="F21" s="47">
        <f>D21+E21</f>
        <v/>
      </c>
      <c r="G21" s="63">
        <f>F21/B21</f>
        <v/>
      </c>
      <c r="H21" s="47">
        <f>F21-F20</f>
        <v/>
      </c>
      <c r="I21" s="63">
        <f>MAX(0.005,pac_u_base*IF(Paths!AC21=1,pac_u_war,1)+(okun*(1-Economy!G21)*(B21+L21)-MAX(0,L20-L21))/B21)</f>
        <v/>
      </c>
      <c r="J21" s="47">
        <f>IF(AND(gw_on=1,$A21&gt;=gw_start),MIN(gw_cap*B20,gw_cover*F20+gw_gen*B20),0)</f>
        <v/>
      </c>
      <c r="K21" s="47">
        <f>L20*gw_conv</f>
        <v/>
      </c>
      <c r="L21" s="47">
        <f>MAX(0,L20-K21+gw_adj*(J21-L20))*MAX(0,1-gw_slump*(1-Economy!G21))</f>
        <v/>
      </c>
      <c r="M21" s="47">
        <f>MAX(0,L21-L20+L20/gw_term)</f>
        <v/>
      </c>
      <c r="N21" s="63">
        <f>L21/B21</f>
        <v/>
      </c>
      <c r="O21" s="53">
        <f>Economy!L21</f>
        <v/>
      </c>
      <c r="P21" s="53">
        <f>O21*gw_wage_share</f>
        <v/>
      </c>
      <c r="Q21" s="53">
        <f>P21*gw_levy</f>
        <v/>
      </c>
      <c r="R21" s="53">
        <f>P21*gw_remit</f>
        <v/>
      </c>
      <c r="S21" s="63">
        <f>IF(union_resp&gt;=1,MIN(1,MAX(0,($A21-resp_start)/(resp_full-resp_start))),0)</f>
        <v/>
      </c>
      <c r="T21" s="67">
        <f>Economy!R20</f>
        <v/>
      </c>
      <c r="U21" s="67">
        <f>MAX(0,T21-gap_base)</f>
        <v/>
      </c>
      <c r="V21" s="68" t="n">
        <v>22</v>
      </c>
      <c r="W21" s="47">
        <f>V21*1000000*lf_rate*union_skill_share</f>
        <v/>
      </c>
      <c r="X21" s="45" t="n">
        <v>0</v>
      </c>
      <c r="Y21" s="47">
        <f>IF(AND(mig_endo=1,$A21&gt;=talent_start),talent_rate_u*W21*U21*(1-(1-bd_keep)*S21),0)</f>
        <v/>
      </c>
      <c r="Z21" s="47">
        <f>IF(AND(mig_endo=1,$A21&gt;=talent_start),X21*MIN(0.5,talent_share_o*U21)*(1-eu_comp*S21),0)</f>
        <v/>
      </c>
      <c r="AA21" s="45" t="n">
        <v>0</v>
      </c>
      <c r="AB21" s="47">
        <f>IF(AND(mig_endo=1,$A21&gt;=talent_start),AA21*MIN(0.5,talent_share_a*U21),0)</f>
        <v/>
      </c>
      <c r="AC21" s="47">
        <f>entry_cap*People!B21</f>
        <v/>
      </c>
      <c r="AD21" s="47">
        <f>MIN(AC21,Y21+Z21+AB21)</f>
        <v/>
      </c>
      <c r="AE21" s="47">
        <f>IF(Y21+Z21+AB21&gt;0,AD21*Y21/(Y21+Z21+AB21),0)</f>
        <v/>
      </c>
      <c r="AF21" s="47">
        <f>IF(Y21+Z21+AB21&gt;0,AD21*AB21/(Y21+Z21+AB21),0)</f>
        <v/>
      </c>
      <c r="AG21" s="47">
        <f>AD21*family_mult</f>
        <v/>
      </c>
      <c r="AH21" s="47">
        <f>AH20*(1+Paths!C21)+AG21</f>
        <v/>
      </c>
      <c r="AI21" s="47">
        <f>IF(AND(mig_endo=1,$A21&gt;=talent_start),chain_rate*AH20,0)</f>
        <v/>
      </c>
      <c r="AJ21" s="47">
        <f>IF(AND(mig_endo=1,$A21&gt;=talent_start),IF(H20&gt;0,H20*job_fill,H20*job_return)*job_family,0)</f>
        <v/>
      </c>
      <c r="AK21" s="47">
        <f>K21*gw_conv_family</f>
        <v/>
      </c>
      <c r="AL21" s="47">
        <f>AG21+AI21+AJ21+AK21+AR21</f>
        <v/>
      </c>
      <c r="AM21" s="47">
        <f>AM20*(1-skill_ret)+AD21</f>
        <v/>
      </c>
      <c r="AN21" s="64">
        <f>AM21/B21</f>
        <v/>
      </c>
      <c r="AO21" s="64">
        <f>(skill_rel-1+skill_spill)*AM20/B20-AT21</f>
        <v/>
      </c>
      <c r="AP21" s="64">
        <f>talent_champ*AM20/(skill_base_share*B20)</f>
        <v/>
      </c>
      <c r="AQ21" s="45" t="n">
        <v>178000</v>
      </c>
      <c r="AR21" s="47">
        <f>IF(AND(div_on=1,$A21&gt;=div_start),AQ21*MIN(div_max,div_rate*U21)*(1-div_comp*S21),0)</f>
        <v/>
      </c>
      <c r="AS21" s="47">
        <f>AS20*(1-div_assim)+AR21</f>
        <v/>
      </c>
      <c r="AT21" s="64">
        <f>(1-div_rel)*AS20/Economy!B20</f>
        <v/>
      </c>
      <c r="AU21" s="47">
        <f>AU20*(1-skill_ret)+AE21</f>
        <v/>
      </c>
      <c r="AV21" s="47">
        <f>AV20*(1+union_nat)+AR21</f>
        <v/>
      </c>
      <c r="AW21" s="47">
        <f>AW20*(1+union_nat)+AE21*family_mult</f>
        <v/>
      </c>
      <c r="AX21" s="67">
        <f>V21-(AV21+AW21)/1000000</f>
        <v/>
      </c>
      <c r="AY21" s="47">
        <f>L21*gw_union</f>
        <v/>
      </c>
      <c r="AZ21" s="46" t="n">
        <v>1.117</v>
      </c>
      <c r="BA21" s="47">
        <f>Economy!Q21*AZ21/lf_rate</f>
        <v/>
      </c>
      <c r="BB21" s="64">
        <f>bd_growth*AU20/W20</f>
        <v/>
      </c>
      <c r="BC21" s="64">
        <f>tg_k*MIN(1,Economy!O20/BK20)</f>
        <v/>
      </c>
      <c r="BD21" s="64">
        <f>emu_g*S21</f>
        <v/>
      </c>
      <c r="BE21" s="65">
        <f>BE20*(1-BB21-BC21+BD21)</f>
        <v/>
      </c>
      <c r="BF21" s="46" t="n">
        <v>1</v>
      </c>
      <c r="BG21" s="53">
        <f>AU21*BA21*BE21*(skill_rel-1+skill_spill)/1000000</f>
        <v/>
      </c>
      <c r="BH21" s="53">
        <f>union_disp*(Champions!AP21+Champions!AZ21)*(1-IF(union_resp=2,mkt_cut*S21,0))</f>
        <v/>
      </c>
      <c r="BI21" s="53">
        <f>AY21*BA21*BE21/1000000</f>
        <v/>
      </c>
      <c r="BJ21" s="47">
        <f>V21*Economy!Q21*AZ21</f>
        <v/>
      </c>
      <c r="BK21" s="47">
        <f>MAX(0.3*BJ21,AX21*Economy!Q21*AZ21*BE21*BF21-BG21-BH21-BI21)</f>
        <v/>
      </c>
      <c r="BL21" s="63">
        <f>1-BK21/BJ21</f>
        <v/>
      </c>
      <c r="BM21" s="47">
        <f>MAX(0,BH21-BH20)*1000000/BA21</f>
        <v/>
      </c>
      <c r="BN21" s="47">
        <f>BN20*(1-IF(AND($A21&gt;=1930,$A21&lt;=1932),0,union_reabsorb))+BM21</f>
        <v/>
      </c>
      <c r="BO21" s="59" t="n">
        <v>0.04</v>
      </c>
      <c r="BP21" s="63">
        <f>BO21+BN21/(AX21*1000000*lf_rate)</f>
        <v/>
      </c>
    </row>
    <row r="22">
      <c r="A22" s="61" t="n">
        <v>1862</v>
      </c>
      <c r="B22" s="47">
        <f>Economy!B22*lf_rate</f>
        <v/>
      </c>
      <c r="C22" s="47">
        <f>Economy!O22*1000000/(B22+L22)</f>
        <v/>
      </c>
      <c r="D22" s="47">
        <f>Champions!AP22*1000000/(C22*champ_prem)</f>
        <v/>
      </c>
      <c r="E22" s="47">
        <f>D22*job_mult</f>
        <v/>
      </c>
      <c r="F22" s="47">
        <f>D22+E22</f>
        <v/>
      </c>
      <c r="G22" s="63">
        <f>F22/B22</f>
        <v/>
      </c>
      <c r="H22" s="47">
        <f>F22-F21</f>
        <v/>
      </c>
      <c r="I22" s="63">
        <f>MAX(0.005,pac_u_base*IF(Paths!AC22=1,pac_u_war,1)+(okun*(1-Economy!G22)*(B22+L22)-MAX(0,L21-L22))/B22)</f>
        <v/>
      </c>
      <c r="J22" s="47">
        <f>IF(AND(gw_on=1,$A22&gt;=gw_start),MIN(gw_cap*B21,gw_cover*F21+gw_gen*B21),0)</f>
        <v/>
      </c>
      <c r="K22" s="47">
        <f>L21*gw_conv</f>
        <v/>
      </c>
      <c r="L22" s="47">
        <f>MAX(0,L21-K22+gw_adj*(J22-L21))*MAX(0,1-gw_slump*(1-Economy!G22))</f>
        <v/>
      </c>
      <c r="M22" s="47">
        <f>MAX(0,L22-L21+L21/gw_term)</f>
        <v/>
      </c>
      <c r="N22" s="63">
        <f>L22/B22</f>
        <v/>
      </c>
      <c r="O22" s="53">
        <f>Economy!L22</f>
        <v/>
      </c>
      <c r="P22" s="53">
        <f>O22*gw_wage_share</f>
        <v/>
      </c>
      <c r="Q22" s="53">
        <f>P22*gw_levy</f>
        <v/>
      </c>
      <c r="R22" s="53">
        <f>P22*gw_remit</f>
        <v/>
      </c>
      <c r="S22" s="63">
        <f>IF(union_resp&gt;=1,MIN(1,MAX(0,($A22-resp_start)/(resp_full-resp_start))),0)</f>
        <v/>
      </c>
      <c r="T22" s="67">
        <f>Economy!R21</f>
        <v/>
      </c>
      <c r="U22" s="67">
        <f>MAX(0,T22-gap_base)</f>
        <v/>
      </c>
      <c r="V22" s="68" t="n">
        <v>22.75</v>
      </c>
      <c r="W22" s="47">
        <f>V22*1000000*lf_rate*union_skill_share</f>
        <v/>
      </c>
      <c r="X22" s="45" t="n">
        <v>0</v>
      </c>
      <c r="Y22" s="47">
        <f>IF(AND(mig_endo=1,$A22&gt;=talent_start),talent_rate_u*W22*U22*(1-(1-bd_keep)*S22),0)</f>
        <v/>
      </c>
      <c r="Z22" s="47">
        <f>IF(AND(mig_endo=1,$A22&gt;=talent_start),X22*MIN(0.5,talent_share_o*U22)*(1-eu_comp*S22),0)</f>
        <v/>
      </c>
      <c r="AA22" s="45" t="n">
        <v>0</v>
      </c>
      <c r="AB22" s="47">
        <f>IF(AND(mig_endo=1,$A22&gt;=talent_start),AA22*MIN(0.5,talent_share_a*U22),0)</f>
        <v/>
      </c>
      <c r="AC22" s="47">
        <f>entry_cap*People!B22</f>
        <v/>
      </c>
      <c r="AD22" s="47">
        <f>MIN(AC22,Y22+Z22+AB22)</f>
        <v/>
      </c>
      <c r="AE22" s="47">
        <f>IF(Y22+Z22+AB22&gt;0,AD22*Y22/(Y22+Z22+AB22),0)</f>
        <v/>
      </c>
      <c r="AF22" s="47">
        <f>IF(Y22+Z22+AB22&gt;0,AD22*AB22/(Y22+Z22+AB22),0)</f>
        <v/>
      </c>
      <c r="AG22" s="47">
        <f>AD22*family_mult</f>
        <v/>
      </c>
      <c r="AH22" s="47">
        <f>AH21*(1+Paths!C22)+AG22</f>
        <v/>
      </c>
      <c r="AI22" s="47">
        <f>IF(AND(mig_endo=1,$A22&gt;=talent_start),chain_rate*AH21,0)</f>
        <v/>
      </c>
      <c r="AJ22" s="47">
        <f>IF(AND(mig_endo=1,$A22&gt;=talent_start),IF(H21&gt;0,H21*job_fill,H21*job_return)*job_family,0)</f>
        <v/>
      </c>
      <c r="AK22" s="47">
        <f>K22*gw_conv_family</f>
        <v/>
      </c>
      <c r="AL22" s="47">
        <f>AG22+AI22+AJ22+AK22+AR22</f>
        <v/>
      </c>
      <c r="AM22" s="47">
        <f>AM21*(1-skill_ret)+AD22</f>
        <v/>
      </c>
      <c r="AN22" s="64">
        <f>AM22/B22</f>
        <v/>
      </c>
      <c r="AO22" s="64">
        <f>(skill_rel-1+skill_spill)*AM21/B21-AT22</f>
        <v/>
      </c>
      <c r="AP22" s="64">
        <f>talent_champ*AM21/(skill_base_share*B21)</f>
        <v/>
      </c>
      <c r="AQ22" s="45" t="n">
        <v>207000</v>
      </c>
      <c r="AR22" s="47">
        <f>IF(AND(div_on=1,$A22&gt;=div_start),AQ22*MIN(div_max,div_rate*U22)*(1-div_comp*S22),0)</f>
        <v/>
      </c>
      <c r="AS22" s="47">
        <f>AS21*(1-div_assim)+AR22</f>
        <v/>
      </c>
      <c r="AT22" s="64">
        <f>(1-div_rel)*AS21/Economy!B21</f>
        <v/>
      </c>
      <c r="AU22" s="47">
        <f>AU21*(1-skill_ret)+AE22</f>
        <v/>
      </c>
      <c r="AV22" s="47">
        <f>AV21*(1+union_nat)+AR22</f>
        <v/>
      </c>
      <c r="AW22" s="47">
        <f>AW21*(1+union_nat)+AE22*family_mult</f>
        <v/>
      </c>
      <c r="AX22" s="67">
        <f>V22-(AV22+AW22)/1000000</f>
        <v/>
      </c>
      <c r="AY22" s="47">
        <f>L22*gw_union</f>
        <v/>
      </c>
      <c r="AZ22" s="46" t="n">
        <v>1.117</v>
      </c>
      <c r="BA22" s="47">
        <f>Economy!Q22*AZ22/lf_rate</f>
        <v/>
      </c>
      <c r="BB22" s="64">
        <f>bd_growth*AU21/W21</f>
        <v/>
      </c>
      <c r="BC22" s="64">
        <f>tg_k*MIN(1,Economy!O21/BK21)</f>
        <v/>
      </c>
      <c r="BD22" s="64">
        <f>emu_g*S22</f>
        <v/>
      </c>
      <c r="BE22" s="65">
        <f>BE21*(1-BB22-BC22+BD22)</f>
        <v/>
      </c>
      <c r="BF22" s="46" t="n">
        <v>1</v>
      </c>
      <c r="BG22" s="53">
        <f>AU22*BA22*BE22*(skill_rel-1+skill_spill)/1000000</f>
        <v/>
      </c>
      <c r="BH22" s="53">
        <f>union_disp*(Champions!AP22+Champions!AZ22)*(1-IF(union_resp=2,mkt_cut*S22,0))</f>
        <v/>
      </c>
      <c r="BI22" s="53">
        <f>AY22*BA22*BE22/1000000</f>
        <v/>
      </c>
      <c r="BJ22" s="47">
        <f>V22*Economy!Q22*AZ22</f>
        <v/>
      </c>
      <c r="BK22" s="47">
        <f>MAX(0.3*BJ22,AX22*Economy!Q22*AZ22*BE22*BF22-BG22-BH22-BI22)</f>
        <v/>
      </c>
      <c r="BL22" s="63">
        <f>1-BK22/BJ22</f>
        <v/>
      </c>
      <c r="BM22" s="47">
        <f>MAX(0,BH22-BH21)*1000000/BA22</f>
        <v/>
      </c>
      <c r="BN22" s="47">
        <f>BN21*(1-IF(AND($A22&gt;=1930,$A22&lt;=1932),0,union_reabsorb))+BM22</f>
        <v/>
      </c>
      <c r="BO22" s="59" t="n">
        <v>0.04</v>
      </c>
      <c r="BP22" s="63">
        <f>BO22+BN22/(AX22*1000000*lf_rate)</f>
        <v/>
      </c>
    </row>
    <row r="23">
      <c r="A23" s="61" t="n">
        <v>1863</v>
      </c>
      <c r="B23" s="47">
        <f>Economy!B23*lf_rate</f>
        <v/>
      </c>
      <c r="C23" s="47">
        <f>Economy!O23*1000000/(B23+L23)</f>
        <v/>
      </c>
      <c r="D23" s="47">
        <f>Champions!AP23*1000000/(C23*champ_prem)</f>
        <v/>
      </c>
      <c r="E23" s="47">
        <f>D23*job_mult</f>
        <v/>
      </c>
      <c r="F23" s="47">
        <f>D23+E23</f>
        <v/>
      </c>
      <c r="G23" s="63">
        <f>F23/B23</f>
        <v/>
      </c>
      <c r="H23" s="47">
        <f>F23-F22</f>
        <v/>
      </c>
      <c r="I23" s="63">
        <f>MAX(0.005,pac_u_base*IF(Paths!AC23=1,pac_u_war,1)+(okun*(1-Economy!G23)*(B23+L23)-MAX(0,L22-L23))/B23)</f>
        <v/>
      </c>
      <c r="J23" s="47">
        <f>IF(AND(gw_on=1,$A23&gt;=gw_start),MIN(gw_cap*B22,gw_cover*F22+gw_gen*B22),0)</f>
        <v/>
      </c>
      <c r="K23" s="47">
        <f>L22*gw_conv</f>
        <v/>
      </c>
      <c r="L23" s="47">
        <f>MAX(0,L22-K23+gw_adj*(J23-L22))*MAX(0,1-gw_slump*(1-Economy!G23))</f>
        <v/>
      </c>
      <c r="M23" s="47">
        <f>MAX(0,L23-L22+L22/gw_term)</f>
        <v/>
      </c>
      <c r="N23" s="63">
        <f>L23/B23</f>
        <v/>
      </c>
      <c r="O23" s="53">
        <f>Economy!L23</f>
        <v/>
      </c>
      <c r="P23" s="53">
        <f>O23*gw_wage_share</f>
        <v/>
      </c>
      <c r="Q23" s="53">
        <f>P23*gw_levy</f>
        <v/>
      </c>
      <c r="R23" s="53">
        <f>P23*gw_remit</f>
        <v/>
      </c>
      <c r="S23" s="63">
        <f>IF(union_resp&gt;=1,MIN(1,MAX(0,($A23-resp_start)/(resp_full-resp_start))),0)</f>
        <v/>
      </c>
      <c r="T23" s="67">
        <f>Economy!R22</f>
        <v/>
      </c>
      <c r="U23" s="67">
        <f>MAX(0,T23-gap_base)</f>
        <v/>
      </c>
      <c r="V23" s="68" t="n">
        <v>23.5</v>
      </c>
      <c r="W23" s="47">
        <f>V23*1000000*lf_rate*union_skill_share</f>
        <v/>
      </c>
      <c r="X23" s="45" t="n">
        <v>0</v>
      </c>
      <c r="Y23" s="47">
        <f>IF(AND(mig_endo=1,$A23&gt;=talent_start),talent_rate_u*W23*U23*(1-(1-bd_keep)*S23),0)</f>
        <v/>
      </c>
      <c r="Z23" s="47">
        <f>IF(AND(mig_endo=1,$A23&gt;=talent_start),X23*MIN(0.5,talent_share_o*U23)*(1-eu_comp*S23),0)</f>
        <v/>
      </c>
      <c r="AA23" s="45" t="n">
        <v>0</v>
      </c>
      <c r="AB23" s="47">
        <f>IF(AND(mig_endo=1,$A23&gt;=talent_start),AA23*MIN(0.5,talent_share_a*U23),0)</f>
        <v/>
      </c>
      <c r="AC23" s="47">
        <f>entry_cap*People!B23</f>
        <v/>
      </c>
      <c r="AD23" s="47">
        <f>MIN(AC23,Y23+Z23+AB23)</f>
        <v/>
      </c>
      <c r="AE23" s="47">
        <f>IF(Y23+Z23+AB23&gt;0,AD23*Y23/(Y23+Z23+AB23),0)</f>
        <v/>
      </c>
      <c r="AF23" s="47">
        <f>IF(Y23+Z23+AB23&gt;0,AD23*AB23/(Y23+Z23+AB23),0)</f>
        <v/>
      </c>
      <c r="AG23" s="47">
        <f>AD23*family_mult</f>
        <v/>
      </c>
      <c r="AH23" s="47">
        <f>AH22*(1+Paths!C23)+AG23</f>
        <v/>
      </c>
      <c r="AI23" s="47">
        <f>IF(AND(mig_endo=1,$A23&gt;=talent_start),chain_rate*AH22,0)</f>
        <v/>
      </c>
      <c r="AJ23" s="47">
        <f>IF(AND(mig_endo=1,$A23&gt;=talent_start),IF(H22&gt;0,H22*job_fill,H22*job_return)*job_family,0)</f>
        <v/>
      </c>
      <c r="AK23" s="47">
        <f>K23*gw_conv_family</f>
        <v/>
      </c>
      <c r="AL23" s="47">
        <f>AG23+AI23+AJ23+AK23+AR23</f>
        <v/>
      </c>
      <c r="AM23" s="47">
        <f>AM22*(1-skill_ret)+AD23</f>
        <v/>
      </c>
      <c r="AN23" s="64">
        <f>AM23/B23</f>
        <v/>
      </c>
      <c r="AO23" s="64">
        <f>(skill_rel-1+skill_spill)*AM22/B22-AT23</f>
        <v/>
      </c>
      <c r="AP23" s="64">
        <f>talent_champ*AM22/(skill_base_share*B22)</f>
        <v/>
      </c>
      <c r="AQ23" s="45" t="n">
        <v>235000</v>
      </c>
      <c r="AR23" s="47">
        <f>IF(AND(div_on=1,$A23&gt;=div_start),AQ23*MIN(div_max,div_rate*U23)*(1-div_comp*S23),0)</f>
        <v/>
      </c>
      <c r="AS23" s="47">
        <f>AS22*(1-div_assim)+AR23</f>
        <v/>
      </c>
      <c r="AT23" s="64">
        <f>(1-div_rel)*AS22/Economy!B22</f>
        <v/>
      </c>
      <c r="AU23" s="47">
        <f>AU22*(1-skill_ret)+AE23</f>
        <v/>
      </c>
      <c r="AV23" s="47">
        <f>AV22*(1+union_nat)+AR23</f>
        <v/>
      </c>
      <c r="AW23" s="47">
        <f>AW22*(1+union_nat)+AE23*family_mult</f>
        <v/>
      </c>
      <c r="AX23" s="67">
        <f>V23-(AV23+AW23)/1000000</f>
        <v/>
      </c>
      <c r="AY23" s="47">
        <f>L23*gw_union</f>
        <v/>
      </c>
      <c r="AZ23" s="46" t="n">
        <v>1.116</v>
      </c>
      <c r="BA23" s="47">
        <f>Economy!Q23*AZ23/lf_rate</f>
        <v/>
      </c>
      <c r="BB23" s="64">
        <f>bd_growth*AU22/W22</f>
        <v/>
      </c>
      <c r="BC23" s="64">
        <f>tg_k*MIN(1,Economy!O22/BK22)</f>
        <v/>
      </c>
      <c r="BD23" s="64">
        <f>emu_g*S23</f>
        <v/>
      </c>
      <c r="BE23" s="65">
        <f>BE22*(1-BB23-BC23+BD23)</f>
        <v/>
      </c>
      <c r="BF23" s="46" t="n">
        <v>1</v>
      </c>
      <c r="BG23" s="53">
        <f>AU23*BA23*BE23*(skill_rel-1+skill_spill)/1000000</f>
        <v/>
      </c>
      <c r="BH23" s="53">
        <f>union_disp*(Champions!AP23+Champions!AZ23)*(1-IF(union_resp=2,mkt_cut*S23,0))</f>
        <v/>
      </c>
      <c r="BI23" s="53">
        <f>AY23*BA23*BE23/1000000</f>
        <v/>
      </c>
      <c r="BJ23" s="47">
        <f>V23*Economy!Q23*AZ23</f>
        <v/>
      </c>
      <c r="BK23" s="47">
        <f>MAX(0.3*BJ23,AX23*Economy!Q23*AZ23*BE23*BF23-BG23-BH23-BI23)</f>
        <v/>
      </c>
      <c r="BL23" s="63">
        <f>1-BK23/BJ23</f>
        <v/>
      </c>
      <c r="BM23" s="47">
        <f>MAX(0,BH23-BH22)*1000000/BA23</f>
        <v/>
      </c>
      <c r="BN23" s="47">
        <f>BN22*(1-IF(AND($A23&gt;=1930,$A23&lt;=1932),0,union_reabsorb))+BM23</f>
        <v/>
      </c>
      <c r="BO23" s="59" t="n">
        <v>0.04</v>
      </c>
      <c r="BP23" s="63">
        <f>BO23+BN23/(AX23*1000000*lf_rate)</f>
        <v/>
      </c>
    </row>
    <row r="24">
      <c r="A24" s="61" t="n">
        <v>1864</v>
      </c>
      <c r="B24" s="47">
        <f>Economy!B24*lf_rate</f>
        <v/>
      </c>
      <c r="C24" s="47">
        <f>Economy!O24*1000000/(B24+L24)</f>
        <v/>
      </c>
      <c r="D24" s="47">
        <f>Champions!AP24*1000000/(C24*champ_prem)</f>
        <v/>
      </c>
      <c r="E24" s="47">
        <f>D24*job_mult</f>
        <v/>
      </c>
      <c r="F24" s="47">
        <f>D24+E24</f>
        <v/>
      </c>
      <c r="G24" s="63">
        <f>F24/B24</f>
        <v/>
      </c>
      <c r="H24" s="47">
        <f>F24-F23</f>
        <v/>
      </c>
      <c r="I24" s="63">
        <f>MAX(0.005,pac_u_base*IF(Paths!AC24=1,pac_u_war,1)+(okun*(1-Economy!G24)*(B24+L24)-MAX(0,L23-L24))/B24)</f>
        <v/>
      </c>
      <c r="J24" s="47">
        <f>IF(AND(gw_on=1,$A24&gt;=gw_start),MIN(gw_cap*B23,gw_cover*F23+gw_gen*B23),0)</f>
        <v/>
      </c>
      <c r="K24" s="47">
        <f>L23*gw_conv</f>
        <v/>
      </c>
      <c r="L24" s="47">
        <f>MAX(0,L23-K24+gw_adj*(J24-L23))*MAX(0,1-gw_slump*(1-Economy!G24))</f>
        <v/>
      </c>
      <c r="M24" s="47">
        <f>MAX(0,L24-L23+L23/gw_term)</f>
        <v/>
      </c>
      <c r="N24" s="63">
        <f>L24/B24</f>
        <v/>
      </c>
      <c r="O24" s="53">
        <f>Economy!L24</f>
        <v/>
      </c>
      <c r="P24" s="53">
        <f>O24*gw_wage_share</f>
        <v/>
      </c>
      <c r="Q24" s="53">
        <f>P24*gw_levy</f>
        <v/>
      </c>
      <c r="R24" s="53">
        <f>P24*gw_remit</f>
        <v/>
      </c>
      <c r="S24" s="63">
        <f>IF(union_resp&gt;=1,MIN(1,MAX(0,($A24-resp_start)/(resp_full-resp_start))),0)</f>
        <v/>
      </c>
      <c r="T24" s="67">
        <f>Economy!R23</f>
        <v/>
      </c>
      <c r="U24" s="67">
        <f>MAX(0,T24-gap_base)</f>
        <v/>
      </c>
      <c r="V24" s="68" t="n">
        <v>24.25</v>
      </c>
      <c r="W24" s="47">
        <f>V24*1000000*lf_rate*union_skill_share</f>
        <v/>
      </c>
      <c r="X24" s="45" t="n">
        <v>0</v>
      </c>
      <c r="Y24" s="47">
        <f>IF(AND(mig_endo=1,$A24&gt;=talent_start),talent_rate_u*W24*U24*(1-(1-bd_keep)*S24),0)</f>
        <v/>
      </c>
      <c r="Z24" s="47">
        <f>IF(AND(mig_endo=1,$A24&gt;=talent_start),X24*MIN(0.5,talent_share_o*U24)*(1-eu_comp*S24),0)</f>
        <v/>
      </c>
      <c r="AA24" s="45" t="n">
        <v>0</v>
      </c>
      <c r="AB24" s="47">
        <f>IF(AND(mig_endo=1,$A24&gt;=talent_start),AA24*MIN(0.5,talent_share_a*U24),0)</f>
        <v/>
      </c>
      <c r="AC24" s="47">
        <f>entry_cap*People!B24</f>
        <v/>
      </c>
      <c r="AD24" s="47">
        <f>MIN(AC24,Y24+Z24+AB24)</f>
        <v/>
      </c>
      <c r="AE24" s="47">
        <f>IF(Y24+Z24+AB24&gt;0,AD24*Y24/(Y24+Z24+AB24),0)</f>
        <v/>
      </c>
      <c r="AF24" s="47">
        <f>IF(Y24+Z24+AB24&gt;0,AD24*AB24/(Y24+Z24+AB24),0)</f>
        <v/>
      </c>
      <c r="AG24" s="47">
        <f>AD24*family_mult</f>
        <v/>
      </c>
      <c r="AH24" s="47">
        <f>AH23*(1+Paths!C24)+AG24</f>
        <v/>
      </c>
      <c r="AI24" s="47">
        <f>IF(AND(mig_endo=1,$A24&gt;=talent_start),chain_rate*AH23,0)</f>
        <v/>
      </c>
      <c r="AJ24" s="47">
        <f>IF(AND(mig_endo=1,$A24&gt;=talent_start),IF(H23&gt;0,H23*job_fill,H23*job_return)*job_family,0)</f>
        <v/>
      </c>
      <c r="AK24" s="47">
        <f>K24*gw_conv_family</f>
        <v/>
      </c>
      <c r="AL24" s="47">
        <f>AG24+AI24+AJ24+AK24+AR24</f>
        <v/>
      </c>
      <c r="AM24" s="47">
        <f>AM23*(1-skill_ret)+AD24</f>
        <v/>
      </c>
      <c r="AN24" s="64">
        <f>AM24/B24</f>
        <v/>
      </c>
      <c r="AO24" s="64">
        <f>(skill_rel-1+skill_spill)*AM23/B23-AT24</f>
        <v/>
      </c>
      <c r="AP24" s="64">
        <f>talent_champ*AM23/(skill_base_share*B23)</f>
        <v/>
      </c>
      <c r="AQ24" s="45" t="n">
        <v>263000</v>
      </c>
      <c r="AR24" s="47">
        <f>IF(AND(div_on=1,$A24&gt;=div_start),AQ24*MIN(div_max,div_rate*U24)*(1-div_comp*S24),0)</f>
        <v/>
      </c>
      <c r="AS24" s="47">
        <f>AS23*(1-div_assim)+AR24</f>
        <v/>
      </c>
      <c r="AT24" s="64">
        <f>(1-div_rel)*AS23/Economy!B23</f>
        <v/>
      </c>
      <c r="AU24" s="47">
        <f>AU23*(1-skill_ret)+AE24</f>
        <v/>
      </c>
      <c r="AV24" s="47">
        <f>AV23*(1+union_nat)+AR24</f>
        <v/>
      </c>
      <c r="AW24" s="47">
        <f>AW23*(1+union_nat)+AE24*family_mult</f>
        <v/>
      </c>
      <c r="AX24" s="67">
        <f>V24-(AV24+AW24)/1000000</f>
        <v/>
      </c>
      <c r="AY24" s="47">
        <f>L24*gw_union</f>
        <v/>
      </c>
      <c r="AZ24" s="46" t="n">
        <v>1.116</v>
      </c>
      <c r="BA24" s="47">
        <f>Economy!Q24*AZ24/lf_rate</f>
        <v/>
      </c>
      <c r="BB24" s="64">
        <f>bd_growth*AU23/W23</f>
        <v/>
      </c>
      <c r="BC24" s="64">
        <f>tg_k*MIN(1,Economy!O23/BK23)</f>
        <v/>
      </c>
      <c r="BD24" s="64">
        <f>emu_g*S24</f>
        <v/>
      </c>
      <c r="BE24" s="65">
        <f>BE23*(1-BB24-BC24+BD24)</f>
        <v/>
      </c>
      <c r="BF24" s="46" t="n">
        <v>1</v>
      </c>
      <c r="BG24" s="53">
        <f>AU24*BA24*BE24*(skill_rel-1+skill_spill)/1000000</f>
        <v/>
      </c>
      <c r="BH24" s="53">
        <f>union_disp*(Champions!AP24+Champions!AZ24)*(1-IF(union_resp=2,mkt_cut*S24,0))</f>
        <v/>
      </c>
      <c r="BI24" s="53">
        <f>AY24*BA24*BE24/1000000</f>
        <v/>
      </c>
      <c r="BJ24" s="47">
        <f>V24*Economy!Q24*AZ24</f>
        <v/>
      </c>
      <c r="BK24" s="47">
        <f>MAX(0.3*BJ24,AX24*Economy!Q24*AZ24*BE24*BF24-BG24-BH24-BI24)</f>
        <v/>
      </c>
      <c r="BL24" s="63">
        <f>1-BK24/BJ24</f>
        <v/>
      </c>
      <c r="BM24" s="47">
        <f>MAX(0,BH24-BH23)*1000000/BA24</f>
        <v/>
      </c>
      <c r="BN24" s="47">
        <f>BN23*(1-IF(AND($A24&gt;=1930,$A24&lt;=1932),0,union_reabsorb))+BM24</f>
        <v/>
      </c>
      <c r="BO24" s="59" t="n">
        <v>0.04</v>
      </c>
      <c r="BP24" s="63">
        <f>BO24+BN24/(AX24*1000000*lf_rate)</f>
        <v/>
      </c>
    </row>
    <row r="25">
      <c r="A25" s="61" t="n">
        <v>1865</v>
      </c>
      <c r="B25" s="47">
        <f>Economy!B25*lf_rate</f>
        <v/>
      </c>
      <c r="C25" s="47">
        <f>Economy!O25*1000000/(B25+L25)</f>
        <v/>
      </c>
      <c r="D25" s="47">
        <f>Champions!AP25*1000000/(C25*champ_prem)</f>
        <v/>
      </c>
      <c r="E25" s="47">
        <f>D25*job_mult</f>
        <v/>
      </c>
      <c r="F25" s="47">
        <f>D25+E25</f>
        <v/>
      </c>
      <c r="G25" s="63">
        <f>F25/B25</f>
        <v/>
      </c>
      <c r="H25" s="47">
        <f>F25-F24</f>
        <v/>
      </c>
      <c r="I25" s="63">
        <f>MAX(0.005,pac_u_base*IF(Paths!AC25=1,pac_u_war,1)+(okun*(1-Economy!G25)*(B25+L25)-MAX(0,L24-L25))/B25)</f>
        <v/>
      </c>
      <c r="J25" s="47">
        <f>IF(AND(gw_on=1,$A25&gt;=gw_start),MIN(gw_cap*B24,gw_cover*F24+gw_gen*B24),0)</f>
        <v/>
      </c>
      <c r="K25" s="47">
        <f>L24*gw_conv</f>
        <v/>
      </c>
      <c r="L25" s="47">
        <f>MAX(0,L24-K25+gw_adj*(J25-L24))*MAX(0,1-gw_slump*(1-Economy!G25))</f>
        <v/>
      </c>
      <c r="M25" s="47">
        <f>MAX(0,L25-L24+L24/gw_term)</f>
        <v/>
      </c>
      <c r="N25" s="63">
        <f>L25/B25</f>
        <v/>
      </c>
      <c r="O25" s="53">
        <f>Economy!L25</f>
        <v/>
      </c>
      <c r="P25" s="53">
        <f>O25*gw_wage_share</f>
        <v/>
      </c>
      <c r="Q25" s="53">
        <f>P25*gw_levy</f>
        <v/>
      </c>
      <c r="R25" s="53">
        <f>P25*gw_remit</f>
        <v/>
      </c>
      <c r="S25" s="63">
        <f>IF(union_resp&gt;=1,MIN(1,MAX(0,($A25-resp_start)/(resp_full-resp_start))),0)</f>
        <v/>
      </c>
      <c r="T25" s="67">
        <f>Economy!R24</f>
        <v/>
      </c>
      <c r="U25" s="67">
        <f>MAX(0,T25-gap_base)</f>
        <v/>
      </c>
      <c r="V25" s="68" t="n">
        <v>25</v>
      </c>
      <c r="W25" s="47">
        <f>V25*1000000*lf_rate*union_skill_share</f>
        <v/>
      </c>
      <c r="X25" s="45" t="n">
        <v>0</v>
      </c>
      <c r="Y25" s="47">
        <f>IF(AND(mig_endo=1,$A25&gt;=talent_start),talent_rate_u*W25*U25*(1-(1-bd_keep)*S25),0)</f>
        <v/>
      </c>
      <c r="Z25" s="47">
        <f>IF(AND(mig_endo=1,$A25&gt;=talent_start),X25*MIN(0.5,talent_share_o*U25)*(1-eu_comp*S25),0)</f>
        <v/>
      </c>
      <c r="AA25" s="45" t="n">
        <v>0</v>
      </c>
      <c r="AB25" s="47">
        <f>IF(AND(mig_endo=1,$A25&gt;=talent_start),AA25*MIN(0.5,talent_share_a*U25),0)</f>
        <v/>
      </c>
      <c r="AC25" s="47">
        <f>entry_cap*People!B25</f>
        <v/>
      </c>
      <c r="AD25" s="47">
        <f>MIN(AC25,Y25+Z25+AB25)</f>
        <v/>
      </c>
      <c r="AE25" s="47">
        <f>IF(Y25+Z25+AB25&gt;0,AD25*Y25/(Y25+Z25+AB25),0)</f>
        <v/>
      </c>
      <c r="AF25" s="47">
        <f>IF(Y25+Z25+AB25&gt;0,AD25*AB25/(Y25+Z25+AB25),0)</f>
        <v/>
      </c>
      <c r="AG25" s="47">
        <f>AD25*family_mult</f>
        <v/>
      </c>
      <c r="AH25" s="47">
        <f>AH24*(1+Paths!C25)+AG25</f>
        <v/>
      </c>
      <c r="AI25" s="47">
        <f>IF(AND(mig_endo=1,$A25&gt;=talent_start),chain_rate*AH24,0)</f>
        <v/>
      </c>
      <c r="AJ25" s="47">
        <f>IF(AND(mig_endo=1,$A25&gt;=talent_start),IF(H24&gt;0,H24*job_fill,H24*job_return)*job_family,0)</f>
        <v/>
      </c>
      <c r="AK25" s="47">
        <f>K25*gw_conv_family</f>
        <v/>
      </c>
      <c r="AL25" s="47">
        <f>AG25+AI25+AJ25+AK25+AR25</f>
        <v/>
      </c>
      <c r="AM25" s="47">
        <f>AM24*(1-skill_ret)+AD25</f>
        <v/>
      </c>
      <c r="AN25" s="64">
        <f>AM25/B25</f>
        <v/>
      </c>
      <c r="AO25" s="64">
        <f>(skill_rel-1+skill_spill)*AM24/B24-AT25</f>
        <v/>
      </c>
      <c r="AP25" s="64">
        <f>talent_champ*AM24/(skill_base_share*B24)</f>
        <v/>
      </c>
      <c r="AQ25" s="45" t="n">
        <v>292000</v>
      </c>
      <c r="AR25" s="47">
        <f>IF(AND(div_on=1,$A25&gt;=div_start),AQ25*MIN(div_max,div_rate*U25)*(1-div_comp*S25),0)</f>
        <v/>
      </c>
      <c r="AS25" s="47">
        <f>AS24*(1-div_assim)+AR25</f>
        <v/>
      </c>
      <c r="AT25" s="64">
        <f>(1-div_rel)*AS24/Economy!B24</f>
        <v/>
      </c>
      <c r="AU25" s="47">
        <f>AU24*(1-skill_ret)+AE25</f>
        <v/>
      </c>
      <c r="AV25" s="47">
        <f>AV24*(1+union_nat)+AR25</f>
        <v/>
      </c>
      <c r="AW25" s="47">
        <f>AW24*(1+union_nat)+AE25*family_mult</f>
        <v/>
      </c>
      <c r="AX25" s="67">
        <f>V25-(AV25+AW25)/1000000</f>
        <v/>
      </c>
      <c r="AY25" s="47">
        <f>L25*gw_union</f>
        <v/>
      </c>
      <c r="AZ25" s="46" t="n">
        <v>1.116</v>
      </c>
      <c r="BA25" s="47">
        <f>Economy!Q25*AZ25/lf_rate</f>
        <v/>
      </c>
      <c r="BB25" s="64">
        <f>bd_growth*AU24/W24</f>
        <v/>
      </c>
      <c r="BC25" s="64">
        <f>tg_k*MIN(1,Economy!O24/BK24)</f>
        <v/>
      </c>
      <c r="BD25" s="64">
        <f>emu_g*S25</f>
        <v/>
      </c>
      <c r="BE25" s="65">
        <f>BE24*(1-BB25-BC25+BD25)</f>
        <v/>
      </c>
      <c r="BF25" s="46" t="n">
        <v>1</v>
      </c>
      <c r="BG25" s="53">
        <f>AU25*BA25*BE25*(skill_rel-1+skill_spill)/1000000</f>
        <v/>
      </c>
      <c r="BH25" s="53">
        <f>union_disp*(Champions!AP25+Champions!AZ25)*(1-IF(union_resp=2,mkt_cut*S25,0))</f>
        <v/>
      </c>
      <c r="BI25" s="53">
        <f>AY25*BA25*BE25/1000000</f>
        <v/>
      </c>
      <c r="BJ25" s="47">
        <f>V25*Economy!Q25*AZ25</f>
        <v/>
      </c>
      <c r="BK25" s="47">
        <f>MAX(0.3*BJ25,AX25*Economy!Q25*AZ25*BE25*BF25-BG25-BH25-BI25)</f>
        <v/>
      </c>
      <c r="BL25" s="63">
        <f>1-BK25/BJ25</f>
        <v/>
      </c>
      <c r="BM25" s="47">
        <f>MAX(0,BH25-BH24)*1000000/BA25</f>
        <v/>
      </c>
      <c r="BN25" s="47">
        <f>BN24*(1-IF(AND($A25&gt;=1930,$A25&lt;=1932),0,union_reabsorb))+BM25</f>
        <v/>
      </c>
      <c r="BO25" s="59" t="n">
        <v>0.04</v>
      </c>
      <c r="BP25" s="63">
        <f>BO25+BN25/(AX25*1000000*lf_rate)</f>
        <v/>
      </c>
    </row>
    <row r="26">
      <c r="A26" s="58" t="n">
        <v>1866</v>
      </c>
      <c r="B26" s="47">
        <f>Economy!B26*lf_rate</f>
        <v/>
      </c>
      <c r="C26" s="47">
        <f>Economy!O26*1000000/(B26+L26)</f>
        <v/>
      </c>
      <c r="D26" s="47">
        <f>Champions!AP26*1000000/(C26*champ_prem)</f>
        <v/>
      </c>
      <c r="E26" s="47">
        <f>D26*job_mult</f>
        <v/>
      </c>
      <c r="F26" s="47">
        <f>D26+E26</f>
        <v/>
      </c>
      <c r="G26" s="63">
        <f>F26/B26</f>
        <v/>
      </c>
      <c r="H26" s="47">
        <f>F26-F25</f>
        <v/>
      </c>
      <c r="I26" s="63">
        <f>MAX(0.005,pac_u_base*IF(Paths!AC26=1,pac_u_war,1)+(okun*(1-Economy!G26)*(B26+L26)-MAX(0,L25-L26))/B26)</f>
        <v/>
      </c>
      <c r="J26" s="47">
        <f>IF(AND(gw_on=1,$A26&gt;=gw_start),MIN(gw_cap*B25,gw_cover*F25+gw_gen*B25),0)</f>
        <v/>
      </c>
      <c r="K26" s="47">
        <f>L25*gw_conv</f>
        <v/>
      </c>
      <c r="L26" s="47">
        <f>MAX(0,L25-K26+gw_adj*(J26-L25))*MAX(0,1-gw_slump*(1-Economy!G26))</f>
        <v/>
      </c>
      <c r="M26" s="47">
        <f>MAX(0,L26-L25+L25/gw_term)</f>
        <v/>
      </c>
      <c r="N26" s="63">
        <f>L26/B26</f>
        <v/>
      </c>
      <c r="O26" s="53">
        <f>Economy!L26</f>
        <v/>
      </c>
      <c r="P26" s="53">
        <f>O26*gw_wage_share</f>
        <v/>
      </c>
      <c r="Q26" s="53">
        <f>P26*gw_levy</f>
        <v/>
      </c>
      <c r="R26" s="53">
        <f>P26*gw_remit</f>
        <v/>
      </c>
      <c r="S26" s="63">
        <f>IF(union_resp&gt;=1,MIN(1,MAX(0,($A26-resp_start)/(resp_full-resp_start))),0)</f>
        <v/>
      </c>
      <c r="T26" s="67">
        <f>Economy!R25</f>
        <v/>
      </c>
      <c r="U26" s="67">
        <f>MAX(0,T26-gap_base)</f>
        <v/>
      </c>
      <c r="V26" s="68" t="n">
        <v>25.88</v>
      </c>
      <c r="W26" s="47">
        <f>V26*1000000*lf_rate*union_skill_share</f>
        <v/>
      </c>
      <c r="X26" s="45" t="n">
        <v>0</v>
      </c>
      <c r="Y26" s="47">
        <f>IF(AND(mig_endo=1,$A26&gt;=talent_start),talent_rate_u*W26*U26*(1-(1-bd_keep)*S26),0)</f>
        <v/>
      </c>
      <c r="Z26" s="47">
        <f>IF(AND(mig_endo=1,$A26&gt;=talent_start),X26*MIN(0.5,talent_share_o*U26)*(1-eu_comp*S26),0)</f>
        <v/>
      </c>
      <c r="AA26" s="45" t="n">
        <v>0</v>
      </c>
      <c r="AB26" s="47">
        <f>IF(AND(mig_endo=1,$A26&gt;=talent_start),AA26*MIN(0.5,talent_share_a*U26),0)</f>
        <v/>
      </c>
      <c r="AC26" s="47">
        <f>entry_cap*People!B26</f>
        <v/>
      </c>
      <c r="AD26" s="47">
        <f>MIN(AC26,Y26+Z26+AB26)</f>
        <v/>
      </c>
      <c r="AE26" s="47">
        <f>IF(Y26+Z26+AB26&gt;0,AD26*Y26/(Y26+Z26+AB26),0)</f>
        <v/>
      </c>
      <c r="AF26" s="47">
        <f>IF(Y26+Z26+AB26&gt;0,AD26*AB26/(Y26+Z26+AB26),0)</f>
        <v/>
      </c>
      <c r="AG26" s="47">
        <f>AD26*family_mult</f>
        <v/>
      </c>
      <c r="AH26" s="47">
        <f>AH25*(1+Paths!C26)+AG26</f>
        <v/>
      </c>
      <c r="AI26" s="47">
        <f>IF(AND(mig_endo=1,$A26&gt;=talent_start),chain_rate*AH25,0)</f>
        <v/>
      </c>
      <c r="AJ26" s="47">
        <f>IF(AND(mig_endo=1,$A26&gt;=talent_start),IF(H25&gt;0,H25*job_fill,H25*job_return)*job_family,0)</f>
        <v/>
      </c>
      <c r="AK26" s="47">
        <f>K26*gw_conv_family</f>
        <v/>
      </c>
      <c r="AL26" s="47">
        <f>AG26+AI26+AJ26+AK26+AR26</f>
        <v/>
      </c>
      <c r="AM26" s="47">
        <f>AM25*(1-skill_ret)+AD26</f>
        <v/>
      </c>
      <c r="AN26" s="64">
        <f>AM26/B26</f>
        <v/>
      </c>
      <c r="AO26" s="64">
        <f>(skill_rel-1+skill_spill)*AM25/B25-AT26</f>
        <v/>
      </c>
      <c r="AP26" s="64">
        <f>talent_champ*AM25/(skill_base_share*B25)</f>
        <v/>
      </c>
      <c r="AQ26" s="45" t="n">
        <v>320000</v>
      </c>
      <c r="AR26" s="47">
        <f>IF(AND(div_on=1,$A26&gt;=div_start),AQ26*MIN(div_max,div_rate*U26)*(1-div_comp*S26),0)</f>
        <v/>
      </c>
      <c r="AS26" s="47">
        <f>AS25*(1-div_assim)+AR26</f>
        <v/>
      </c>
      <c r="AT26" s="64">
        <f>(1-div_rel)*AS25/Economy!B25</f>
        <v/>
      </c>
      <c r="AU26" s="47">
        <f>AU25*(1-skill_ret)+AE26</f>
        <v/>
      </c>
      <c r="AV26" s="47">
        <f>AV25*(1+union_nat)+AR26</f>
        <v/>
      </c>
      <c r="AW26" s="47">
        <f>AW25*(1+union_nat)+AE26*family_mult</f>
        <v/>
      </c>
      <c r="AX26" s="67">
        <f>V26-(AV26+AW26)/1000000</f>
        <v/>
      </c>
      <c r="AY26" s="47">
        <f>L26*gw_union</f>
        <v/>
      </c>
      <c r="AZ26" s="46" t="n">
        <v>1.116</v>
      </c>
      <c r="BA26" s="47">
        <f>Economy!Q26*AZ26/lf_rate</f>
        <v/>
      </c>
      <c r="BB26" s="64">
        <f>bd_growth*AU25/W25</f>
        <v/>
      </c>
      <c r="BC26" s="64">
        <f>tg_k*MIN(1,Economy!O25/BK25)</f>
        <v/>
      </c>
      <c r="BD26" s="64">
        <f>emu_g*S26</f>
        <v/>
      </c>
      <c r="BE26" s="65">
        <f>BE25*(1-BB26-BC26+BD26)</f>
        <v/>
      </c>
      <c r="BF26" s="46" t="n">
        <v>1</v>
      </c>
      <c r="BG26" s="53">
        <f>AU26*BA26*BE26*(skill_rel-1+skill_spill)/1000000</f>
        <v/>
      </c>
      <c r="BH26" s="53">
        <f>union_disp*(Champions!AP26+Champions!AZ26)*(1-IF(union_resp=2,mkt_cut*S26,0))</f>
        <v/>
      </c>
      <c r="BI26" s="53">
        <f>AY26*BA26*BE26/1000000</f>
        <v/>
      </c>
      <c r="BJ26" s="47">
        <f>V26*Economy!Q26*AZ26</f>
        <v/>
      </c>
      <c r="BK26" s="47">
        <f>MAX(0.3*BJ26,AX26*Economy!Q26*AZ26*BE26*BF26-BG26-BH26-BI26)</f>
        <v/>
      </c>
      <c r="BL26" s="63">
        <f>1-BK26/BJ26</f>
        <v/>
      </c>
      <c r="BM26" s="47">
        <f>MAX(0,BH26-BH25)*1000000/BA26</f>
        <v/>
      </c>
      <c r="BN26" s="47">
        <f>BN25*(1-IF(AND($A26&gt;=1930,$A26&lt;=1932),0,union_reabsorb))+BM26</f>
        <v/>
      </c>
      <c r="BO26" s="59" t="n">
        <v>0.04</v>
      </c>
      <c r="BP26" s="63">
        <f>BO26+BN26/(AX26*1000000*lf_rate)</f>
        <v/>
      </c>
    </row>
    <row r="27">
      <c r="A27" s="58" t="n">
        <v>1867</v>
      </c>
      <c r="B27" s="47">
        <f>Economy!B27*lf_rate</f>
        <v/>
      </c>
      <c r="C27" s="47">
        <f>Economy!O27*1000000/(B27+L27)</f>
        <v/>
      </c>
      <c r="D27" s="47">
        <f>Champions!AP27*1000000/(C27*champ_prem)</f>
        <v/>
      </c>
      <c r="E27" s="47">
        <f>D27*job_mult</f>
        <v/>
      </c>
      <c r="F27" s="47">
        <f>D27+E27</f>
        <v/>
      </c>
      <c r="G27" s="63">
        <f>F27/B27</f>
        <v/>
      </c>
      <c r="H27" s="47">
        <f>F27-F26</f>
        <v/>
      </c>
      <c r="I27" s="63">
        <f>MAX(0.005,pac_u_base*IF(Paths!AC27=1,pac_u_war,1)+(okun*(1-Economy!G27)*(B27+L27)-MAX(0,L26-L27))/B27)</f>
        <v/>
      </c>
      <c r="J27" s="47">
        <f>IF(AND(gw_on=1,$A27&gt;=gw_start),MIN(gw_cap*B26,gw_cover*F26+gw_gen*B26),0)</f>
        <v/>
      </c>
      <c r="K27" s="47">
        <f>L26*gw_conv</f>
        <v/>
      </c>
      <c r="L27" s="47">
        <f>MAX(0,L26-K27+gw_adj*(J27-L26))*MAX(0,1-gw_slump*(1-Economy!G27))</f>
        <v/>
      </c>
      <c r="M27" s="47">
        <f>MAX(0,L27-L26+L26/gw_term)</f>
        <v/>
      </c>
      <c r="N27" s="63">
        <f>L27/B27</f>
        <v/>
      </c>
      <c r="O27" s="53">
        <f>Economy!L27</f>
        <v/>
      </c>
      <c r="P27" s="53">
        <f>O27*gw_wage_share</f>
        <v/>
      </c>
      <c r="Q27" s="53">
        <f>P27*gw_levy</f>
        <v/>
      </c>
      <c r="R27" s="53">
        <f>P27*gw_remit</f>
        <v/>
      </c>
      <c r="S27" s="63">
        <f>IF(union_resp&gt;=1,MIN(1,MAX(0,($A27-resp_start)/(resp_full-resp_start))),0)</f>
        <v/>
      </c>
      <c r="T27" s="67">
        <f>Economy!R26</f>
        <v/>
      </c>
      <c r="U27" s="67">
        <f>MAX(0,T27-gap_base)</f>
        <v/>
      </c>
      <c r="V27" s="68" t="n">
        <v>26.76</v>
      </c>
      <c r="W27" s="47">
        <f>V27*1000000*lf_rate*union_skill_share</f>
        <v/>
      </c>
      <c r="X27" s="45" t="n">
        <v>0</v>
      </c>
      <c r="Y27" s="47">
        <f>IF(AND(mig_endo=1,$A27&gt;=talent_start),talent_rate_u*W27*U27*(1-(1-bd_keep)*S27),0)</f>
        <v/>
      </c>
      <c r="Z27" s="47">
        <f>IF(AND(mig_endo=1,$A27&gt;=talent_start),X27*MIN(0.5,talent_share_o*U27)*(1-eu_comp*S27),0)</f>
        <v/>
      </c>
      <c r="AA27" s="45" t="n">
        <v>0</v>
      </c>
      <c r="AB27" s="47">
        <f>IF(AND(mig_endo=1,$A27&gt;=talent_start),AA27*MIN(0.5,talent_share_a*U27),0)</f>
        <v/>
      </c>
      <c r="AC27" s="47">
        <f>entry_cap*People!B27</f>
        <v/>
      </c>
      <c r="AD27" s="47">
        <f>MIN(AC27,Y27+Z27+AB27)</f>
        <v/>
      </c>
      <c r="AE27" s="47">
        <f>IF(Y27+Z27+AB27&gt;0,AD27*Y27/(Y27+Z27+AB27),0)</f>
        <v/>
      </c>
      <c r="AF27" s="47">
        <f>IF(Y27+Z27+AB27&gt;0,AD27*AB27/(Y27+Z27+AB27),0)</f>
        <v/>
      </c>
      <c r="AG27" s="47">
        <f>AD27*family_mult</f>
        <v/>
      </c>
      <c r="AH27" s="47">
        <f>AH26*(1+Paths!C27)+AG27</f>
        <v/>
      </c>
      <c r="AI27" s="47">
        <f>IF(AND(mig_endo=1,$A27&gt;=talent_start),chain_rate*AH26,0)</f>
        <v/>
      </c>
      <c r="AJ27" s="47">
        <f>IF(AND(mig_endo=1,$A27&gt;=talent_start),IF(H26&gt;0,H26*job_fill,H26*job_return)*job_family,0)</f>
        <v/>
      </c>
      <c r="AK27" s="47">
        <f>K27*gw_conv_family</f>
        <v/>
      </c>
      <c r="AL27" s="47">
        <f>AG27+AI27+AJ27+AK27+AR27</f>
        <v/>
      </c>
      <c r="AM27" s="47">
        <f>AM26*(1-skill_ret)+AD27</f>
        <v/>
      </c>
      <c r="AN27" s="64">
        <f>AM27/B27</f>
        <v/>
      </c>
      <c r="AO27" s="64">
        <f>(skill_rel-1+skill_spill)*AM26/B26-AT27</f>
        <v/>
      </c>
      <c r="AP27" s="64">
        <f>talent_champ*AM26/(skill_base_share*B26)</f>
        <v/>
      </c>
      <c r="AQ27" s="45" t="n">
        <v>340000</v>
      </c>
      <c r="AR27" s="47">
        <f>IF(AND(div_on=1,$A27&gt;=div_start),AQ27*MIN(div_max,div_rate*U27)*(1-div_comp*S27),0)</f>
        <v/>
      </c>
      <c r="AS27" s="47">
        <f>AS26*(1-div_assim)+AR27</f>
        <v/>
      </c>
      <c r="AT27" s="64">
        <f>(1-div_rel)*AS26/Economy!B26</f>
        <v/>
      </c>
      <c r="AU27" s="47">
        <f>AU26*(1-skill_ret)+AE27</f>
        <v/>
      </c>
      <c r="AV27" s="47">
        <f>AV26*(1+union_nat)+AR27</f>
        <v/>
      </c>
      <c r="AW27" s="47">
        <f>AW26*(1+union_nat)+AE27*family_mult</f>
        <v/>
      </c>
      <c r="AX27" s="67">
        <f>V27-(AV27+AW27)/1000000</f>
        <v/>
      </c>
      <c r="AY27" s="47">
        <f>L27*gw_union</f>
        <v/>
      </c>
      <c r="AZ27" s="46" t="n">
        <v>1.116</v>
      </c>
      <c r="BA27" s="47">
        <f>Economy!Q27*AZ27/lf_rate</f>
        <v/>
      </c>
      <c r="BB27" s="64">
        <f>bd_growth*AU26/W26</f>
        <v/>
      </c>
      <c r="BC27" s="64">
        <f>tg_k*MIN(1,Economy!O26/BK26)</f>
        <v/>
      </c>
      <c r="BD27" s="64">
        <f>emu_g*S27</f>
        <v/>
      </c>
      <c r="BE27" s="65">
        <f>BE26*(1-BB27-BC27+BD27)</f>
        <v/>
      </c>
      <c r="BF27" s="46" t="n">
        <v>1</v>
      </c>
      <c r="BG27" s="53">
        <f>AU27*BA27*BE27*(skill_rel-1+skill_spill)/1000000</f>
        <v/>
      </c>
      <c r="BH27" s="53">
        <f>union_disp*(Champions!AP27+Champions!AZ27)*(1-IF(union_resp=2,mkt_cut*S27,0))</f>
        <v/>
      </c>
      <c r="BI27" s="53">
        <f>AY27*BA27*BE27/1000000</f>
        <v/>
      </c>
      <c r="BJ27" s="47">
        <f>V27*Economy!Q27*AZ27</f>
        <v/>
      </c>
      <c r="BK27" s="47">
        <f>MAX(0.3*BJ27,AX27*Economy!Q27*AZ27*BE27*BF27-BG27-BH27-BI27)</f>
        <v/>
      </c>
      <c r="BL27" s="63">
        <f>1-BK27/BJ27</f>
        <v/>
      </c>
      <c r="BM27" s="47">
        <f>MAX(0,BH27-BH26)*1000000/BA27</f>
        <v/>
      </c>
      <c r="BN27" s="47">
        <f>BN26*(1-IF(AND($A27&gt;=1930,$A27&lt;=1932),0,union_reabsorb))+BM27</f>
        <v/>
      </c>
      <c r="BO27" s="59" t="n">
        <v>0.04</v>
      </c>
      <c r="BP27" s="63">
        <f>BO27+BN27/(AX27*1000000*lf_rate)</f>
        <v/>
      </c>
    </row>
    <row r="28">
      <c r="A28" s="58" t="n">
        <v>1868</v>
      </c>
      <c r="B28" s="47">
        <f>Economy!B28*lf_rate</f>
        <v/>
      </c>
      <c r="C28" s="47">
        <f>Economy!O28*1000000/(B28+L28)</f>
        <v/>
      </c>
      <c r="D28" s="47">
        <f>Champions!AP28*1000000/(C28*champ_prem)</f>
        <v/>
      </c>
      <c r="E28" s="47">
        <f>D28*job_mult</f>
        <v/>
      </c>
      <c r="F28" s="47">
        <f>D28+E28</f>
        <v/>
      </c>
      <c r="G28" s="63">
        <f>F28/B28</f>
        <v/>
      </c>
      <c r="H28" s="47">
        <f>F28-F27</f>
        <v/>
      </c>
      <c r="I28" s="63">
        <f>MAX(0.005,pac_u_base*IF(Paths!AC28=1,pac_u_war,1)+(okun*(1-Economy!G28)*(B28+L28)-MAX(0,L27-L28))/B28)</f>
        <v/>
      </c>
      <c r="J28" s="47">
        <f>IF(AND(gw_on=1,$A28&gt;=gw_start),MIN(gw_cap*B27,gw_cover*F27+gw_gen*B27),0)</f>
        <v/>
      </c>
      <c r="K28" s="47">
        <f>L27*gw_conv</f>
        <v/>
      </c>
      <c r="L28" s="47">
        <f>MAX(0,L27-K28+gw_adj*(J28-L27))*MAX(0,1-gw_slump*(1-Economy!G28))</f>
        <v/>
      </c>
      <c r="M28" s="47">
        <f>MAX(0,L28-L27+L27/gw_term)</f>
        <v/>
      </c>
      <c r="N28" s="63">
        <f>L28/B28</f>
        <v/>
      </c>
      <c r="O28" s="53">
        <f>Economy!L28</f>
        <v/>
      </c>
      <c r="P28" s="53">
        <f>O28*gw_wage_share</f>
        <v/>
      </c>
      <c r="Q28" s="53">
        <f>P28*gw_levy</f>
        <v/>
      </c>
      <c r="R28" s="53">
        <f>P28*gw_remit</f>
        <v/>
      </c>
      <c r="S28" s="63">
        <f>IF(union_resp&gt;=1,MIN(1,MAX(0,($A28-resp_start)/(resp_full-resp_start))),0)</f>
        <v/>
      </c>
      <c r="T28" s="67">
        <f>Economy!R27</f>
        <v/>
      </c>
      <c r="U28" s="67">
        <f>MAX(0,T28-gap_base)</f>
        <v/>
      </c>
      <c r="V28" s="68" t="n">
        <v>27.64</v>
      </c>
      <c r="W28" s="47">
        <f>V28*1000000*lf_rate*union_skill_share</f>
        <v/>
      </c>
      <c r="X28" s="45" t="n">
        <v>0</v>
      </c>
      <c r="Y28" s="47">
        <f>IF(AND(mig_endo=1,$A28&gt;=talent_start),talent_rate_u*W28*U28*(1-(1-bd_keep)*S28),0)</f>
        <v/>
      </c>
      <c r="Z28" s="47">
        <f>IF(AND(mig_endo=1,$A28&gt;=talent_start),X28*MIN(0.5,talent_share_o*U28)*(1-eu_comp*S28),0)</f>
        <v/>
      </c>
      <c r="AA28" s="45" t="n">
        <v>0</v>
      </c>
      <c r="AB28" s="47">
        <f>IF(AND(mig_endo=1,$A28&gt;=talent_start),AA28*MIN(0.5,talent_share_a*U28),0)</f>
        <v/>
      </c>
      <c r="AC28" s="47">
        <f>entry_cap*People!B28</f>
        <v/>
      </c>
      <c r="AD28" s="47">
        <f>MIN(AC28,Y28+Z28+AB28)</f>
        <v/>
      </c>
      <c r="AE28" s="47">
        <f>IF(Y28+Z28+AB28&gt;0,AD28*Y28/(Y28+Z28+AB28),0)</f>
        <v/>
      </c>
      <c r="AF28" s="47">
        <f>IF(Y28+Z28+AB28&gt;0,AD28*AB28/(Y28+Z28+AB28),0)</f>
        <v/>
      </c>
      <c r="AG28" s="47">
        <f>AD28*family_mult</f>
        <v/>
      </c>
      <c r="AH28" s="47">
        <f>AH27*(1+Paths!C28)+AG28</f>
        <v/>
      </c>
      <c r="AI28" s="47">
        <f>IF(AND(mig_endo=1,$A28&gt;=talent_start),chain_rate*AH27,0)</f>
        <v/>
      </c>
      <c r="AJ28" s="47">
        <f>IF(AND(mig_endo=1,$A28&gt;=talent_start),IF(H27&gt;0,H27*job_fill,H27*job_return)*job_family,0)</f>
        <v/>
      </c>
      <c r="AK28" s="47">
        <f>K28*gw_conv_family</f>
        <v/>
      </c>
      <c r="AL28" s="47">
        <f>AG28+AI28+AJ28+AK28+AR28</f>
        <v/>
      </c>
      <c r="AM28" s="47">
        <f>AM27*(1-skill_ret)+AD28</f>
        <v/>
      </c>
      <c r="AN28" s="64">
        <f>AM28/B28</f>
        <v/>
      </c>
      <c r="AO28" s="64">
        <f>(skill_rel-1+skill_spill)*AM27/B27-AT28</f>
        <v/>
      </c>
      <c r="AP28" s="64">
        <f>talent_champ*AM27/(skill_base_share*B27)</f>
        <v/>
      </c>
      <c r="AQ28" s="45" t="n">
        <v>360000</v>
      </c>
      <c r="AR28" s="47">
        <f>IF(AND(div_on=1,$A28&gt;=div_start),AQ28*MIN(div_max,div_rate*U28)*(1-div_comp*S28),0)</f>
        <v/>
      </c>
      <c r="AS28" s="47">
        <f>AS27*(1-div_assim)+AR28</f>
        <v/>
      </c>
      <c r="AT28" s="64">
        <f>(1-div_rel)*AS27/Economy!B27</f>
        <v/>
      </c>
      <c r="AU28" s="47">
        <f>AU27*(1-skill_ret)+AE28</f>
        <v/>
      </c>
      <c r="AV28" s="47">
        <f>AV27*(1+union_nat)+AR28</f>
        <v/>
      </c>
      <c r="AW28" s="47">
        <f>AW27*(1+union_nat)+AE28*family_mult</f>
        <v/>
      </c>
      <c r="AX28" s="67">
        <f>V28-(AV28+AW28)/1000000</f>
        <v/>
      </c>
      <c r="AY28" s="47">
        <f>L28*gw_union</f>
        <v/>
      </c>
      <c r="AZ28" s="46" t="n">
        <v>1.115</v>
      </c>
      <c r="BA28" s="47">
        <f>Economy!Q28*AZ28/lf_rate</f>
        <v/>
      </c>
      <c r="BB28" s="64">
        <f>bd_growth*AU27/W27</f>
        <v/>
      </c>
      <c r="BC28" s="64">
        <f>tg_k*MIN(1,Economy!O27/BK27)</f>
        <v/>
      </c>
      <c r="BD28" s="64">
        <f>emu_g*S28</f>
        <v/>
      </c>
      <c r="BE28" s="65">
        <f>BE27*(1-BB28-BC28+BD28)</f>
        <v/>
      </c>
      <c r="BF28" s="46" t="n">
        <v>1</v>
      </c>
      <c r="BG28" s="53">
        <f>AU28*BA28*BE28*(skill_rel-1+skill_spill)/1000000</f>
        <v/>
      </c>
      <c r="BH28" s="53">
        <f>union_disp*(Champions!AP28+Champions!AZ28)*(1-IF(union_resp=2,mkt_cut*S28,0))</f>
        <v/>
      </c>
      <c r="BI28" s="53">
        <f>AY28*BA28*BE28/1000000</f>
        <v/>
      </c>
      <c r="BJ28" s="47">
        <f>V28*Economy!Q28*AZ28</f>
        <v/>
      </c>
      <c r="BK28" s="47">
        <f>MAX(0.3*BJ28,AX28*Economy!Q28*AZ28*BE28*BF28-BG28-BH28-BI28)</f>
        <v/>
      </c>
      <c r="BL28" s="63">
        <f>1-BK28/BJ28</f>
        <v/>
      </c>
      <c r="BM28" s="47">
        <f>MAX(0,BH28-BH27)*1000000/BA28</f>
        <v/>
      </c>
      <c r="BN28" s="47">
        <f>BN27*(1-IF(AND($A28&gt;=1930,$A28&lt;=1932),0,union_reabsorb))+BM28</f>
        <v/>
      </c>
      <c r="BO28" s="59" t="n">
        <v>0.04</v>
      </c>
      <c r="BP28" s="63">
        <f>BO28+BN28/(AX28*1000000*lf_rate)</f>
        <v/>
      </c>
    </row>
    <row r="29">
      <c r="A29" s="58" t="n">
        <v>1869</v>
      </c>
      <c r="B29" s="47">
        <f>Economy!B29*lf_rate</f>
        <v/>
      </c>
      <c r="C29" s="47">
        <f>Economy!O29*1000000/(B29+L29)</f>
        <v/>
      </c>
      <c r="D29" s="47">
        <f>Champions!AP29*1000000/(C29*champ_prem)</f>
        <v/>
      </c>
      <c r="E29" s="47">
        <f>D29*job_mult</f>
        <v/>
      </c>
      <c r="F29" s="47">
        <f>D29+E29</f>
        <v/>
      </c>
      <c r="G29" s="63">
        <f>F29/B29</f>
        <v/>
      </c>
      <c r="H29" s="47">
        <f>F29-F28</f>
        <v/>
      </c>
      <c r="I29" s="63">
        <f>MAX(0.005,pac_u_base*IF(Paths!AC29=1,pac_u_war,1)+(okun*(1-Economy!G29)*(B29+L29)-MAX(0,L28-L29))/B29)</f>
        <v/>
      </c>
      <c r="J29" s="47">
        <f>IF(AND(gw_on=1,$A29&gt;=gw_start),MIN(gw_cap*B28,gw_cover*F28+gw_gen*B28),0)</f>
        <v/>
      </c>
      <c r="K29" s="47">
        <f>L28*gw_conv</f>
        <v/>
      </c>
      <c r="L29" s="47">
        <f>MAX(0,L28-K29+gw_adj*(J29-L28))*MAX(0,1-gw_slump*(1-Economy!G29))</f>
        <v/>
      </c>
      <c r="M29" s="47">
        <f>MAX(0,L29-L28+L28/gw_term)</f>
        <v/>
      </c>
      <c r="N29" s="63">
        <f>L29/B29</f>
        <v/>
      </c>
      <c r="O29" s="53">
        <f>Economy!L29</f>
        <v/>
      </c>
      <c r="P29" s="53">
        <f>O29*gw_wage_share</f>
        <v/>
      </c>
      <c r="Q29" s="53">
        <f>P29*gw_levy</f>
        <v/>
      </c>
      <c r="R29" s="53">
        <f>P29*gw_remit</f>
        <v/>
      </c>
      <c r="S29" s="63">
        <f>IF(union_resp&gt;=1,MIN(1,MAX(0,($A29-resp_start)/(resp_full-resp_start))),0)</f>
        <v/>
      </c>
      <c r="T29" s="67">
        <f>Economy!R28</f>
        <v/>
      </c>
      <c r="U29" s="67">
        <f>MAX(0,T29-gap_base)</f>
        <v/>
      </c>
      <c r="V29" s="68" t="n">
        <v>28.52</v>
      </c>
      <c r="W29" s="47">
        <f>V29*1000000*lf_rate*union_skill_share</f>
        <v/>
      </c>
      <c r="X29" s="45" t="n">
        <v>0</v>
      </c>
      <c r="Y29" s="47">
        <f>IF(AND(mig_endo=1,$A29&gt;=talent_start),talent_rate_u*W29*U29*(1-(1-bd_keep)*S29),0)</f>
        <v/>
      </c>
      <c r="Z29" s="47">
        <f>IF(AND(mig_endo=1,$A29&gt;=talent_start),X29*MIN(0.5,talent_share_o*U29)*(1-eu_comp*S29),0)</f>
        <v/>
      </c>
      <c r="AA29" s="45" t="n">
        <v>0</v>
      </c>
      <c r="AB29" s="47">
        <f>IF(AND(mig_endo=1,$A29&gt;=talent_start),AA29*MIN(0.5,talent_share_a*U29),0)</f>
        <v/>
      </c>
      <c r="AC29" s="47">
        <f>entry_cap*People!B29</f>
        <v/>
      </c>
      <c r="AD29" s="47">
        <f>MIN(AC29,Y29+Z29+AB29)</f>
        <v/>
      </c>
      <c r="AE29" s="47">
        <f>IF(Y29+Z29+AB29&gt;0,AD29*Y29/(Y29+Z29+AB29),0)</f>
        <v/>
      </c>
      <c r="AF29" s="47">
        <f>IF(Y29+Z29+AB29&gt;0,AD29*AB29/(Y29+Z29+AB29),0)</f>
        <v/>
      </c>
      <c r="AG29" s="47">
        <f>AD29*family_mult</f>
        <v/>
      </c>
      <c r="AH29" s="47">
        <f>AH28*(1+Paths!C29)+AG29</f>
        <v/>
      </c>
      <c r="AI29" s="47">
        <f>IF(AND(mig_endo=1,$A29&gt;=talent_start),chain_rate*AH28,0)</f>
        <v/>
      </c>
      <c r="AJ29" s="47">
        <f>IF(AND(mig_endo=1,$A29&gt;=talent_start),IF(H28&gt;0,H28*job_fill,H28*job_return)*job_family,0)</f>
        <v/>
      </c>
      <c r="AK29" s="47">
        <f>K29*gw_conv_family</f>
        <v/>
      </c>
      <c r="AL29" s="47">
        <f>AG29+AI29+AJ29+AK29+AR29</f>
        <v/>
      </c>
      <c r="AM29" s="47">
        <f>AM28*(1-skill_ret)+AD29</f>
        <v/>
      </c>
      <c r="AN29" s="64">
        <f>AM29/B29</f>
        <v/>
      </c>
      <c r="AO29" s="64">
        <f>(skill_rel-1+skill_spill)*AM28/B28-AT29</f>
        <v/>
      </c>
      <c r="AP29" s="64">
        <f>talent_champ*AM28/(skill_base_share*B28)</f>
        <v/>
      </c>
      <c r="AQ29" s="45" t="n">
        <v>380000</v>
      </c>
      <c r="AR29" s="47">
        <f>IF(AND(div_on=1,$A29&gt;=div_start),AQ29*MIN(div_max,div_rate*U29)*(1-div_comp*S29),0)</f>
        <v/>
      </c>
      <c r="AS29" s="47">
        <f>AS28*(1-div_assim)+AR29</f>
        <v/>
      </c>
      <c r="AT29" s="64">
        <f>(1-div_rel)*AS28/Economy!B28</f>
        <v/>
      </c>
      <c r="AU29" s="47">
        <f>AU28*(1-skill_ret)+AE29</f>
        <v/>
      </c>
      <c r="AV29" s="47">
        <f>AV28*(1+union_nat)+AR29</f>
        <v/>
      </c>
      <c r="AW29" s="47">
        <f>AW28*(1+union_nat)+AE29*family_mult</f>
        <v/>
      </c>
      <c r="AX29" s="67">
        <f>V29-(AV29+AW29)/1000000</f>
        <v/>
      </c>
      <c r="AY29" s="47">
        <f>L29*gw_union</f>
        <v/>
      </c>
      <c r="AZ29" s="46" t="n">
        <v>1.115</v>
      </c>
      <c r="BA29" s="47">
        <f>Economy!Q29*AZ29/lf_rate</f>
        <v/>
      </c>
      <c r="BB29" s="64">
        <f>bd_growth*AU28/W28</f>
        <v/>
      </c>
      <c r="BC29" s="64">
        <f>tg_k*MIN(1,Economy!O28/BK28)</f>
        <v/>
      </c>
      <c r="BD29" s="64">
        <f>emu_g*S29</f>
        <v/>
      </c>
      <c r="BE29" s="65">
        <f>BE28*(1-BB29-BC29+BD29)</f>
        <v/>
      </c>
      <c r="BF29" s="46" t="n">
        <v>1</v>
      </c>
      <c r="BG29" s="53">
        <f>AU29*BA29*BE29*(skill_rel-1+skill_spill)/1000000</f>
        <v/>
      </c>
      <c r="BH29" s="53">
        <f>union_disp*(Champions!AP29+Champions!AZ29)*(1-IF(union_resp=2,mkt_cut*S29,0))</f>
        <v/>
      </c>
      <c r="BI29" s="53">
        <f>AY29*BA29*BE29/1000000</f>
        <v/>
      </c>
      <c r="BJ29" s="47">
        <f>V29*Economy!Q29*AZ29</f>
        <v/>
      </c>
      <c r="BK29" s="47">
        <f>MAX(0.3*BJ29,AX29*Economy!Q29*AZ29*BE29*BF29-BG29-BH29-BI29)</f>
        <v/>
      </c>
      <c r="BL29" s="63">
        <f>1-BK29/BJ29</f>
        <v/>
      </c>
      <c r="BM29" s="47">
        <f>MAX(0,BH29-BH28)*1000000/BA29</f>
        <v/>
      </c>
      <c r="BN29" s="47">
        <f>BN28*(1-IF(AND($A29&gt;=1930,$A29&lt;=1932),0,union_reabsorb))+BM29</f>
        <v/>
      </c>
      <c r="BO29" s="59" t="n">
        <v>0.04</v>
      </c>
      <c r="BP29" s="63">
        <f>BO29+BN29/(AX29*1000000*lf_rate)</f>
        <v/>
      </c>
    </row>
    <row r="30">
      <c r="A30" s="61" t="n">
        <v>1870</v>
      </c>
      <c r="B30" s="47">
        <f>Economy!B30*lf_rate</f>
        <v/>
      </c>
      <c r="C30" s="47">
        <f>Economy!O30*1000000/(B30+L30)</f>
        <v/>
      </c>
      <c r="D30" s="47">
        <f>Champions!AP30*1000000/(C30*champ_prem)</f>
        <v/>
      </c>
      <c r="E30" s="47">
        <f>D30*job_mult</f>
        <v/>
      </c>
      <c r="F30" s="47">
        <f>D30+E30</f>
        <v/>
      </c>
      <c r="G30" s="63">
        <f>F30/B30</f>
        <v/>
      </c>
      <c r="H30" s="47">
        <f>F30-F29</f>
        <v/>
      </c>
      <c r="I30" s="63">
        <f>MAX(0.005,pac_u_base*IF(Paths!AC30=1,pac_u_war,1)+(okun*(1-Economy!G30)*(B30+L30)-MAX(0,L29-L30))/B30)</f>
        <v/>
      </c>
      <c r="J30" s="47">
        <f>IF(AND(gw_on=1,$A30&gt;=gw_start),MIN(gw_cap*B29,gw_cover*F29+gw_gen*B29),0)</f>
        <v/>
      </c>
      <c r="K30" s="47">
        <f>L29*gw_conv</f>
        <v/>
      </c>
      <c r="L30" s="47">
        <f>MAX(0,L29-K30+gw_adj*(J30-L29))*MAX(0,1-gw_slump*(1-Economy!G30))</f>
        <v/>
      </c>
      <c r="M30" s="47">
        <f>MAX(0,L30-L29+L29/gw_term)</f>
        <v/>
      </c>
      <c r="N30" s="63">
        <f>L30/B30</f>
        <v/>
      </c>
      <c r="O30" s="53">
        <f>Economy!L30</f>
        <v/>
      </c>
      <c r="P30" s="53">
        <f>O30*gw_wage_share</f>
        <v/>
      </c>
      <c r="Q30" s="53">
        <f>P30*gw_levy</f>
        <v/>
      </c>
      <c r="R30" s="53">
        <f>P30*gw_remit</f>
        <v/>
      </c>
      <c r="S30" s="63">
        <f>IF(union_resp&gt;=1,MIN(1,MAX(0,($A30-resp_start)/(resp_full-resp_start))),0)</f>
        <v/>
      </c>
      <c r="T30" s="67">
        <f>Economy!R29</f>
        <v/>
      </c>
      <c r="U30" s="67">
        <f>MAX(0,T30-gap_base)</f>
        <v/>
      </c>
      <c r="V30" s="68" t="n">
        <v>29.4</v>
      </c>
      <c r="W30" s="47">
        <f>V30*1000000*lf_rate*union_skill_share</f>
        <v/>
      </c>
      <c r="X30" s="45" t="n">
        <v>30000</v>
      </c>
      <c r="Y30" s="47">
        <f>IF(AND(mig_endo=1,$A30&gt;=talent_start),talent_rate_u*W30*U30*(1-(1-bd_keep)*S30),0)</f>
        <v/>
      </c>
      <c r="Z30" s="47">
        <f>IF(AND(mig_endo=1,$A30&gt;=talent_start),X30*MIN(0.5,talent_share_o*U30)*(1-eu_comp*S30),0)</f>
        <v/>
      </c>
      <c r="AA30" s="45" t="n">
        <v>0</v>
      </c>
      <c r="AB30" s="47">
        <f>IF(AND(mig_endo=1,$A30&gt;=talent_start),AA30*MIN(0.5,talent_share_a*U30),0)</f>
        <v/>
      </c>
      <c r="AC30" s="47">
        <f>entry_cap*People!B30</f>
        <v/>
      </c>
      <c r="AD30" s="47">
        <f>MIN(AC30,Y30+Z30+AB30)</f>
        <v/>
      </c>
      <c r="AE30" s="47">
        <f>IF(Y30+Z30+AB30&gt;0,AD30*Y30/(Y30+Z30+AB30),0)</f>
        <v/>
      </c>
      <c r="AF30" s="47">
        <f>IF(Y30+Z30+AB30&gt;0,AD30*AB30/(Y30+Z30+AB30),0)</f>
        <v/>
      </c>
      <c r="AG30" s="47">
        <f>AD30*family_mult</f>
        <v/>
      </c>
      <c r="AH30" s="47">
        <f>AH29*(1+Paths!C30)+AG30</f>
        <v/>
      </c>
      <c r="AI30" s="47">
        <f>IF(AND(mig_endo=1,$A30&gt;=talent_start),chain_rate*AH29,0)</f>
        <v/>
      </c>
      <c r="AJ30" s="47">
        <f>IF(AND(mig_endo=1,$A30&gt;=talent_start),IF(H29&gt;0,H29*job_fill,H29*job_return)*job_family,0)</f>
        <v/>
      </c>
      <c r="AK30" s="47">
        <f>K30*gw_conv_family</f>
        <v/>
      </c>
      <c r="AL30" s="47">
        <f>AG30+AI30+AJ30+AK30+AR30</f>
        <v/>
      </c>
      <c r="AM30" s="47">
        <f>AM29*(1-skill_ret)+AD30</f>
        <v/>
      </c>
      <c r="AN30" s="64">
        <f>AM30/B30</f>
        <v/>
      </c>
      <c r="AO30" s="64">
        <f>(skill_rel-1+skill_spill)*AM29/B29-AT30</f>
        <v/>
      </c>
      <c r="AP30" s="64">
        <f>talent_champ*AM29/(skill_base_share*B29)</f>
        <v/>
      </c>
      <c r="AQ30" s="45" t="n">
        <v>400000</v>
      </c>
      <c r="AR30" s="47">
        <f>IF(AND(div_on=1,$A30&gt;=div_start),AQ30*MIN(div_max,div_rate*U30)*(1-div_comp*S30),0)</f>
        <v/>
      </c>
      <c r="AS30" s="47">
        <f>AS29*(1-div_assim)+AR30</f>
        <v/>
      </c>
      <c r="AT30" s="64">
        <f>(1-div_rel)*AS29/Economy!B29</f>
        <v/>
      </c>
      <c r="AU30" s="47">
        <f>AU29*(1-skill_ret)+AE30</f>
        <v/>
      </c>
      <c r="AV30" s="47">
        <f>AV29*(1+union_nat)+AR30</f>
        <v/>
      </c>
      <c r="AW30" s="47">
        <f>AW29*(1+union_nat)+AE30*family_mult</f>
        <v/>
      </c>
      <c r="AX30" s="67">
        <f>V30-(AV30+AW30)/1000000</f>
        <v/>
      </c>
      <c r="AY30" s="47">
        <f>L30*gw_union</f>
        <v/>
      </c>
      <c r="AZ30" s="46" t="n">
        <v>1.115</v>
      </c>
      <c r="BA30" s="47">
        <f>Economy!Q30*AZ30/lf_rate</f>
        <v/>
      </c>
      <c r="BB30" s="64">
        <f>bd_growth*AU29/W29</f>
        <v/>
      </c>
      <c r="BC30" s="64">
        <f>tg_k*MIN(1,Economy!O29/BK29)</f>
        <v/>
      </c>
      <c r="BD30" s="64">
        <f>emu_g*S30</f>
        <v/>
      </c>
      <c r="BE30" s="65">
        <f>BE29*(1-BB30-BC30+BD30)</f>
        <v/>
      </c>
      <c r="BF30" s="46" t="n">
        <v>1</v>
      </c>
      <c r="BG30" s="53">
        <f>AU30*BA30*BE30*(skill_rel-1+skill_spill)/1000000</f>
        <v/>
      </c>
      <c r="BH30" s="53">
        <f>union_disp*(Champions!AP30+Champions!AZ30)*(1-IF(union_resp=2,mkt_cut*S30,0))</f>
        <v/>
      </c>
      <c r="BI30" s="53">
        <f>AY30*BA30*BE30/1000000</f>
        <v/>
      </c>
      <c r="BJ30" s="47">
        <f>V30*Economy!Q30*AZ30</f>
        <v/>
      </c>
      <c r="BK30" s="47">
        <f>MAX(0.3*BJ30,AX30*Economy!Q30*AZ30*BE30*BF30-BG30-BH30-BI30)</f>
        <v/>
      </c>
      <c r="BL30" s="63">
        <f>1-BK30/BJ30</f>
        <v/>
      </c>
      <c r="BM30" s="47">
        <f>MAX(0,BH30-BH29)*1000000/BA30</f>
        <v/>
      </c>
      <c r="BN30" s="47">
        <f>BN29*(1-IF(AND($A30&gt;=1930,$A30&lt;=1932),0,union_reabsorb))+BM30</f>
        <v/>
      </c>
      <c r="BO30" s="59" t="n">
        <v>0.04</v>
      </c>
      <c r="BP30" s="63">
        <f>BO30+BN30/(AX30*1000000*lf_rate)</f>
        <v/>
      </c>
    </row>
    <row r="31">
      <c r="A31" s="61" t="n">
        <v>1871</v>
      </c>
      <c r="B31" s="47">
        <f>Economy!B31*lf_rate</f>
        <v/>
      </c>
      <c r="C31" s="47">
        <f>Economy!O31*1000000/(B31+L31)</f>
        <v/>
      </c>
      <c r="D31" s="47">
        <f>Champions!AP31*1000000/(C31*champ_prem)</f>
        <v/>
      </c>
      <c r="E31" s="47">
        <f>D31*job_mult</f>
        <v/>
      </c>
      <c r="F31" s="47">
        <f>D31+E31</f>
        <v/>
      </c>
      <c r="G31" s="63">
        <f>F31/B31</f>
        <v/>
      </c>
      <c r="H31" s="47">
        <f>F31-F30</f>
        <v/>
      </c>
      <c r="I31" s="63">
        <f>MAX(0.005,pac_u_base*IF(Paths!AC31=1,pac_u_war,1)+(okun*(1-Economy!G31)*(B31+L31)-MAX(0,L30-L31))/B31)</f>
        <v/>
      </c>
      <c r="J31" s="47">
        <f>IF(AND(gw_on=1,$A31&gt;=gw_start),MIN(gw_cap*B30,gw_cover*F30+gw_gen*B30),0)</f>
        <v/>
      </c>
      <c r="K31" s="47">
        <f>L30*gw_conv</f>
        <v/>
      </c>
      <c r="L31" s="47">
        <f>MAX(0,L30-K31+gw_adj*(J31-L30))*MAX(0,1-gw_slump*(1-Economy!G31))</f>
        <v/>
      </c>
      <c r="M31" s="47">
        <f>MAX(0,L31-L30+L30/gw_term)</f>
        <v/>
      </c>
      <c r="N31" s="63">
        <f>L31/B31</f>
        <v/>
      </c>
      <c r="O31" s="53">
        <f>Economy!L31</f>
        <v/>
      </c>
      <c r="P31" s="53">
        <f>O31*gw_wage_share</f>
        <v/>
      </c>
      <c r="Q31" s="53">
        <f>P31*gw_levy</f>
        <v/>
      </c>
      <c r="R31" s="53">
        <f>P31*gw_remit</f>
        <v/>
      </c>
      <c r="S31" s="63">
        <f>IF(union_resp&gt;=1,MIN(1,MAX(0,($A31-resp_start)/(resp_full-resp_start))),0)</f>
        <v/>
      </c>
      <c r="T31" s="67">
        <f>Economy!R30</f>
        <v/>
      </c>
      <c r="U31" s="67">
        <f>MAX(0,T31-gap_base)</f>
        <v/>
      </c>
      <c r="V31" s="68" t="n">
        <v>30.46</v>
      </c>
      <c r="W31" s="47">
        <f>V31*1000000*lf_rate*union_skill_share</f>
        <v/>
      </c>
      <c r="X31" s="45" t="n">
        <v>33000</v>
      </c>
      <c r="Y31" s="47">
        <f>IF(AND(mig_endo=1,$A31&gt;=talent_start),talent_rate_u*W31*U31*(1-(1-bd_keep)*S31),0)</f>
        <v/>
      </c>
      <c r="Z31" s="47">
        <f>IF(AND(mig_endo=1,$A31&gt;=talent_start),X31*MIN(0.5,talent_share_o*U31)*(1-eu_comp*S31),0)</f>
        <v/>
      </c>
      <c r="AA31" s="45" t="n">
        <v>0</v>
      </c>
      <c r="AB31" s="47">
        <f>IF(AND(mig_endo=1,$A31&gt;=talent_start),AA31*MIN(0.5,talent_share_a*U31),0)</f>
        <v/>
      </c>
      <c r="AC31" s="47">
        <f>entry_cap*People!B31</f>
        <v/>
      </c>
      <c r="AD31" s="47">
        <f>MIN(AC31,Y31+Z31+AB31)</f>
        <v/>
      </c>
      <c r="AE31" s="47">
        <f>IF(Y31+Z31+AB31&gt;0,AD31*Y31/(Y31+Z31+AB31),0)</f>
        <v/>
      </c>
      <c r="AF31" s="47">
        <f>IF(Y31+Z31+AB31&gt;0,AD31*AB31/(Y31+Z31+AB31),0)</f>
        <v/>
      </c>
      <c r="AG31" s="47">
        <f>AD31*family_mult</f>
        <v/>
      </c>
      <c r="AH31" s="47">
        <f>AH30*(1+Paths!C31)+AG31</f>
        <v/>
      </c>
      <c r="AI31" s="47">
        <f>IF(AND(mig_endo=1,$A31&gt;=talent_start),chain_rate*AH30,0)</f>
        <v/>
      </c>
      <c r="AJ31" s="47">
        <f>IF(AND(mig_endo=1,$A31&gt;=talent_start),IF(H30&gt;0,H30*job_fill,H30*job_return)*job_family,0)</f>
        <v/>
      </c>
      <c r="AK31" s="47">
        <f>K31*gw_conv_family</f>
        <v/>
      </c>
      <c r="AL31" s="47">
        <f>AG31+AI31+AJ31+AK31+AR31</f>
        <v/>
      </c>
      <c r="AM31" s="47">
        <f>AM30*(1-skill_ret)+AD31</f>
        <v/>
      </c>
      <c r="AN31" s="64">
        <f>AM31/B31</f>
        <v/>
      </c>
      <c r="AO31" s="64">
        <f>(skill_rel-1+skill_spill)*AM30/B30-AT31</f>
        <v/>
      </c>
      <c r="AP31" s="64">
        <f>talent_champ*AM30/(skill_base_share*B30)</f>
        <v/>
      </c>
      <c r="AQ31" s="45" t="n">
        <v>420000</v>
      </c>
      <c r="AR31" s="47">
        <f>IF(AND(div_on=1,$A31&gt;=div_start),AQ31*MIN(div_max,div_rate*U31)*(1-div_comp*S31),0)</f>
        <v/>
      </c>
      <c r="AS31" s="47">
        <f>AS30*(1-div_assim)+AR31</f>
        <v/>
      </c>
      <c r="AT31" s="64">
        <f>(1-div_rel)*AS30/Economy!B30</f>
        <v/>
      </c>
      <c r="AU31" s="47">
        <f>AU30*(1-skill_ret)+AE31</f>
        <v/>
      </c>
      <c r="AV31" s="47">
        <f>AV30*(1+union_nat)+AR31</f>
        <v/>
      </c>
      <c r="AW31" s="47">
        <f>AW30*(1+union_nat)+AE31*family_mult</f>
        <v/>
      </c>
      <c r="AX31" s="67">
        <f>V31-(AV31+AW31)/1000000</f>
        <v/>
      </c>
      <c r="AY31" s="47">
        <f>L31*gw_union</f>
        <v/>
      </c>
      <c r="AZ31" s="46" t="n">
        <v>1.114</v>
      </c>
      <c r="BA31" s="47">
        <f>Economy!Q31*AZ31/lf_rate</f>
        <v/>
      </c>
      <c r="BB31" s="64">
        <f>bd_growth*AU30/W30</f>
        <v/>
      </c>
      <c r="BC31" s="64">
        <f>tg_k*MIN(1,Economy!O30/BK30)</f>
        <v/>
      </c>
      <c r="BD31" s="64">
        <f>emu_g*S31</f>
        <v/>
      </c>
      <c r="BE31" s="65">
        <f>BE30*(1-BB31-BC31+BD31)</f>
        <v/>
      </c>
      <c r="BF31" s="46" t="n">
        <v>1</v>
      </c>
      <c r="BG31" s="53">
        <f>AU31*BA31*BE31*(skill_rel-1+skill_spill)/1000000</f>
        <v/>
      </c>
      <c r="BH31" s="53">
        <f>union_disp*(Champions!AP31+Champions!AZ31)*(1-IF(union_resp=2,mkt_cut*S31,0))</f>
        <v/>
      </c>
      <c r="BI31" s="53">
        <f>AY31*BA31*BE31/1000000</f>
        <v/>
      </c>
      <c r="BJ31" s="47">
        <f>V31*Economy!Q31*AZ31</f>
        <v/>
      </c>
      <c r="BK31" s="47">
        <f>MAX(0.3*BJ31,AX31*Economy!Q31*AZ31*BE31*BF31-BG31-BH31-BI31)</f>
        <v/>
      </c>
      <c r="BL31" s="63">
        <f>1-BK31/BJ31</f>
        <v/>
      </c>
      <c r="BM31" s="47">
        <f>MAX(0,BH31-BH30)*1000000/BA31</f>
        <v/>
      </c>
      <c r="BN31" s="47">
        <f>BN30*(1-IF(AND($A31&gt;=1930,$A31&lt;=1932),0,union_reabsorb))+BM31</f>
        <v/>
      </c>
      <c r="BO31" s="59" t="n">
        <v>0.04</v>
      </c>
      <c r="BP31" s="63">
        <f>BO31+BN31/(AX31*1000000*lf_rate)</f>
        <v/>
      </c>
    </row>
    <row r="32">
      <c r="A32" s="58" t="n">
        <v>1872</v>
      </c>
      <c r="B32" s="47">
        <f>Economy!B32*lf_rate</f>
        <v/>
      </c>
      <c r="C32" s="47">
        <f>Economy!O32*1000000/(B32+L32)</f>
        <v/>
      </c>
      <c r="D32" s="47">
        <f>Champions!AP32*1000000/(C32*champ_prem)</f>
        <v/>
      </c>
      <c r="E32" s="47">
        <f>D32*job_mult</f>
        <v/>
      </c>
      <c r="F32" s="47">
        <f>D32+E32</f>
        <v/>
      </c>
      <c r="G32" s="63">
        <f>F32/B32</f>
        <v/>
      </c>
      <c r="H32" s="47">
        <f>F32-F31</f>
        <v/>
      </c>
      <c r="I32" s="63">
        <f>MAX(0.005,pac_u_base*IF(Paths!AC32=1,pac_u_war,1)+(okun*(1-Economy!G32)*(B32+L32)-MAX(0,L31-L32))/B32)</f>
        <v/>
      </c>
      <c r="J32" s="47">
        <f>IF(AND(gw_on=1,$A32&gt;=gw_start),MIN(gw_cap*B31,gw_cover*F31+gw_gen*B31),0)</f>
        <v/>
      </c>
      <c r="K32" s="47">
        <f>L31*gw_conv</f>
        <v/>
      </c>
      <c r="L32" s="47">
        <f>MAX(0,L31-K32+gw_adj*(J32-L31))*MAX(0,1-gw_slump*(1-Economy!G32))</f>
        <v/>
      </c>
      <c r="M32" s="47">
        <f>MAX(0,L32-L31+L31/gw_term)</f>
        <v/>
      </c>
      <c r="N32" s="63">
        <f>L32/B32</f>
        <v/>
      </c>
      <c r="O32" s="53">
        <f>Economy!L32</f>
        <v/>
      </c>
      <c r="P32" s="53">
        <f>O32*gw_wage_share</f>
        <v/>
      </c>
      <c r="Q32" s="53">
        <f>P32*gw_levy</f>
        <v/>
      </c>
      <c r="R32" s="53">
        <f>P32*gw_remit</f>
        <v/>
      </c>
      <c r="S32" s="63">
        <f>IF(union_resp&gt;=1,MIN(1,MAX(0,($A32-resp_start)/(resp_full-resp_start))),0)</f>
        <v/>
      </c>
      <c r="T32" s="67">
        <f>Economy!R31</f>
        <v/>
      </c>
      <c r="U32" s="67">
        <f>MAX(0,T32-gap_base)</f>
        <v/>
      </c>
      <c r="V32" s="68" t="n">
        <v>31.52</v>
      </c>
      <c r="W32" s="47">
        <f>V32*1000000*lf_rate*union_skill_share</f>
        <v/>
      </c>
      <c r="X32" s="45" t="n">
        <v>36000</v>
      </c>
      <c r="Y32" s="47">
        <f>IF(AND(mig_endo=1,$A32&gt;=talent_start),talent_rate_u*W32*U32*(1-(1-bd_keep)*S32),0)</f>
        <v/>
      </c>
      <c r="Z32" s="47">
        <f>IF(AND(mig_endo=1,$A32&gt;=talent_start),X32*MIN(0.5,talent_share_o*U32)*(1-eu_comp*S32),0)</f>
        <v/>
      </c>
      <c r="AA32" s="45" t="n">
        <v>0</v>
      </c>
      <c r="AB32" s="47">
        <f>IF(AND(mig_endo=1,$A32&gt;=talent_start),AA32*MIN(0.5,talent_share_a*U32),0)</f>
        <v/>
      </c>
      <c r="AC32" s="47">
        <f>entry_cap*People!B32</f>
        <v/>
      </c>
      <c r="AD32" s="47">
        <f>MIN(AC32,Y32+Z32+AB32)</f>
        <v/>
      </c>
      <c r="AE32" s="47">
        <f>IF(Y32+Z32+AB32&gt;0,AD32*Y32/(Y32+Z32+AB32),0)</f>
        <v/>
      </c>
      <c r="AF32" s="47">
        <f>IF(Y32+Z32+AB32&gt;0,AD32*AB32/(Y32+Z32+AB32),0)</f>
        <v/>
      </c>
      <c r="AG32" s="47">
        <f>AD32*family_mult</f>
        <v/>
      </c>
      <c r="AH32" s="47">
        <f>AH31*(1+Paths!C32)+AG32</f>
        <v/>
      </c>
      <c r="AI32" s="47">
        <f>IF(AND(mig_endo=1,$A32&gt;=talent_start),chain_rate*AH31,0)</f>
        <v/>
      </c>
      <c r="AJ32" s="47">
        <f>IF(AND(mig_endo=1,$A32&gt;=talent_start),IF(H31&gt;0,H31*job_fill,H31*job_return)*job_family,0)</f>
        <v/>
      </c>
      <c r="AK32" s="47">
        <f>K32*gw_conv_family</f>
        <v/>
      </c>
      <c r="AL32" s="47">
        <f>AG32+AI32+AJ32+AK32+AR32</f>
        <v/>
      </c>
      <c r="AM32" s="47">
        <f>AM31*(1-skill_ret)+AD32</f>
        <v/>
      </c>
      <c r="AN32" s="64">
        <f>AM32/B32</f>
        <v/>
      </c>
      <c r="AO32" s="64">
        <f>(skill_rel-1+skill_spill)*AM31/B31-AT32</f>
        <v/>
      </c>
      <c r="AP32" s="64">
        <f>talent_champ*AM31/(skill_base_share*B31)</f>
        <v/>
      </c>
      <c r="AQ32" s="45" t="n">
        <v>440000</v>
      </c>
      <c r="AR32" s="47">
        <f>IF(AND(div_on=1,$A32&gt;=div_start),AQ32*MIN(div_max,div_rate*U32)*(1-div_comp*S32),0)</f>
        <v/>
      </c>
      <c r="AS32" s="47">
        <f>AS31*(1-div_assim)+AR32</f>
        <v/>
      </c>
      <c r="AT32" s="64">
        <f>(1-div_rel)*AS31/Economy!B31</f>
        <v/>
      </c>
      <c r="AU32" s="47">
        <f>AU31*(1-skill_ret)+AE32</f>
        <v/>
      </c>
      <c r="AV32" s="47">
        <f>AV31*(1+union_nat)+AR32</f>
        <v/>
      </c>
      <c r="AW32" s="47">
        <f>AW31*(1+union_nat)+AE32*family_mult</f>
        <v/>
      </c>
      <c r="AX32" s="67">
        <f>V32-(AV32+AW32)/1000000</f>
        <v/>
      </c>
      <c r="AY32" s="47">
        <f>L32*gw_union</f>
        <v/>
      </c>
      <c r="AZ32" s="46" t="n">
        <v>1.113</v>
      </c>
      <c r="BA32" s="47">
        <f>Economy!Q32*AZ32/lf_rate</f>
        <v/>
      </c>
      <c r="BB32" s="64">
        <f>bd_growth*AU31/W31</f>
        <v/>
      </c>
      <c r="BC32" s="64">
        <f>tg_k*MIN(1,Economy!O31/BK31)</f>
        <v/>
      </c>
      <c r="BD32" s="64">
        <f>emu_g*S32</f>
        <v/>
      </c>
      <c r="BE32" s="65">
        <f>BE31*(1-BB32-BC32+BD32)</f>
        <v/>
      </c>
      <c r="BF32" s="46" t="n">
        <v>1</v>
      </c>
      <c r="BG32" s="53">
        <f>AU32*BA32*BE32*(skill_rel-1+skill_spill)/1000000</f>
        <v/>
      </c>
      <c r="BH32" s="53">
        <f>union_disp*(Champions!AP32+Champions!AZ32)*(1-IF(union_resp=2,mkt_cut*S32,0))</f>
        <v/>
      </c>
      <c r="BI32" s="53">
        <f>AY32*BA32*BE32/1000000</f>
        <v/>
      </c>
      <c r="BJ32" s="47">
        <f>V32*Economy!Q32*AZ32</f>
        <v/>
      </c>
      <c r="BK32" s="47">
        <f>MAX(0.3*BJ32,AX32*Economy!Q32*AZ32*BE32*BF32-BG32-BH32-BI32)</f>
        <v/>
      </c>
      <c r="BL32" s="63">
        <f>1-BK32/BJ32</f>
        <v/>
      </c>
      <c r="BM32" s="47">
        <f>MAX(0,BH32-BH31)*1000000/BA32</f>
        <v/>
      </c>
      <c r="BN32" s="47">
        <f>BN31*(1-IF(AND($A32&gt;=1930,$A32&lt;=1932),0,union_reabsorb))+BM32</f>
        <v/>
      </c>
      <c r="BO32" s="59" t="n">
        <v>0.04</v>
      </c>
      <c r="BP32" s="63">
        <f>BO32+BN32/(AX32*1000000*lf_rate)</f>
        <v/>
      </c>
    </row>
    <row r="33">
      <c r="A33" s="58" t="n">
        <v>1873</v>
      </c>
      <c r="B33" s="47">
        <f>Economy!B33*lf_rate</f>
        <v/>
      </c>
      <c r="C33" s="47">
        <f>Economy!O33*1000000/(B33+L33)</f>
        <v/>
      </c>
      <c r="D33" s="47">
        <f>Champions!AP33*1000000/(C33*champ_prem)</f>
        <v/>
      </c>
      <c r="E33" s="47">
        <f>D33*job_mult</f>
        <v/>
      </c>
      <c r="F33" s="47">
        <f>D33+E33</f>
        <v/>
      </c>
      <c r="G33" s="63">
        <f>F33/B33</f>
        <v/>
      </c>
      <c r="H33" s="47">
        <f>F33-F32</f>
        <v/>
      </c>
      <c r="I33" s="63">
        <f>MAX(0.005,pac_u_base*IF(Paths!AC33=1,pac_u_war,1)+(okun*(1-Economy!G33)*(B33+L33)-MAX(0,L32-L33))/B33)</f>
        <v/>
      </c>
      <c r="J33" s="47">
        <f>IF(AND(gw_on=1,$A33&gt;=gw_start),MIN(gw_cap*B32,gw_cover*F32+gw_gen*B32),0)</f>
        <v/>
      </c>
      <c r="K33" s="47">
        <f>L32*gw_conv</f>
        <v/>
      </c>
      <c r="L33" s="47">
        <f>MAX(0,L32-K33+gw_adj*(J33-L32))*MAX(0,1-gw_slump*(1-Economy!G33))</f>
        <v/>
      </c>
      <c r="M33" s="47">
        <f>MAX(0,L33-L32+L32/gw_term)</f>
        <v/>
      </c>
      <c r="N33" s="63">
        <f>L33/B33</f>
        <v/>
      </c>
      <c r="O33" s="53">
        <f>Economy!L33</f>
        <v/>
      </c>
      <c r="P33" s="53">
        <f>O33*gw_wage_share</f>
        <v/>
      </c>
      <c r="Q33" s="53">
        <f>P33*gw_levy</f>
        <v/>
      </c>
      <c r="R33" s="53">
        <f>P33*gw_remit</f>
        <v/>
      </c>
      <c r="S33" s="63">
        <f>IF(union_resp&gt;=1,MIN(1,MAX(0,($A33-resp_start)/(resp_full-resp_start))),0)</f>
        <v/>
      </c>
      <c r="T33" s="67">
        <f>Economy!R32</f>
        <v/>
      </c>
      <c r="U33" s="67">
        <f>MAX(0,T33-gap_base)</f>
        <v/>
      </c>
      <c r="V33" s="68" t="n">
        <v>32.58</v>
      </c>
      <c r="W33" s="47">
        <f>V33*1000000*lf_rate*union_skill_share</f>
        <v/>
      </c>
      <c r="X33" s="45" t="n">
        <v>39000</v>
      </c>
      <c r="Y33" s="47">
        <f>IF(AND(mig_endo=1,$A33&gt;=talent_start),talent_rate_u*W33*U33*(1-(1-bd_keep)*S33),0)</f>
        <v/>
      </c>
      <c r="Z33" s="47">
        <f>IF(AND(mig_endo=1,$A33&gt;=talent_start),X33*MIN(0.5,talent_share_o*U33)*(1-eu_comp*S33),0)</f>
        <v/>
      </c>
      <c r="AA33" s="45" t="n">
        <v>0</v>
      </c>
      <c r="AB33" s="47">
        <f>IF(AND(mig_endo=1,$A33&gt;=talent_start),AA33*MIN(0.5,talent_share_a*U33),0)</f>
        <v/>
      </c>
      <c r="AC33" s="47">
        <f>entry_cap*People!B33</f>
        <v/>
      </c>
      <c r="AD33" s="47">
        <f>MIN(AC33,Y33+Z33+AB33)</f>
        <v/>
      </c>
      <c r="AE33" s="47">
        <f>IF(Y33+Z33+AB33&gt;0,AD33*Y33/(Y33+Z33+AB33),0)</f>
        <v/>
      </c>
      <c r="AF33" s="47">
        <f>IF(Y33+Z33+AB33&gt;0,AD33*AB33/(Y33+Z33+AB33),0)</f>
        <v/>
      </c>
      <c r="AG33" s="47">
        <f>AD33*family_mult</f>
        <v/>
      </c>
      <c r="AH33" s="47">
        <f>AH32*(1+Paths!C33)+AG33</f>
        <v/>
      </c>
      <c r="AI33" s="47">
        <f>IF(AND(mig_endo=1,$A33&gt;=talent_start),chain_rate*AH32,0)</f>
        <v/>
      </c>
      <c r="AJ33" s="47">
        <f>IF(AND(mig_endo=1,$A33&gt;=talent_start),IF(H32&gt;0,H32*job_fill,H32*job_return)*job_family,0)</f>
        <v/>
      </c>
      <c r="AK33" s="47">
        <f>K33*gw_conv_family</f>
        <v/>
      </c>
      <c r="AL33" s="47">
        <f>AG33+AI33+AJ33+AK33+AR33</f>
        <v/>
      </c>
      <c r="AM33" s="47">
        <f>AM32*(1-skill_ret)+AD33</f>
        <v/>
      </c>
      <c r="AN33" s="64">
        <f>AM33/B33</f>
        <v/>
      </c>
      <c r="AO33" s="64">
        <f>(skill_rel-1+skill_spill)*AM32/B32-AT33</f>
        <v/>
      </c>
      <c r="AP33" s="64">
        <f>talent_champ*AM32/(skill_base_share*B32)</f>
        <v/>
      </c>
      <c r="AQ33" s="45" t="n">
        <v>460000</v>
      </c>
      <c r="AR33" s="47">
        <f>IF(AND(div_on=1,$A33&gt;=div_start),AQ33*MIN(div_max,div_rate*U33)*(1-div_comp*S33),0)</f>
        <v/>
      </c>
      <c r="AS33" s="47">
        <f>AS32*(1-div_assim)+AR33</f>
        <v/>
      </c>
      <c r="AT33" s="64">
        <f>(1-div_rel)*AS32/Economy!B32</f>
        <v/>
      </c>
      <c r="AU33" s="47">
        <f>AU32*(1-skill_ret)+AE33</f>
        <v/>
      </c>
      <c r="AV33" s="47">
        <f>AV32*(1+union_nat)+AR33</f>
        <v/>
      </c>
      <c r="AW33" s="47">
        <f>AW32*(1+union_nat)+AE33*family_mult</f>
        <v/>
      </c>
      <c r="AX33" s="67">
        <f>V33-(AV33+AW33)/1000000</f>
        <v/>
      </c>
      <c r="AY33" s="47">
        <f>L33*gw_union</f>
        <v/>
      </c>
      <c r="AZ33" s="46" t="n">
        <v>1.113</v>
      </c>
      <c r="BA33" s="47">
        <f>Economy!Q33*AZ33/lf_rate</f>
        <v/>
      </c>
      <c r="BB33" s="64">
        <f>bd_growth*AU32/W32</f>
        <v/>
      </c>
      <c r="BC33" s="64">
        <f>tg_k*MIN(1,Economy!O32/BK32)</f>
        <v/>
      </c>
      <c r="BD33" s="64">
        <f>emu_g*S33</f>
        <v/>
      </c>
      <c r="BE33" s="65">
        <f>BE32*(1-BB33-BC33+BD33)</f>
        <v/>
      </c>
      <c r="BF33" s="46" t="n">
        <v>1</v>
      </c>
      <c r="BG33" s="53">
        <f>AU33*BA33*BE33*(skill_rel-1+skill_spill)/1000000</f>
        <v/>
      </c>
      <c r="BH33" s="53">
        <f>union_disp*(Champions!AP33+Champions!AZ33)*(1-IF(union_resp=2,mkt_cut*S33,0))</f>
        <v/>
      </c>
      <c r="BI33" s="53">
        <f>AY33*BA33*BE33/1000000</f>
        <v/>
      </c>
      <c r="BJ33" s="47">
        <f>V33*Economy!Q33*AZ33</f>
        <v/>
      </c>
      <c r="BK33" s="47">
        <f>MAX(0.3*BJ33,AX33*Economy!Q33*AZ33*BE33*BF33-BG33-BH33-BI33)</f>
        <v/>
      </c>
      <c r="BL33" s="63">
        <f>1-BK33/BJ33</f>
        <v/>
      </c>
      <c r="BM33" s="47">
        <f>MAX(0,BH33-BH32)*1000000/BA33</f>
        <v/>
      </c>
      <c r="BN33" s="47">
        <f>BN32*(1-IF(AND($A33&gt;=1930,$A33&lt;=1932),0,union_reabsorb))+BM33</f>
        <v/>
      </c>
      <c r="BO33" s="59" t="n">
        <v>0.04</v>
      </c>
      <c r="BP33" s="63">
        <f>BO33+BN33/(AX33*1000000*lf_rate)</f>
        <v/>
      </c>
    </row>
    <row r="34">
      <c r="A34" s="58" t="n">
        <v>1874</v>
      </c>
      <c r="B34" s="47">
        <f>Economy!B34*lf_rate</f>
        <v/>
      </c>
      <c r="C34" s="47">
        <f>Economy!O34*1000000/(B34+L34)</f>
        <v/>
      </c>
      <c r="D34" s="47">
        <f>Champions!AP34*1000000/(C34*champ_prem)</f>
        <v/>
      </c>
      <c r="E34" s="47">
        <f>D34*job_mult</f>
        <v/>
      </c>
      <c r="F34" s="47">
        <f>D34+E34</f>
        <v/>
      </c>
      <c r="G34" s="63">
        <f>F34/B34</f>
        <v/>
      </c>
      <c r="H34" s="47">
        <f>F34-F33</f>
        <v/>
      </c>
      <c r="I34" s="63">
        <f>MAX(0.005,pac_u_base*IF(Paths!AC34=1,pac_u_war,1)+(okun*(1-Economy!G34)*(B34+L34)-MAX(0,L33-L34))/B34)</f>
        <v/>
      </c>
      <c r="J34" s="47">
        <f>IF(AND(gw_on=1,$A34&gt;=gw_start),MIN(gw_cap*B33,gw_cover*F33+gw_gen*B33),0)</f>
        <v/>
      </c>
      <c r="K34" s="47">
        <f>L33*gw_conv</f>
        <v/>
      </c>
      <c r="L34" s="47">
        <f>MAX(0,L33-K34+gw_adj*(J34-L33))*MAX(0,1-gw_slump*(1-Economy!G34))</f>
        <v/>
      </c>
      <c r="M34" s="47">
        <f>MAX(0,L34-L33+L33/gw_term)</f>
        <v/>
      </c>
      <c r="N34" s="63">
        <f>L34/B34</f>
        <v/>
      </c>
      <c r="O34" s="53">
        <f>Economy!L34</f>
        <v/>
      </c>
      <c r="P34" s="53">
        <f>O34*gw_wage_share</f>
        <v/>
      </c>
      <c r="Q34" s="53">
        <f>P34*gw_levy</f>
        <v/>
      </c>
      <c r="R34" s="53">
        <f>P34*gw_remit</f>
        <v/>
      </c>
      <c r="S34" s="63">
        <f>IF(union_resp&gt;=1,MIN(1,MAX(0,($A34-resp_start)/(resp_full-resp_start))),0)</f>
        <v/>
      </c>
      <c r="T34" s="67">
        <f>Economy!R33</f>
        <v/>
      </c>
      <c r="U34" s="67">
        <f>MAX(0,T34-gap_base)</f>
        <v/>
      </c>
      <c r="V34" s="68" t="n">
        <v>33.64</v>
      </c>
      <c r="W34" s="47">
        <f>V34*1000000*lf_rate*union_skill_share</f>
        <v/>
      </c>
      <c r="X34" s="45" t="n">
        <v>42000</v>
      </c>
      <c r="Y34" s="47">
        <f>IF(AND(mig_endo=1,$A34&gt;=talent_start),talent_rate_u*W34*U34*(1-(1-bd_keep)*S34),0)</f>
        <v/>
      </c>
      <c r="Z34" s="47">
        <f>IF(AND(mig_endo=1,$A34&gt;=talent_start),X34*MIN(0.5,talent_share_o*U34)*(1-eu_comp*S34),0)</f>
        <v/>
      </c>
      <c r="AA34" s="45" t="n">
        <v>0</v>
      </c>
      <c r="AB34" s="47">
        <f>IF(AND(mig_endo=1,$A34&gt;=talent_start),AA34*MIN(0.5,talent_share_a*U34),0)</f>
        <v/>
      </c>
      <c r="AC34" s="47">
        <f>entry_cap*People!B34</f>
        <v/>
      </c>
      <c r="AD34" s="47">
        <f>MIN(AC34,Y34+Z34+AB34)</f>
        <v/>
      </c>
      <c r="AE34" s="47">
        <f>IF(Y34+Z34+AB34&gt;0,AD34*Y34/(Y34+Z34+AB34),0)</f>
        <v/>
      </c>
      <c r="AF34" s="47">
        <f>IF(Y34+Z34+AB34&gt;0,AD34*AB34/(Y34+Z34+AB34),0)</f>
        <v/>
      </c>
      <c r="AG34" s="47">
        <f>AD34*family_mult</f>
        <v/>
      </c>
      <c r="AH34" s="47">
        <f>AH33*(1+Paths!C34)+AG34</f>
        <v/>
      </c>
      <c r="AI34" s="47">
        <f>IF(AND(mig_endo=1,$A34&gt;=talent_start),chain_rate*AH33,0)</f>
        <v/>
      </c>
      <c r="AJ34" s="47">
        <f>IF(AND(mig_endo=1,$A34&gt;=talent_start),IF(H33&gt;0,H33*job_fill,H33*job_return)*job_family,0)</f>
        <v/>
      </c>
      <c r="AK34" s="47">
        <f>K34*gw_conv_family</f>
        <v/>
      </c>
      <c r="AL34" s="47">
        <f>AG34+AI34+AJ34+AK34+AR34</f>
        <v/>
      </c>
      <c r="AM34" s="47">
        <f>AM33*(1-skill_ret)+AD34</f>
        <v/>
      </c>
      <c r="AN34" s="64">
        <f>AM34/B34</f>
        <v/>
      </c>
      <c r="AO34" s="64">
        <f>(skill_rel-1+skill_spill)*AM33/B33-AT34</f>
        <v/>
      </c>
      <c r="AP34" s="64">
        <f>talent_champ*AM33/(skill_base_share*B33)</f>
        <v/>
      </c>
      <c r="AQ34" s="45" t="n">
        <v>396000</v>
      </c>
      <c r="AR34" s="47">
        <f>IF(AND(div_on=1,$A34&gt;=div_start),AQ34*MIN(div_max,div_rate*U34)*(1-div_comp*S34),0)</f>
        <v/>
      </c>
      <c r="AS34" s="47">
        <f>AS33*(1-div_assim)+AR34</f>
        <v/>
      </c>
      <c r="AT34" s="64">
        <f>(1-div_rel)*AS33/Economy!B33</f>
        <v/>
      </c>
      <c r="AU34" s="47">
        <f>AU33*(1-skill_ret)+AE34</f>
        <v/>
      </c>
      <c r="AV34" s="47">
        <f>AV33*(1+union_nat)+AR34</f>
        <v/>
      </c>
      <c r="AW34" s="47">
        <f>AW33*(1+union_nat)+AE34*family_mult</f>
        <v/>
      </c>
      <c r="AX34" s="67">
        <f>V34-(AV34+AW34)/1000000</f>
        <v/>
      </c>
      <c r="AY34" s="47">
        <f>L34*gw_union</f>
        <v/>
      </c>
      <c r="AZ34" s="46" t="n">
        <v>1.112</v>
      </c>
      <c r="BA34" s="47">
        <f>Economy!Q34*AZ34/lf_rate</f>
        <v/>
      </c>
      <c r="BB34" s="64">
        <f>bd_growth*AU33/W33</f>
        <v/>
      </c>
      <c r="BC34" s="64">
        <f>tg_k*MIN(1,Economy!O33/BK33)</f>
        <v/>
      </c>
      <c r="BD34" s="64">
        <f>emu_g*S34</f>
        <v/>
      </c>
      <c r="BE34" s="65">
        <f>BE33*(1-BB34-BC34+BD34)</f>
        <v/>
      </c>
      <c r="BF34" s="46" t="n">
        <v>1</v>
      </c>
      <c r="BG34" s="53">
        <f>AU34*BA34*BE34*(skill_rel-1+skill_spill)/1000000</f>
        <v/>
      </c>
      <c r="BH34" s="53">
        <f>union_disp*(Champions!AP34+Champions!AZ34)*(1-IF(union_resp=2,mkt_cut*S34,0))</f>
        <v/>
      </c>
      <c r="BI34" s="53">
        <f>AY34*BA34*BE34/1000000</f>
        <v/>
      </c>
      <c r="BJ34" s="47">
        <f>V34*Economy!Q34*AZ34</f>
        <v/>
      </c>
      <c r="BK34" s="47">
        <f>MAX(0.3*BJ34,AX34*Economy!Q34*AZ34*BE34*BF34-BG34-BH34-BI34)</f>
        <v/>
      </c>
      <c r="BL34" s="63">
        <f>1-BK34/BJ34</f>
        <v/>
      </c>
      <c r="BM34" s="47">
        <f>MAX(0,BH34-BH33)*1000000/BA34</f>
        <v/>
      </c>
      <c r="BN34" s="47">
        <f>BN33*(1-IF(AND($A34&gt;=1930,$A34&lt;=1932),0,union_reabsorb))+BM34</f>
        <v/>
      </c>
      <c r="BO34" s="59" t="n">
        <v>0.04</v>
      </c>
      <c r="BP34" s="63">
        <f>BO34+BN34/(AX34*1000000*lf_rate)</f>
        <v/>
      </c>
    </row>
    <row r="35">
      <c r="A35" s="58" t="n">
        <v>1875</v>
      </c>
      <c r="B35" s="47">
        <f>Economy!B35*lf_rate</f>
        <v/>
      </c>
      <c r="C35" s="47">
        <f>Economy!O35*1000000/(B35+L35)</f>
        <v/>
      </c>
      <c r="D35" s="47">
        <f>Champions!AP35*1000000/(C35*champ_prem)</f>
        <v/>
      </c>
      <c r="E35" s="47">
        <f>D35*job_mult</f>
        <v/>
      </c>
      <c r="F35" s="47">
        <f>D35+E35</f>
        <v/>
      </c>
      <c r="G35" s="63">
        <f>F35/B35</f>
        <v/>
      </c>
      <c r="H35" s="47">
        <f>F35-F34</f>
        <v/>
      </c>
      <c r="I35" s="63">
        <f>MAX(0.005,pac_u_base*IF(Paths!AC35=1,pac_u_war,1)+(okun*(1-Economy!G35)*(B35+L35)-MAX(0,L34-L35))/B35)</f>
        <v/>
      </c>
      <c r="J35" s="47">
        <f>IF(AND(gw_on=1,$A35&gt;=gw_start),MIN(gw_cap*B34,gw_cover*F34+gw_gen*B34),0)</f>
        <v/>
      </c>
      <c r="K35" s="47">
        <f>L34*gw_conv</f>
        <v/>
      </c>
      <c r="L35" s="47">
        <f>MAX(0,L34-K35+gw_adj*(J35-L34))*MAX(0,1-gw_slump*(1-Economy!G35))</f>
        <v/>
      </c>
      <c r="M35" s="47">
        <f>MAX(0,L35-L34+L34/gw_term)</f>
        <v/>
      </c>
      <c r="N35" s="63">
        <f>L35/B35</f>
        <v/>
      </c>
      <c r="O35" s="53">
        <f>Economy!L35</f>
        <v/>
      </c>
      <c r="P35" s="53">
        <f>O35*gw_wage_share</f>
        <v/>
      </c>
      <c r="Q35" s="53">
        <f>P35*gw_levy</f>
        <v/>
      </c>
      <c r="R35" s="53">
        <f>P35*gw_remit</f>
        <v/>
      </c>
      <c r="S35" s="63">
        <f>IF(union_resp&gt;=1,MIN(1,MAX(0,($A35-resp_start)/(resp_full-resp_start))),0)</f>
        <v/>
      </c>
      <c r="T35" s="67">
        <f>Economy!R34</f>
        <v/>
      </c>
      <c r="U35" s="67">
        <f>MAX(0,T35-gap_base)</f>
        <v/>
      </c>
      <c r="V35" s="68" t="n">
        <v>34.7</v>
      </c>
      <c r="W35" s="47">
        <f>V35*1000000*lf_rate*union_skill_share</f>
        <v/>
      </c>
      <c r="X35" s="45" t="n">
        <v>45000</v>
      </c>
      <c r="Y35" s="47">
        <f>IF(AND(mig_endo=1,$A35&gt;=talent_start),talent_rate_u*W35*U35*(1-(1-bd_keep)*S35),0)</f>
        <v/>
      </c>
      <c r="Z35" s="47">
        <f>IF(AND(mig_endo=1,$A35&gt;=talent_start),X35*MIN(0.5,talent_share_o*U35)*(1-eu_comp*S35),0)</f>
        <v/>
      </c>
      <c r="AA35" s="45" t="n">
        <v>0</v>
      </c>
      <c r="AB35" s="47">
        <f>IF(AND(mig_endo=1,$A35&gt;=talent_start),AA35*MIN(0.5,talent_share_a*U35),0)</f>
        <v/>
      </c>
      <c r="AC35" s="47">
        <f>entry_cap*People!B35</f>
        <v/>
      </c>
      <c r="AD35" s="47">
        <f>MIN(AC35,Y35+Z35+AB35)</f>
        <v/>
      </c>
      <c r="AE35" s="47">
        <f>IF(Y35+Z35+AB35&gt;0,AD35*Y35/(Y35+Z35+AB35),0)</f>
        <v/>
      </c>
      <c r="AF35" s="47">
        <f>IF(Y35+Z35+AB35&gt;0,AD35*AB35/(Y35+Z35+AB35),0)</f>
        <v/>
      </c>
      <c r="AG35" s="47">
        <f>AD35*family_mult</f>
        <v/>
      </c>
      <c r="AH35" s="47">
        <f>AH34*(1+Paths!C35)+AG35</f>
        <v/>
      </c>
      <c r="AI35" s="47">
        <f>IF(AND(mig_endo=1,$A35&gt;=talent_start),chain_rate*AH34,0)</f>
        <v/>
      </c>
      <c r="AJ35" s="47">
        <f>IF(AND(mig_endo=1,$A35&gt;=talent_start),IF(H34&gt;0,H34*job_fill,H34*job_return)*job_family,0)</f>
        <v/>
      </c>
      <c r="AK35" s="47">
        <f>K35*gw_conv_family</f>
        <v/>
      </c>
      <c r="AL35" s="47">
        <f>AG35+AI35+AJ35+AK35+AR35</f>
        <v/>
      </c>
      <c r="AM35" s="47">
        <f>AM34*(1-skill_ret)+AD35</f>
        <v/>
      </c>
      <c r="AN35" s="64">
        <f>AM35/B35</f>
        <v/>
      </c>
      <c r="AO35" s="64">
        <f>(skill_rel-1+skill_spill)*AM34/B34-AT35</f>
        <v/>
      </c>
      <c r="AP35" s="64">
        <f>talent_champ*AM34/(skill_base_share*B34)</f>
        <v/>
      </c>
      <c r="AQ35" s="45" t="n">
        <v>332000</v>
      </c>
      <c r="AR35" s="47">
        <f>IF(AND(div_on=1,$A35&gt;=div_start),AQ35*MIN(div_max,div_rate*U35)*(1-div_comp*S35),0)</f>
        <v/>
      </c>
      <c r="AS35" s="47">
        <f>AS34*(1-div_assim)+AR35</f>
        <v/>
      </c>
      <c r="AT35" s="64">
        <f>(1-div_rel)*AS34/Economy!B34</f>
        <v/>
      </c>
      <c r="AU35" s="47">
        <f>AU34*(1-skill_ret)+AE35</f>
        <v/>
      </c>
      <c r="AV35" s="47">
        <f>AV34*(1+union_nat)+AR35</f>
        <v/>
      </c>
      <c r="AW35" s="47">
        <f>AW34*(1+union_nat)+AE35*family_mult</f>
        <v/>
      </c>
      <c r="AX35" s="67">
        <f>V35-(AV35+AW35)/1000000</f>
        <v/>
      </c>
      <c r="AY35" s="47">
        <f>L35*gw_union</f>
        <v/>
      </c>
      <c r="AZ35" s="46" t="n">
        <v>1.111</v>
      </c>
      <c r="BA35" s="47">
        <f>Economy!Q35*AZ35/lf_rate</f>
        <v/>
      </c>
      <c r="BB35" s="64">
        <f>bd_growth*AU34/W34</f>
        <v/>
      </c>
      <c r="BC35" s="64">
        <f>tg_k*MIN(1,Economy!O34/BK34)</f>
        <v/>
      </c>
      <c r="BD35" s="64">
        <f>emu_g*S35</f>
        <v/>
      </c>
      <c r="BE35" s="65">
        <f>BE34*(1-BB35-BC35+BD35)</f>
        <v/>
      </c>
      <c r="BF35" s="46" t="n">
        <v>1</v>
      </c>
      <c r="BG35" s="53">
        <f>AU35*BA35*BE35*(skill_rel-1+skill_spill)/1000000</f>
        <v/>
      </c>
      <c r="BH35" s="53">
        <f>union_disp*(Champions!AP35+Champions!AZ35)*(1-IF(union_resp=2,mkt_cut*S35,0))</f>
        <v/>
      </c>
      <c r="BI35" s="53">
        <f>AY35*BA35*BE35/1000000</f>
        <v/>
      </c>
      <c r="BJ35" s="47">
        <f>V35*Economy!Q35*AZ35</f>
        <v/>
      </c>
      <c r="BK35" s="47">
        <f>MAX(0.3*BJ35,AX35*Economy!Q35*AZ35*BE35*BF35-BG35-BH35-BI35)</f>
        <v/>
      </c>
      <c r="BL35" s="63">
        <f>1-BK35/BJ35</f>
        <v/>
      </c>
      <c r="BM35" s="47">
        <f>MAX(0,BH35-BH34)*1000000/BA35</f>
        <v/>
      </c>
      <c r="BN35" s="47">
        <f>BN34*(1-IF(AND($A35&gt;=1930,$A35&lt;=1932),0,union_reabsorb))+BM35</f>
        <v/>
      </c>
      <c r="BO35" s="59" t="n">
        <v>0.04</v>
      </c>
      <c r="BP35" s="63">
        <f>BO35+BN35/(AX35*1000000*lf_rate)</f>
        <v/>
      </c>
    </row>
    <row r="36">
      <c r="A36" s="58" t="n">
        <v>1876</v>
      </c>
      <c r="B36" s="47">
        <f>Economy!B36*lf_rate</f>
        <v/>
      </c>
      <c r="C36" s="47">
        <f>Economy!O36*1000000/(B36+L36)</f>
        <v/>
      </c>
      <c r="D36" s="47">
        <f>Champions!AP36*1000000/(C36*champ_prem)</f>
        <v/>
      </c>
      <c r="E36" s="47">
        <f>D36*job_mult</f>
        <v/>
      </c>
      <c r="F36" s="47">
        <f>D36+E36</f>
        <v/>
      </c>
      <c r="G36" s="63">
        <f>F36/B36</f>
        <v/>
      </c>
      <c r="H36" s="47">
        <f>F36-F35</f>
        <v/>
      </c>
      <c r="I36" s="63">
        <f>MAX(0.005,pac_u_base*IF(Paths!AC36=1,pac_u_war,1)+(okun*(1-Economy!G36)*(B36+L36)-MAX(0,L35-L36))/B36)</f>
        <v/>
      </c>
      <c r="J36" s="47">
        <f>IF(AND(gw_on=1,$A36&gt;=gw_start),MIN(gw_cap*B35,gw_cover*F35+gw_gen*B35),0)</f>
        <v/>
      </c>
      <c r="K36" s="47">
        <f>L35*gw_conv</f>
        <v/>
      </c>
      <c r="L36" s="47">
        <f>MAX(0,L35-K36+gw_adj*(J36-L35))*MAX(0,1-gw_slump*(1-Economy!G36))</f>
        <v/>
      </c>
      <c r="M36" s="47">
        <f>MAX(0,L36-L35+L35/gw_term)</f>
        <v/>
      </c>
      <c r="N36" s="63">
        <f>L36/B36</f>
        <v/>
      </c>
      <c r="O36" s="53">
        <f>Economy!L36</f>
        <v/>
      </c>
      <c r="P36" s="53">
        <f>O36*gw_wage_share</f>
        <v/>
      </c>
      <c r="Q36" s="53">
        <f>P36*gw_levy</f>
        <v/>
      </c>
      <c r="R36" s="53">
        <f>P36*gw_remit</f>
        <v/>
      </c>
      <c r="S36" s="63">
        <f>IF(union_resp&gt;=1,MIN(1,MAX(0,($A36-resp_start)/(resp_full-resp_start))),0)</f>
        <v/>
      </c>
      <c r="T36" s="67">
        <f>Economy!R35</f>
        <v/>
      </c>
      <c r="U36" s="67">
        <f>MAX(0,T36-gap_base)</f>
        <v/>
      </c>
      <c r="V36" s="68" t="n">
        <v>35.76</v>
      </c>
      <c r="W36" s="47">
        <f>V36*1000000*lf_rate*union_skill_share</f>
        <v/>
      </c>
      <c r="X36" s="45" t="n">
        <v>48000</v>
      </c>
      <c r="Y36" s="47">
        <f>IF(AND(mig_endo=1,$A36&gt;=talent_start),talent_rate_u*W36*U36*(1-(1-bd_keep)*S36),0)</f>
        <v/>
      </c>
      <c r="Z36" s="47">
        <f>IF(AND(mig_endo=1,$A36&gt;=talent_start),X36*MIN(0.5,talent_share_o*U36)*(1-eu_comp*S36),0)</f>
        <v/>
      </c>
      <c r="AA36" s="45" t="n">
        <v>0</v>
      </c>
      <c r="AB36" s="47">
        <f>IF(AND(mig_endo=1,$A36&gt;=talent_start),AA36*MIN(0.5,talent_share_a*U36),0)</f>
        <v/>
      </c>
      <c r="AC36" s="47">
        <f>entry_cap*People!B36</f>
        <v/>
      </c>
      <c r="AD36" s="47">
        <f>MIN(AC36,Y36+Z36+AB36)</f>
        <v/>
      </c>
      <c r="AE36" s="47">
        <f>IF(Y36+Z36+AB36&gt;0,AD36*Y36/(Y36+Z36+AB36),0)</f>
        <v/>
      </c>
      <c r="AF36" s="47">
        <f>IF(Y36+Z36+AB36&gt;0,AD36*AB36/(Y36+Z36+AB36),0)</f>
        <v/>
      </c>
      <c r="AG36" s="47">
        <f>AD36*family_mult</f>
        <v/>
      </c>
      <c r="AH36" s="47">
        <f>AH35*(1+Paths!C36)+AG36</f>
        <v/>
      </c>
      <c r="AI36" s="47">
        <f>IF(AND(mig_endo=1,$A36&gt;=talent_start),chain_rate*AH35,0)</f>
        <v/>
      </c>
      <c r="AJ36" s="47">
        <f>IF(AND(mig_endo=1,$A36&gt;=talent_start),IF(H35&gt;0,H35*job_fill,H35*job_return)*job_family,0)</f>
        <v/>
      </c>
      <c r="AK36" s="47">
        <f>K36*gw_conv_family</f>
        <v/>
      </c>
      <c r="AL36" s="47">
        <f>AG36+AI36+AJ36+AK36+AR36</f>
        <v/>
      </c>
      <c r="AM36" s="47">
        <f>AM35*(1-skill_ret)+AD36</f>
        <v/>
      </c>
      <c r="AN36" s="64">
        <f>AM36/B36</f>
        <v/>
      </c>
      <c r="AO36" s="64">
        <f>(skill_rel-1+skill_spill)*AM35/B35-AT36</f>
        <v/>
      </c>
      <c r="AP36" s="64">
        <f>talent_champ*AM35/(skill_base_share*B35)</f>
        <v/>
      </c>
      <c r="AQ36" s="45" t="n">
        <v>268000</v>
      </c>
      <c r="AR36" s="47">
        <f>IF(AND(div_on=1,$A36&gt;=div_start),AQ36*MIN(div_max,div_rate*U36)*(1-div_comp*S36),0)</f>
        <v/>
      </c>
      <c r="AS36" s="47">
        <f>AS35*(1-div_assim)+AR36</f>
        <v/>
      </c>
      <c r="AT36" s="64">
        <f>(1-div_rel)*AS35/Economy!B35</f>
        <v/>
      </c>
      <c r="AU36" s="47">
        <f>AU35*(1-skill_ret)+AE36</f>
        <v/>
      </c>
      <c r="AV36" s="47">
        <f>AV35*(1+union_nat)+AR36</f>
        <v/>
      </c>
      <c r="AW36" s="47">
        <f>AW35*(1+union_nat)+AE36*family_mult</f>
        <v/>
      </c>
      <c r="AX36" s="67">
        <f>V36-(AV36+AW36)/1000000</f>
        <v/>
      </c>
      <c r="AY36" s="47">
        <f>L36*gw_union</f>
        <v/>
      </c>
      <c r="AZ36" s="46" t="n">
        <v>1.11</v>
      </c>
      <c r="BA36" s="47">
        <f>Economy!Q36*AZ36/lf_rate</f>
        <v/>
      </c>
      <c r="BB36" s="64">
        <f>bd_growth*AU35/W35</f>
        <v/>
      </c>
      <c r="BC36" s="64">
        <f>tg_k*MIN(1,Economy!O35/BK35)</f>
        <v/>
      </c>
      <c r="BD36" s="64">
        <f>emu_g*S36</f>
        <v/>
      </c>
      <c r="BE36" s="65">
        <f>BE35*(1-BB36-BC36+BD36)</f>
        <v/>
      </c>
      <c r="BF36" s="46" t="n">
        <v>1</v>
      </c>
      <c r="BG36" s="53">
        <f>AU36*BA36*BE36*(skill_rel-1+skill_spill)/1000000</f>
        <v/>
      </c>
      <c r="BH36" s="53">
        <f>union_disp*(Champions!AP36+Champions!AZ36)*(1-IF(union_resp=2,mkt_cut*S36,0))</f>
        <v/>
      </c>
      <c r="BI36" s="53">
        <f>AY36*BA36*BE36/1000000</f>
        <v/>
      </c>
      <c r="BJ36" s="47">
        <f>V36*Economy!Q36*AZ36</f>
        <v/>
      </c>
      <c r="BK36" s="47">
        <f>MAX(0.3*BJ36,AX36*Economy!Q36*AZ36*BE36*BF36-BG36-BH36-BI36)</f>
        <v/>
      </c>
      <c r="BL36" s="63">
        <f>1-BK36/BJ36</f>
        <v/>
      </c>
      <c r="BM36" s="47">
        <f>MAX(0,BH36-BH35)*1000000/BA36</f>
        <v/>
      </c>
      <c r="BN36" s="47">
        <f>BN35*(1-IF(AND($A36&gt;=1930,$A36&lt;=1932),0,union_reabsorb))+BM36</f>
        <v/>
      </c>
      <c r="BO36" s="59" t="n">
        <v>0.04</v>
      </c>
      <c r="BP36" s="63">
        <f>BO36+BN36/(AX36*1000000*lf_rate)</f>
        <v/>
      </c>
    </row>
    <row r="37">
      <c r="A37" s="58" t="n">
        <v>1877</v>
      </c>
      <c r="B37" s="47">
        <f>Economy!B37*lf_rate</f>
        <v/>
      </c>
      <c r="C37" s="47">
        <f>Economy!O37*1000000/(B37+L37)</f>
        <v/>
      </c>
      <c r="D37" s="47">
        <f>Champions!AP37*1000000/(C37*champ_prem)</f>
        <v/>
      </c>
      <c r="E37" s="47">
        <f>D37*job_mult</f>
        <v/>
      </c>
      <c r="F37" s="47">
        <f>D37+E37</f>
        <v/>
      </c>
      <c r="G37" s="63">
        <f>F37/B37</f>
        <v/>
      </c>
      <c r="H37" s="47">
        <f>F37-F36</f>
        <v/>
      </c>
      <c r="I37" s="63">
        <f>MAX(0.005,pac_u_base*IF(Paths!AC37=1,pac_u_war,1)+(okun*(1-Economy!G37)*(B37+L37)-MAX(0,L36-L37))/B37)</f>
        <v/>
      </c>
      <c r="J37" s="47">
        <f>IF(AND(gw_on=1,$A37&gt;=gw_start),MIN(gw_cap*B36,gw_cover*F36+gw_gen*B36),0)</f>
        <v/>
      </c>
      <c r="K37" s="47">
        <f>L36*gw_conv</f>
        <v/>
      </c>
      <c r="L37" s="47">
        <f>MAX(0,L36-K37+gw_adj*(J37-L36))*MAX(0,1-gw_slump*(1-Economy!G37))</f>
        <v/>
      </c>
      <c r="M37" s="47">
        <f>MAX(0,L37-L36+L36/gw_term)</f>
        <v/>
      </c>
      <c r="N37" s="63">
        <f>L37/B37</f>
        <v/>
      </c>
      <c r="O37" s="53">
        <f>Economy!L37</f>
        <v/>
      </c>
      <c r="P37" s="53">
        <f>O37*gw_wage_share</f>
        <v/>
      </c>
      <c r="Q37" s="53">
        <f>P37*gw_levy</f>
        <v/>
      </c>
      <c r="R37" s="53">
        <f>P37*gw_remit</f>
        <v/>
      </c>
      <c r="S37" s="63">
        <f>IF(union_resp&gt;=1,MIN(1,MAX(0,($A37-resp_start)/(resp_full-resp_start))),0)</f>
        <v/>
      </c>
      <c r="T37" s="67">
        <f>Economy!R36</f>
        <v/>
      </c>
      <c r="U37" s="67">
        <f>MAX(0,T37-gap_base)</f>
        <v/>
      </c>
      <c r="V37" s="68" t="n">
        <v>36.82</v>
      </c>
      <c r="W37" s="47">
        <f>V37*1000000*lf_rate*union_skill_share</f>
        <v/>
      </c>
      <c r="X37" s="45" t="n">
        <v>51000</v>
      </c>
      <c r="Y37" s="47">
        <f>IF(AND(mig_endo=1,$A37&gt;=talent_start),talent_rate_u*W37*U37*(1-(1-bd_keep)*S37),0)</f>
        <v/>
      </c>
      <c r="Z37" s="47">
        <f>IF(AND(mig_endo=1,$A37&gt;=talent_start),X37*MIN(0.5,talent_share_o*U37)*(1-eu_comp*S37),0)</f>
        <v/>
      </c>
      <c r="AA37" s="45" t="n">
        <v>0</v>
      </c>
      <c r="AB37" s="47">
        <f>IF(AND(mig_endo=1,$A37&gt;=talent_start),AA37*MIN(0.5,talent_share_a*U37),0)</f>
        <v/>
      </c>
      <c r="AC37" s="47">
        <f>entry_cap*People!B37</f>
        <v/>
      </c>
      <c r="AD37" s="47">
        <f>MIN(AC37,Y37+Z37+AB37)</f>
        <v/>
      </c>
      <c r="AE37" s="47">
        <f>IF(Y37+Z37+AB37&gt;0,AD37*Y37/(Y37+Z37+AB37),0)</f>
        <v/>
      </c>
      <c r="AF37" s="47">
        <f>IF(Y37+Z37+AB37&gt;0,AD37*AB37/(Y37+Z37+AB37),0)</f>
        <v/>
      </c>
      <c r="AG37" s="47">
        <f>AD37*family_mult</f>
        <v/>
      </c>
      <c r="AH37" s="47">
        <f>AH36*(1+Paths!C37)+AG37</f>
        <v/>
      </c>
      <c r="AI37" s="47">
        <f>IF(AND(mig_endo=1,$A37&gt;=talent_start),chain_rate*AH36,0)</f>
        <v/>
      </c>
      <c r="AJ37" s="47">
        <f>IF(AND(mig_endo=1,$A37&gt;=talent_start),IF(H36&gt;0,H36*job_fill,H36*job_return)*job_family,0)</f>
        <v/>
      </c>
      <c r="AK37" s="47">
        <f>K37*gw_conv_family</f>
        <v/>
      </c>
      <c r="AL37" s="47">
        <f>AG37+AI37+AJ37+AK37+AR37</f>
        <v/>
      </c>
      <c r="AM37" s="47">
        <f>AM36*(1-skill_ret)+AD37</f>
        <v/>
      </c>
      <c r="AN37" s="64">
        <f>AM37/B37</f>
        <v/>
      </c>
      <c r="AO37" s="64">
        <f>(skill_rel-1+skill_spill)*AM36/B36-AT37</f>
        <v/>
      </c>
      <c r="AP37" s="64">
        <f>talent_champ*AM36/(skill_base_share*B36)</f>
        <v/>
      </c>
      <c r="AQ37" s="45" t="n">
        <v>204000</v>
      </c>
      <c r="AR37" s="47">
        <f>IF(AND(div_on=1,$A37&gt;=div_start),AQ37*MIN(div_max,div_rate*U37)*(1-div_comp*S37),0)</f>
        <v/>
      </c>
      <c r="AS37" s="47">
        <f>AS36*(1-div_assim)+AR37</f>
        <v/>
      </c>
      <c r="AT37" s="64">
        <f>(1-div_rel)*AS36/Economy!B36</f>
        <v/>
      </c>
      <c r="AU37" s="47">
        <f>AU36*(1-skill_ret)+AE37</f>
        <v/>
      </c>
      <c r="AV37" s="47">
        <f>AV36*(1+union_nat)+AR37</f>
        <v/>
      </c>
      <c r="AW37" s="47">
        <f>AW36*(1+union_nat)+AE37*family_mult</f>
        <v/>
      </c>
      <c r="AX37" s="67">
        <f>V37-(AV37+AW37)/1000000</f>
        <v/>
      </c>
      <c r="AY37" s="47">
        <f>L37*gw_union</f>
        <v/>
      </c>
      <c r="AZ37" s="46" t="n">
        <v>1.11</v>
      </c>
      <c r="BA37" s="47">
        <f>Economy!Q37*AZ37/lf_rate</f>
        <v/>
      </c>
      <c r="BB37" s="64">
        <f>bd_growth*AU36/W36</f>
        <v/>
      </c>
      <c r="BC37" s="64">
        <f>tg_k*MIN(1,Economy!O36/BK36)</f>
        <v/>
      </c>
      <c r="BD37" s="64">
        <f>emu_g*S37</f>
        <v/>
      </c>
      <c r="BE37" s="65">
        <f>BE36*(1-BB37-BC37+BD37)</f>
        <v/>
      </c>
      <c r="BF37" s="46" t="n">
        <v>1</v>
      </c>
      <c r="BG37" s="53">
        <f>AU37*BA37*BE37*(skill_rel-1+skill_spill)/1000000</f>
        <v/>
      </c>
      <c r="BH37" s="53">
        <f>union_disp*(Champions!AP37+Champions!AZ37)*(1-IF(union_resp=2,mkt_cut*S37,0))</f>
        <v/>
      </c>
      <c r="BI37" s="53">
        <f>AY37*BA37*BE37/1000000</f>
        <v/>
      </c>
      <c r="BJ37" s="47">
        <f>V37*Economy!Q37*AZ37</f>
        <v/>
      </c>
      <c r="BK37" s="47">
        <f>MAX(0.3*BJ37,AX37*Economy!Q37*AZ37*BE37*BF37-BG37-BH37-BI37)</f>
        <v/>
      </c>
      <c r="BL37" s="63">
        <f>1-BK37/BJ37</f>
        <v/>
      </c>
      <c r="BM37" s="47">
        <f>MAX(0,BH37-BH36)*1000000/BA37</f>
        <v/>
      </c>
      <c r="BN37" s="47">
        <f>BN36*(1-IF(AND($A37&gt;=1930,$A37&lt;=1932),0,union_reabsorb))+BM37</f>
        <v/>
      </c>
      <c r="BO37" s="59" t="n">
        <v>0.04</v>
      </c>
      <c r="BP37" s="63">
        <f>BO37+BN37/(AX37*1000000*lf_rate)</f>
        <v/>
      </c>
    </row>
    <row r="38">
      <c r="A38" s="58" t="n">
        <v>1878</v>
      </c>
      <c r="B38" s="47">
        <f>Economy!B38*lf_rate</f>
        <v/>
      </c>
      <c r="C38" s="47">
        <f>Economy!O38*1000000/(B38+L38)</f>
        <v/>
      </c>
      <c r="D38" s="47">
        <f>Champions!AP38*1000000/(C38*champ_prem)</f>
        <v/>
      </c>
      <c r="E38" s="47">
        <f>D38*job_mult</f>
        <v/>
      </c>
      <c r="F38" s="47">
        <f>D38+E38</f>
        <v/>
      </c>
      <c r="G38" s="63">
        <f>F38/B38</f>
        <v/>
      </c>
      <c r="H38" s="47">
        <f>F38-F37</f>
        <v/>
      </c>
      <c r="I38" s="63">
        <f>MAX(0.005,pac_u_base*IF(Paths!AC38=1,pac_u_war,1)+(okun*(1-Economy!G38)*(B38+L38)-MAX(0,L37-L38))/B38)</f>
        <v/>
      </c>
      <c r="J38" s="47">
        <f>IF(AND(gw_on=1,$A38&gt;=gw_start),MIN(gw_cap*B37,gw_cover*F37+gw_gen*B37),0)</f>
        <v/>
      </c>
      <c r="K38" s="47">
        <f>L37*gw_conv</f>
        <v/>
      </c>
      <c r="L38" s="47">
        <f>MAX(0,L37-K38+gw_adj*(J38-L37))*MAX(0,1-gw_slump*(1-Economy!G38))</f>
        <v/>
      </c>
      <c r="M38" s="47">
        <f>MAX(0,L38-L37+L37/gw_term)</f>
        <v/>
      </c>
      <c r="N38" s="63">
        <f>L38/B38</f>
        <v/>
      </c>
      <c r="O38" s="53">
        <f>Economy!L38</f>
        <v/>
      </c>
      <c r="P38" s="53">
        <f>O38*gw_wage_share</f>
        <v/>
      </c>
      <c r="Q38" s="53">
        <f>P38*gw_levy</f>
        <v/>
      </c>
      <c r="R38" s="53">
        <f>P38*gw_remit</f>
        <v/>
      </c>
      <c r="S38" s="63">
        <f>IF(union_resp&gt;=1,MIN(1,MAX(0,($A38-resp_start)/(resp_full-resp_start))),0)</f>
        <v/>
      </c>
      <c r="T38" s="67">
        <f>Economy!R37</f>
        <v/>
      </c>
      <c r="U38" s="67">
        <f>MAX(0,T38-gap_base)</f>
        <v/>
      </c>
      <c r="V38" s="68" t="n">
        <v>37.88</v>
      </c>
      <c r="W38" s="47">
        <f>V38*1000000*lf_rate*union_skill_share</f>
        <v/>
      </c>
      <c r="X38" s="45" t="n">
        <v>54000</v>
      </c>
      <c r="Y38" s="47">
        <f>IF(AND(mig_endo=1,$A38&gt;=talent_start),talent_rate_u*W38*U38*(1-(1-bd_keep)*S38),0)</f>
        <v/>
      </c>
      <c r="Z38" s="47">
        <f>IF(AND(mig_endo=1,$A38&gt;=talent_start),X38*MIN(0.5,talent_share_o*U38)*(1-eu_comp*S38),0)</f>
        <v/>
      </c>
      <c r="AA38" s="45" t="n">
        <v>0</v>
      </c>
      <c r="AB38" s="47">
        <f>IF(AND(mig_endo=1,$A38&gt;=talent_start),AA38*MIN(0.5,talent_share_a*U38),0)</f>
        <v/>
      </c>
      <c r="AC38" s="47">
        <f>entry_cap*People!B38</f>
        <v/>
      </c>
      <c r="AD38" s="47">
        <f>MIN(AC38,Y38+Z38+AB38)</f>
        <v/>
      </c>
      <c r="AE38" s="47">
        <f>IF(Y38+Z38+AB38&gt;0,AD38*Y38/(Y38+Z38+AB38),0)</f>
        <v/>
      </c>
      <c r="AF38" s="47">
        <f>IF(Y38+Z38+AB38&gt;0,AD38*AB38/(Y38+Z38+AB38),0)</f>
        <v/>
      </c>
      <c r="AG38" s="47">
        <f>AD38*family_mult</f>
        <v/>
      </c>
      <c r="AH38" s="47">
        <f>AH37*(1+Paths!C38)+AG38</f>
        <v/>
      </c>
      <c r="AI38" s="47">
        <f>IF(AND(mig_endo=1,$A38&gt;=talent_start),chain_rate*AH37,0)</f>
        <v/>
      </c>
      <c r="AJ38" s="47">
        <f>IF(AND(mig_endo=1,$A38&gt;=talent_start),IF(H37&gt;0,H37*job_fill,H37*job_return)*job_family,0)</f>
        <v/>
      </c>
      <c r="AK38" s="47">
        <f>K38*gw_conv_family</f>
        <v/>
      </c>
      <c r="AL38" s="47">
        <f>AG38+AI38+AJ38+AK38+AR38</f>
        <v/>
      </c>
      <c r="AM38" s="47">
        <f>AM37*(1-skill_ret)+AD38</f>
        <v/>
      </c>
      <c r="AN38" s="64">
        <f>AM38/B38</f>
        <v/>
      </c>
      <c r="AO38" s="64">
        <f>(skill_rel-1+skill_spill)*AM37/B37-AT38</f>
        <v/>
      </c>
      <c r="AP38" s="64">
        <f>talent_champ*AM37/(skill_base_share*B37)</f>
        <v/>
      </c>
      <c r="AQ38" s="45" t="n">
        <v>140000</v>
      </c>
      <c r="AR38" s="47">
        <f>IF(AND(div_on=1,$A38&gt;=div_start),AQ38*MIN(div_max,div_rate*U38)*(1-div_comp*S38),0)</f>
        <v/>
      </c>
      <c r="AS38" s="47">
        <f>AS37*(1-div_assim)+AR38</f>
        <v/>
      </c>
      <c r="AT38" s="64">
        <f>(1-div_rel)*AS37/Economy!B37</f>
        <v/>
      </c>
      <c r="AU38" s="47">
        <f>AU37*(1-skill_ret)+AE38</f>
        <v/>
      </c>
      <c r="AV38" s="47">
        <f>AV37*(1+union_nat)+AR38</f>
        <v/>
      </c>
      <c r="AW38" s="47">
        <f>AW37*(1+union_nat)+AE38*family_mult</f>
        <v/>
      </c>
      <c r="AX38" s="67">
        <f>V38-(AV38+AW38)/1000000</f>
        <v/>
      </c>
      <c r="AY38" s="47">
        <f>L38*gw_union</f>
        <v/>
      </c>
      <c r="AZ38" s="46" t="n">
        <v>1.109</v>
      </c>
      <c r="BA38" s="47">
        <f>Economy!Q38*AZ38/lf_rate</f>
        <v/>
      </c>
      <c r="BB38" s="64">
        <f>bd_growth*AU37/W37</f>
        <v/>
      </c>
      <c r="BC38" s="64">
        <f>tg_k*MIN(1,Economy!O37/BK37)</f>
        <v/>
      </c>
      <c r="BD38" s="64">
        <f>emu_g*S38</f>
        <v/>
      </c>
      <c r="BE38" s="65">
        <f>BE37*(1-BB38-BC38+BD38)</f>
        <v/>
      </c>
      <c r="BF38" s="46" t="n">
        <v>1</v>
      </c>
      <c r="BG38" s="53">
        <f>AU38*BA38*BE38*(skill_rel-1+skill_spill)/1000000</f>
        <v/>
      </c>
      <c r="BH38" s="53">
        <f>union_disp*(Champions!AP38+Champions!AZ38)*(1-IF(union_resp=2,mkt_cut*S38,0))</f>
        <v/>
      </c>
      <c r="BI38" s="53">
        <f>AY38*BA38*BE38/1000000</f>
        <v/>
      </c>
      <c r="BJ38" s="47">
        <f>V38*Economy!Q38*AZ38</f>
        <v/>
      </c>
      <c r="BK38" s="47">
        <f>MAX(0.3*BJ38,AX38*Economy!Q38*AZ38*BE38*BF38-BG38-BH38-BI38)</f>
        <v/>
      </c>
      <c r="BL38" s="63">
        <f>1-BK38/BJ38</f>
        <v/>
      </c>
      <c r="BM38" s="47">
        <f>MAX(0,BH38-BH37)*1000000/BA38</f>
        <v/>
      </c>
      <c r="BN38" s="47">
        <f>BN37*(1-IF(AND($A38&gt;=1930,$A38&lt;=1932),0,union_reabsorb))+BM38</f>
        <v/>
      </c>
      <c r="BO38" s="59" t="n">
        <v>0.04</v>
      </c>
      <c r="BP38" s="63">
        <f>BO38+BN38/(AX38*1000000*lf_rate)</f>
        <v/>
      </c>
    </row>
    <row r="39">
      <c r="A39" s="58" t="n">
        <v>1879</v>
      </c>
      <c r="B39" s="47">
        <f>Economy!B39*lf_rate</f>
        <v/>
      </c>
      <c r="C39" s="47">
        <f>Economy!O39*1000000/(B39+L39)</f>
        <v/>
      </c>
      <c r="D39" s="47">
        <f>Champions!AP39*1000000/(C39*champ_prem)</f>
        <v/>
      </c>
      <c r="E39" s="47">
        <f>D39*job_mult</f>
        <v/>
      </c>
      <c r="F39" s="47">
        <f>D39+E39</f>
        <v/>
      </c>
      <c r="G39" s="63">
        <f>F39/B39</f>
        <v/>
      </c>
      <c r="H39" s="47">
        <f>F39-F38</f>
        <v/>
      </c>
      <c r="I39" s="63">
        <f>MAX(0.005,pac_u_base*IF(Paths!AC39=1,pac_u_war,1)+(okun*(1-Economy!G39)*(B39+L39)-MAX(0,L38-L39))/B39)</f>
        <v/>
      </c>
      <c r="J39" s="47">
        <f>IF(AND(gw_on=1,$A39&gt;=gw_start),MIN(gw_cap*B38,gw_cover*F38+gw_gen*B38),0)</f>
        <v/>
      </c>
      <c r="K39" s="47">
        <f>L38*gw_conv</f>
        <v/>
      </c>
      <c r="L39" s="47">
        <f>MAX(0,L38-K39+gw_adj*(J39-L38))*MAX(0,1-gw_slump*(1-Economy!G39))</f>
        <v/>
      </c>
      <c r="M39" s="47">
        <f>MAX(0,L39-L38+L38/gw_term)</f>
        <v/>
      </c>
      <c r="N39" s="63">
        <f>L39/B39</f>
        <v/>
      </c>
      <c r="O39" s="53">
        <f>Economy!L39</f>
        <v/>
      </c>
      <c r="P39" s="53">
        <f>O39*gw_wage_share</f>
        <v/>
      </c>
      <c r="Q39" s="53">
        <f>P39*gw_levy</f>
        <v/>
      </c>
      <c r="R39" s="53">
        <f>P39*gw_remit</f>
        <v/>
      </c>
      <c r="S39" s="63">
        <f>IF(union_resp&gt;=1,MIN(1,MAX(0,($A39-resp_start)/(resp_full-resp_start))),0)</f>
        <v/>
      </c>
      <c r="T39" s="67">
        <f>Economy!R38</f>
        <v/>
      </c>
      <c r="U39" s="67">
        <f>MAX(0,T39-gap_base)</f>
        <v/>
      </c>
      <c r="V39" s="68" t="n">
        <v>38.94</v>
      </c>
      <c r="W39" s="47">
        <f>V39*1000000*lf_rate*union_skill_share</f>
        <v/>
      </c>
      <c r="X39" s="45" t="n">
        <v>57000</v>
      </c>
      <c r="Y39" s="47">
        <f>IF(AND(mig_endo=1,$A39&gt;=talent_start),talent_rate_u*W39*U39*(1-(1-bd_keep)*S39),0)</f>
        <v/>
      </c>
      <c r="Z39" s="47">
        <f>IF(AND(mig_endo=1,$A39&gt;=talent_start),X39*MIN(0.5,talent_share_o*U39)*(1-eu_comp*S39),0)</f>
        <v/>
      </c>
      <c r="AA39" s="45" t="n">
        <v>0</v>
      </c>
      <c r="AB39" s="47">
        <f>IF(AND(mig_endo=1,$A39&gt;=talent_start),AA39*MIN(0.5,talent_share_a*U39),0)</f>
        <v/>
      </c>
      <c r="AC39" s="47">
        <f>entry_cap*People!B39</f>
        <v/>
      </c>
      <c r="AD39" s="47">
        <f>MIN(AC39,Y39+Z39+AB39)</f>
        <v/>
      </c>
      <c r="AE39" s="47">
        <f>IF(Y39+Z39+AB39&gt;0,AD39*Y39/(Y39+Z39+AB39),0)</f>
        <v/>
      </c>
      <c r="AF39" s="47">
        <f>IF(Y39+Z39+AB39&gt;0,AD39*AB39/(Y39+Z39+AB39),0)</f>
        <v/>
      </c>
      <c r="AG39" s="47">
        <f>AD39*family_mult</f>
        <v/>
      </c>
      <c r="AH39" s="47">
        <f>AH38*(1+Paths!C39)+AG39</f>
        <v/>
      </c>
      <c r="AI39" s="47">
        <f>IF(AND(mig_endo=1,$A39&gt;=talent_start),chain_rate*AH38,0)</f>
        <v/>
      </c>
      <c r="AJ39" s="47">
        <f>IF(AND(mig_endo=1,$A39&gt;=talent_start),IF(H38&gt;0,H38*job_fill,H38*job_return)*job_family,0)</f>
        <v/>
      </c>
      <c r="AK39" s="47">
        <f>K39*gw_conv_family</f>
        <v/>
      </c>
      <c r="AL39" s="47">
        <f>AG39+AI39+AJ39+AK39+AR39</f>
        <v/>
      </c>
      <c r="AM39" s="47">
        <f>AM38*(1-skill_ret)+AD39</f>
        <v/>
      </c>
      <c r="AN39" s="64">
        <f>AM39/B39</f>
        <v/>
      </c>
      <c r="AO39" s="64">
        <f>(skill_rel-1+skill_spill)*AM38/B38-AT39</f>
        <v/>
      </c>
      <c r="AP39" s="64">
        <f>talent_champ*AM38/(skill_base_share*B38)</f>
        <v/>
      </c>
      <c r="AQ39" s="45" t="n">
        <v>302000</v>
      </c>
      <c r="AR39" s="47">
        <f>IF(AND(div_on=1,$A39&gt;=div_start),AQ39*MIN(div_max,div_rate*U39)*(1-div_comp*S39),0)</f>
        <v/>
      </c>
      <c r="AS39" s="47">
        <f>AS38*(1-div_assim)+AR39</f>
        <v/>
      </c>
      <c r="AT39" s="64">
        <f>(1-div_rel)*AS38/Economy!B38</f>
        <v/>
      </c>
      <c r="AU39" s="47">
        <f>AU38*(1-skill_ret)+AE39</f>
        <v/>
      </c>
      <c r="AV39" s="47">
        <f>AV38*(1+union_nat)+AR39</f>
        <v/>
      </c>
      <c r="AW39" s="47">
        <f>AW38*(1+union_nat)+AE39*family_mult</f>
        <v/>
      </c>
      <c r="AX39" s="67">
        <f>V39-(AV39+AW39)/1000000</f>
        <v/>
      </c>
      <c r="AY39" s="47">
        <f>L39*gw_union</f>
        <v/>
      </c>
      <c r="AZ39" s="46" t="n">
        <v>1.108</v>
      </c>
      <c r="BA39" s="47">
        <f>Economy!Q39*AZ39/lf_rate</f>
        <v/>
      </c>
      <c r="BB39" s="64">
        <f>bd_growth*AU38/W38</f>
        <v/>
      </c>
      <c r="BC39" s="64">
        <f>tg_k*MIN(1,Economy!O38/BK38)</f>
        <v/>
      </c>
      <c r="BD39" s="64">
        <f>emu_g*S39</f>
        <v/>
      </c>
      <c r="BE39" s="65">
        <f>BE38*(1-BB39-BC39+BD39)</f>
        <v/>
      </c>
      <c r="BF39" s="46" t="n">
        <v>1</v>
      </c>
      <c r="BG39" s="53">
        <f>AU39*BA39*BE39*(skill_rel-1+skill_spill)/1000000</f>
        <v/>
      </c>
      <c r="BH39" s="53">
        <f>union_disp*(Champions!AP39+Champions!AZ39)*(1-IF(union_resp=2,mkt_cut*S39,0))</f>
        <v/>
      </c>
      <c r="BI39" s="53">
        <f>AY39*BA39*BE39/1000000</f>
        <v/>
      </c>
      <c r="BJ39" s="47">
        <f>V39*Economy!Q39*AZ39</f>
        <v/>
      </c>
      <c r="BK39" s="47">
        <f>MAX(0.3*BJ39,AX39*Economy!Q39*AZ39*BE39*BF39-BG39-BH39-BI39)</f>
        <v/>
      </c>
      <c r="BL39" s="63">
        <f>1-BK39/BJ39</f>
        <v/>
      </c>
      <c r="BM39" s="47">
        <f>MAX(0,BH39-BH38)*1000000/BA39</f>
        <v/>
      </c>
      <c r="BN39" s="47">
        <f>BN38*(1-IF(AND($A39&gt;=1930,$A39&lt;=1932),0,union_reabsorb))+BM39</f>
        <v/>
      </c>
      <c r="BO39" s="59" t="n">
        <v>0.04</v>
      </c>
      <c r="BP39" s="63">
        <f>BO39+BN39/(AX39*1000000*lf_rate)</f>
        <v/>
      </c>
    </row>
    <row r="40">
      <c r="A40" s="58" t="n">
        <v>1880</v>
      </c>
      <c r="B40" s="47">
        <f>Economy!B40*lf_rate</f>
        <v/>
      </c>
      <c r="C40" s="47">
        <f>Economy!O40*1000000/(B40+L40)</f>
        <v/>
      </c>
      <c r="D40" s="47">
        <f>Champions!AP40*1000000/(C40*champ_prem)</f>
        <v/>
      </c>
      <c r="E40" s="47">
        <f>D40*job_mult</f>
        <v/>
      </c>
      <c r="F40" s="47">
        <f>D40+E40</f>
        <v/>
      </c>
      <c r="G40" s="63">
        <f>F40/B40</f>
        <v/>
      </c>
      <c r="H40" s="47">
        <f>F40-F39</f>
        <v/>
      </c>
      <c r="I40" s="63">
        <f>MAX(0.005,pac_u_base*IF(Paths!AC40=1,pac_u_war,1)+(okun*(1-Economy!G40)*(B40+L40)-MAX(0,L39-L40))/B40)</f>
        <v/>
      </c>
      <c r="J40" s="47">
        <f>IF(AND(gw_on=1,$A40&gt;=gw_start),MIN(gw_cap*B39,gw_cover*F39+gw_gen*B39),0)</f>
        <v/>
      </c>
      <c r="K40" s="47">
        <f>L39*gw_conv</f>
        <v/>
      </c>
      <c r="L40" s="47">
        <f>MAX(0,L39-K40+gw_adj*(J40-L39))*MAX(0,1-gw_slump*(1-Economy!G40))</f>
        <v/>
      </c>
      <c r="M40" s="47">
        <f>MAX(0,L40-L39+L39/gw_term)</f>
        <v/>
      </c>
      <c r="N40" s="63">
        <f>L40/B40</f>
        <v/>
      </c>
      <c r="O40" s="53">
        <f>Economy!L40</f>
        <v/>
      </c>
      <c r="P40" s="53">
        <f>O40*gw_wage_share</f>
        <v/>
      </c>
      <c r="Q40" s="53">
        <f>P40*gw_levy</f>
        <v/>
      </c>
      <c r="R40" s="53">
        <f>P40*gw_remit</f>
        <v/>
      </c>
      <c r="S40" s="63">
        <f>IF(union_resp&gt;=1,MIN(1,MAX(0,($A40-resp_start)/(resp_full-resp_start))),0)</f>
        <v/>
      </c>
      <c r="T40" s="67">
        <f>Economy!R39</f>
        <v/>
      </c>
      <c r="U40" s="67">
        <f>MAX(0,T40-gap_base)</f>
        <v/>
      </c>
      <c r="V40" s="68" t="n">
        <v>40</v>
      </c>
      <c r="W40" s="47">
        <f>V40*1000000*lf_rate*union_skill_share</f>
        <v/>
      </c>
      <c r="X40" s="45" t="n">
        <v>60000</v>
      </c>
      <c r="Y40" s="47">
        <f>IF(AND(mig_endo=1,$A40&gt;=talent_start),talent_rate_u*W40*U40*(1-(1-bd_keep)*S40),0)</f>
        <v/>
      </c>
      <c r="Z40" s="47">
        <f>IF(AND(mig_endo=1,$A40&gt;=talent_start),X40*MIN(0.5,talent_share_o*U40)*(1-eu_comp*S40),0)</f>
        <v/>
      </c>
      <c r="AA40" s="45" t="n">
        <v>5000</v>
      </c>
      <c r="AB40" s="47">
        <f>IF(AND(mig_endo=1,$A40&gt;=talent_start),AA40*MIN(0.5,talent_share_a*U40),0)</f>
        <v/>
      </c>
      <c r="AC40" s="47">
        <f>entry_cap*People!B40</f>
        <v/>
      </c>
      <c r="AD40" s="47">
        <f>MIN(AC40,Y40+Z40+AB40)</f>
        <v/>
      </c>
      <c r="AE40" s="47">
        <f>IF(Y40+Z40+AB40&gt;0,AD40*Y40/(Y40+Z40+AB40),0)</f>
        <v/>
      </c>
      <c r="AF40" s="47">
        <f>IF(Y40+Z40+AB40&gt;0,AD40*AB40/(Y40+Z40+AB40),0)</f>
        <v/>
      </c>
      <c r="AG40" s="47">
        <f>AD40*family_mult</f>
        <v/>
      </c>
      <c r="AH40" s="47">
        <f>AH39*(1+Paths!C40)+AG40</f>
        <v/>
      </c>
      <c r="AI40" s="47">
        <f>IF(AND(mig_endo=1,$A40&gt;=talent_start),chain_rate*AH39,0)</f>
        <v/>
      </c>
      <c r="AJ40" s="47">
        <f>IF(AND(mig_endo=1,$A40&gt;=talent_start),IF(H39&gt;0,H39*job_fill,H39*job_return)*job_family,0)</f>
        <v/>
      </c>
      <c r="AK40" s="47">
        <f>K40*gw_conv_family</f>
        <v/>
      </c>
      <c r="AL40" s="47">
        <f>AG40+AI40+AJ40+AK40+AR40</f>
        <v/>
      </c>
      <c r="AM40" s="47">
        <f>AM39*(1-skill_ret)+AD40</f>
        <v/>
      </c>
      <c r="AN40" s="64">
        <f>AM40/B40</f>
        <v/>
      </c>
      <c r="AO40" s="64">
        <f>(skill_rel-1+skill_spill)*AM39/B39-AT40</f>
        <v/>
      </c>
      <c r="AP40" s="64">
        <f>talent_champ*AM39/(skill_base_share*B39)</f>
        <v/>
      </c>
      <c r="AQ40" s="45" t="n">
        <v>465000</v>
      </c>
      <c r="AR40" s="47">
        <f>IF(AND(div_on=1,$A40&gt;=div_start),AQ40*MIN(div_max,div_rate*U40)*(1-div_comp*S40),0)</f>
        <v/>
      </c>
      <c r="AS40" s="47">
        <f>AS39*(1-div_assim)+AR40</f>
        <v/>
      </c>
      <c r="AT40" s="64">
        <f>(1-div_rel)*AS39/Economy!B39</f>
        <v/>
      </c>
      <c r="AU40" s="47">
        <f>AU39*(1-skill_ret)+AE40</f>
        <v/>
      </c>
      <c r="AV40" s="47">
        <f>AV39*(1+union_nat)+AR40</f>
        <v/>
      </c>
      <c r="AW40" s="47">
        <f>AW39*(1+union_nat)+AE40*family_mult</f>
        <v/>
      </c>
      <c r="AX40" s="67">
        <f>V40-(AV40+AW40)/1000000</f>
        <v/>
      </c>
      <c r="AY40" s="47">
        <f>L40*gw_union</f>
        <v/>
      </c>
      <c r="AZ40" s="46" t="n">
        <v>1.107</v>
      </c>
      <c r="BA40" s="47">
        <f>Economy!Q40*AZ40/lf_rate</f>
        <v/>
      </c>
      <c r="BB40" s="64">
        <f>bd_growth*AU39/W39</f>
        <v/>
      </c>
      <c r="BC40" s="64">
        <f>tg_k*MIN(1,Economy!O39/BK39)</f>
        <v/>
      </c>
      <c r="BD40" s="64">
        <f>emu_g*S40</f>
        <v/>
      </c>
      <c r="BE40" s="65">
        <f>BE39*(1-BB40-BC40+BD40)</f>
        <v/>
      </c>
      <c r="BF40" s="46" t="n">
        <v>1</v>
      </c>
      <c r="BG40" s="53">
        <f>AU40*BA40*BE40*(skill_rel-1+skill_spill)/1000000</f>
        <v/>
      </c>
      <c r="BH40" s="53">
        <f>union_disp*(Champions!AP40+Champions!AZ40)*(1-IF(union_resp=2,mkt_cut*S40,0))</f>
        <v/>
      </c>
      <c r="BI40" s="53">
        <f>AY40*BA40*BE40/1000000</f>
        <v/>
      </c>
      <c r="BJ40" s="47">
        <f>V40*Economy!Q40*AZ40</f>
        <v/>
      </c>
      <c r="BK40" s="47">
        <f>MAX(0.3*BJ40,AX40*Economy!Q40*AZ40*BE40*BF40-BG40-BH40-BI40)</f>
        <v/>
      </c>
      <c r="BL40" s="63">
        <f>1-BK40/BJ40</f>
        <v/>
      </c>
      <c r="BM40" s="47">
        <f>MAX(0,BH40-BH39)*1000000/BA40</f>
        <v/>
      </c>
      <c r="BN40" s="47">
        <f>BN39*(1-IF(AND($A40&gt;=1930,$A40&lt;=1932),0,union_reabsorb))+BM40</f>
        <v/>
      </c>
      <c r="BO40" s="59" t="n">
        <v>0.04</v>
      </c>
      <c r="BP40" s="63">
        <f>BO40+BN40/(AX40*1000000*lf_rate)</f>
        <v/>
      </c>
    </row>
    <row r="41">
      <c r="A41" s="58" t="n">
        <v>1881</v>
      </c>
      <c r="B41" s="47">
        <f>Economy!B41*lf_rate</f>
        <v/>
      </c>
      <c r="C41" s="47">
        <f>Economy!O41*1000000/(B41+L41)</f>
        <v/>
      </c>
      <c r="D41" s="47">
        <f>Champions!AP41*1000000/(C41*champ_prem)</f>
        <v/>
      </c>
      <c r="E41" s="47">
        <f>D41*job_mult</f>
        <v/>
      </c>
      <c r="F41" s="47">
        <f>D41+E41</f>
        <v/>
      </c>
      <c r="G41" s="63">
        <f>F41/B41</f>
        <v/>
      </c>
      <c r="H41" s="47">
        <f>F41-F40</f>
        <v/>
      </c>
      <c r="I41" s="63">
        <f>MAX(0.005,pac_u_base*IF(Paths!AC41=1,pac_u_war,1)+(okun*(1-Economy!G41)*(B41+L41)-MAX(0,L40-L41))/B41)</f>
        <v/>
      </c>
      <c r="J41" s="47">
        <f>IF(AND(gw_on=1,$A41&gt;=gw_start),MIN(gw_cap*B40,gw_cover*F40+gw_gen*B40),0)</f>
        <v/>
      </c>
      <c r="K41" s="47">
        <f>L40*gw_conv</f>
        <v/>
      </c>
      <c r="L41" s="47">
        <f>MAX(0,L40-K41+gw_adj*(J41-L40))*MAX(0,1-gw_slump*(1-Economy!G41))</f>
        <v/>
      </c>
      <c r="M41" s="47">
        <f>MAX(0,L41-L40+L40/gw_term)</f>
        <v/>
      </c>
      <c r="N41" s="63">
        <f>L41/B41</f>
        <v/>
      </c>
      <c r="O41" s="53">
        <f>Economy!L41</f>
        <v/>
      </c>
      <c r="P41" s="53">
        <f>O41*gw_wage_share</f>
        <v/>
      </c>
      <c r="Q41" s="53">
        <f>P41*gw_levy</f>
        <v/>
      </c>
      <c r="R41" s="53">
        <f>P41*gw_remit</f>
        <v/>
      </c>
      <c r="S41" s="63">
        <f>IF(union_resp&gt;=1,MIN(1,MAX(0,($A41-resp_start)/(resp_full-resp_start))),0)</f>
        <v/>
      </c>
      <c r="T41" s="67">
        <f>Economy!R40</f>
        <v/>
      </c>
      <c r="U41" s="67">
        <f>MAX(0,T41-gap_base)</f>
        <v/>
      </c>
      <c r="V41" s="68" t="n">
        <v>41</v>
      </c>
      <c r="W41" s="47">
        <f>V41*1000000*lf_rate*union_skill_share</f>
        <v/>
      </c>
      <c r="X41" s="45" t="n">
        <v>62000</v>
      </c>
      <c r="Y41" s="47">
        <f>IF(AND(mig_endo=1,$A41&gt;=talent_start),talent_rate_u*W41*U41*(1-(1-bd_keep)*S41),0)</f>
        <v/>
      </c>
      <c r="Z41" s="47">
        <f>IF(AND(mig_endo=1,$A41&gt;=talent_start),X41*MIN(0.5,talent_share_o*U41)*(1-eu_comp*S41),0)</f>
        <v/>
      </c>
      <c r="AA41" s="45" t="n">
        <v>6000</v>
      </c>
      <c r="AB41" s="47">
        <f>IF(AND(mig_endo=1,$A41&gt;=talent_start),AA41*MIN(0.5,talent_share_a*U41),0)</f>
        <v/>
      </c>
      <c r="AC41" s="47">
        <f>entry_cap*People!B41</f>
        <v/>
      </c>
      <c r="AD41" s="47">
        <f>MIN(AC41,Y41+Z41+AB41)</f>
        <v/>
      </c>
      <c r="AE41" s="47">
        <f>IF(Y41+Z41+AB41&gt;0,AD41*Y41/(Y41+Z41+AB41),0)</f>
        <v/>
      </c>
      <c r="AF41" s="47">
        <f>IF(Y41+Z41+AB41&gt;0,AD41*AB41/(Y41+Z41+AB41),0)</f>
        <v/>
      </c>
      <c r="AG41" s="47">
        <f>AD41*family_mult</f>
        <v/>
      </c>
      <c r="AH41" s="47">
        <f>AH40*(1+Paths!C41)+AG41</f>
        <v/>
      </c>
      <c r="AI41" s="47">
        <f>IF(AND(mig_endo=1,$A41&gt;=talent_start),chain_rate*AH40,0)</f>
        <v/>
      </c>
      <c r="AJ41" s="47">
        <f>IF(AND(mig_endo=1,$A41&gt;=talent_start),IF(H40&gt;0,H40*job_fill,H40*job_return)*job_family,0)</f>
        <v/>
      </c>
      <c r="AK41" s="47">
        <f>K41*gw_conv_family</f>
        <v/>
      </c>
      <c r="AL41" s="47">
        <f>AG41+AI41+AJ41+AK41+AR41</f>
        <v/>
      </c>
      <c r="AM41" s="47">
        <f>AM40*(1-skill_ret)+AD41</f>
        <v/>
      </c>
      <c r="AN41" s="64">
        <f>AM41/B41</f>
        <v/>
      </c>
      <c r="AO41" s="64">
        <f>(skill_rel-1+skill_spill)*AM40/B40-AT41</f>
        <v/>
      </c>
      <c r="AP41" s="64">
        <f>talent_champ*AM40/(skill_base_share*B40)</f>
        <v/>
      </c>
      <c r="AQ41" s="45" t="n">
        <v>628000</v>
      </c>
      <c r="AR41" s="47">
        <f>IF(AND(div_on=1,$A41&gt;=div_start),AQ41*MIN(div_max,div_rate*U41)*(1-div_comp*S41),0)</f>
        <v/>
      </c>
      <c r="AS41" s="47">
        <f>AS40*(1-div_assim)+AR41</f>
        <v/>
      </c>
      <c r="AT41" s="64">
        <f>(1-div_rel)*AS40/Economy!B40</f>
        <v/>
      </c>
      <c r="AU41" s="47">
        <f>AU40*(1-skill_ret)+AE41</f>
        <v/>
      </c>
      <c r="AV41" s="47">
        <f>AV40*(1+union_nat)+AR41</f>
        <v/>
      </c>
      <c r="AW41" s="47">
        <f>AW40*(1+union_nat)+AE41*family_mult</f>
        <v/>
      </c>
      <c r="AX41" s="67">
        <f>V41-(AV41+AW41)/1000000</f>
        <v/>
      </c>
      <c r="AY41" s="47">
        <f>L41*gw_union</f>
        <v/>
      </c>
      <c r="AZ41" s="46" t="n">
        <v>1.107</v>
      </c>
      <c r="BA41" s="47">
        <f>Economy!Q41*AZ41/lf_rate</f>
        <v/>
      </c>
      <c r="BB41" s="64">
        <f>bd_growth*AU40/W40</f>
        <v/>
      </c>
      <c r="BC41" s="64">
        <f>tg_k*MIN(1,Economy!O40/BK40)</f>
        <v/>
      </c>
      <c r="BD41" s="64">
        <f>emu_g*S41</f>
        <v/>
      </c>
      <c r="BE41" s="65">
        <f>BE40*(1-BB41-BC41+BD41)</f>
        <v/>
      </c>
      <c r="BF41" s="46" t="n">
        <v>1</v>
      </c>
      <c r="BG41" s="53">
        <f>AU41*BA41*BE41*(skill_rel-1+skill_spill)/1000000</f>
        <v/>
      </c>
      <c r="BH41" s="53">
        <f>union_disp*(Champions!AP41+Champions!AZ41)*(1-IF(union_resp=2,mkt_cut*S41,0))</f>
        <v/>
      </c>
      <c r="BI41" s="53">
        <f>AY41*BA41*BE41/1000000</f>
        <v/>
      </c>
      <c r="BJ41" s="47">
        <f>V41*Economy!Q41*AZ41</f>
        <v/>
      </c>
      <c r="BK41" s="47">
        <f>MAX(0.3*BJ41,AX41*Economy!Q41*AZ41*BE41*BF41-BG41-BH41-BI41)</f>
        <v/>
      </c>
      <c r="BL41" s="63">
        <f>1-BK41/BJ41</f>
        <v/>
      </c>
      <c r="BM41" s="47">
        <f>MAX(0,BH41-BH40)*1000000/BA41</f>
        <v/>
      </c>
      <c r="BN41" s="47">
        <f>BN40*(1-IF(AND($A41&gt;=1930,$A41&lt;=1932),0,union_reabsorb))+BM41</f>
        <v/>
      </c>
      <c r="BO41" s="59" t="n">
        <v>0.04</v>
      </c>
      <c r="BP41" s="63">
        <f>BO41+BN41/(AX41*1000000*lf_rate)</f>
        <v/>
      </c>
    </row>
    <row r="42">
      <c r="A42" s="58" t="n">
        <v>1882</v>
      </c>
      <c r="B42" s="47">
        <f>Economy!B42*lf_rate</f>
        <v/>
      </c>
      <c r="C42" s="47">
        <f>Economy!O42*1000000/(B42+L42)</f>
        <v/>
      </c>
      <c r="D42" s="47">
        <f>Champions!AP42*1000000/(C42*champ_prem)</f>
        <v/>
      </c>
      <c r="E42" s="47">
        <f>D42*job_mult</f>
        <v/>
      </c>
      <c r="F42" s="47">
        <f>D42+E42</f>
        <v/>
      </c>
      <c r="G42" s="63">
        <f>F42/B42</f>
        <v/>
      </c>
      <c r="H42" s="47">
        <f>F42-F41</f>
        <v/>
      </c>
      <c r="I42" s="63">
        <f>MAX(0.005,pac_u_base*IF(Paths!AC42=1,pac_u_war,1)+(okun*(1-Economy!G42)*(B42+L42)-MAX(0,L41-L42))/B42)</f>
        <v/>
      </c>
      <c r="J42" s="47">
        <f>IF(AND(gw_on=1,$A42&gt;=gw_start),MIN(gw_cap*B41,gw_cover*F41+gw_gen*B41),0)</f>
        <v/>
      </c>
      <c r="K42" s="47">
        <f>L41*gw_conv</f>
        <v/>
      </c>
      <c r="L42" s="47">
        <f>MAX(0,L41-K42+gw_adj*(J42-L41))*MAX(0,1-gw_slump*(1-Economy!G42))</f>
        <v/>
      </c>
      <c r="M42" s="47">
        <f>MAX(0,L42-L41+L41/gw_term)</f>
        <v/>
      </c>
      <c r="N42" s="63">
        <f>L42/B42</f>
        <v/>
      </c>
      <c r="O42" s="53">
        <f>Economy!L42</f>
        <v/>
      </c>
      <c r="P42" s="53">
        <f>O42*gw_wage_share</f>
        <v/>
      </c>
      <c r="Q42" s="53">
        <f>P42*gw_levy</f>
        <v/>
      </c>
      <c r="R42" s="53">
        <f>P42*gw_remit</f>
        <v/>
      </c>
      <c r="S42" s="63">
        <f>IF(union_resp&gt;=1,MIN(1,MAX(0,($A42-resp_start)/(resp_full-resp_start))),0)</f>
        <v/>
      </c>
      <c r="T42" s="67">
        <f>Economy!R41</f>
        <v/>
      </c>
      <c r="U42" s="67">
        <f>MAX(0,T42-gap_base)</f>
        <v/>
      </c>
      <c r="V42" s="68" t="n">
        <v>42</v>
      </c>
      <c r="W42" s="47">
        <f>V42*1000000*lf_rate*union_skill_share</f>
        <v/>
      </c>
      <c r="X42" s="45" t="n">
        <v>64000</v>
      </c>
      <c r="Y42" s="47">
        <f>IF(AND(mig_endo=1,$A42&gt;=talent_start),talent_rate_u*W42*U42*(1-(1-bd_keep)*S42),0)</f>
        <v/>
      </c>
      <c r="Z42" s="47">
        <f>IF(AND(mig_endo=1,$A42&gt;=talent_start),X42*MIN(0.5,talent_share_o*U42)*(1-eu_comp*S42),0)</f>
        <v/>
      </c>
      <c r="AA42" s="45" t="n">
        <v>6000</v>
      </c>
      <c r="AB42" s="47">
        <f>IF(AND(mig_endo=1,$A42&gt;=talent_start),AA42*MIN(0.5,talent_share_a*U42),0)</f>
        <v/>
      </c>
      <c r="AC42" s="47">
        <f>entry_cap*People!B42</f>
        <v/>
      </c>
      <c r="AD42" s="47">
        <f>MIN(AC42,Y42+Z42+AB42)</f>
        <v/>
      </c>
      <c r="AE42" s="47">
        <f>IF(Y42+Z42+AB42&gt;0,AD42*Y42/(Y42+Z42+AB42),0)</f>
        <v/>
      </c>
      <c r="AF42" s="47">
        <f>IF(Y42+Z42+AB42&gt;0,AD42*AB42/(Y42+Z42+AB42),0)</f>
        <v/>
      </c>
      <c r="AG42" s="47">
        <f>AD42*family_mult</f>
        <v/>
      </c>
      <c r="AH42" s="47">
        <f>AH41*(1+Paths!C42)+AG42</f>
        <v/>
      </c>
      <c r="AI42" s="47">
        <f>IF(AND(mig_endo=1,$A42&gt;=talent_start),chain_rate*AH41,0)</f>
        <v/>
      </c>
      <c r="AJ42" s="47">
        <f>IF(AND(mig_endo=1,$A42&gt;=talent_start),IF(H41&gt;0,H41*job_fill,H41*job_return)*job_family,0)</f>
        <v/>
      </c>
      <c r="AK42" s="47">
        <f>K42*gw_conv_family</f>
        <v/>
      </c>
      <c r="AL42" s="47">
        <f>AG42+AI42+AJ42+AK42+AR42</f>
        <v/>
      </c>
      <c r="AM42" s="47">
        <f>AM41*(1-skill_ret)+AD42</f>
        <v/>
      </c>
      <c r="AN42" s="64">
        <f>AM42/B42</f>
        <v/>
      </c>
      <c r="AO42" s="64">
        <f>(skill_rel-1+skill_spill)*AM41/B41-AT42</f>
        <v/>
      </c>
      <c r="AP42" s="64">
        <f>talent_champ*AM41/(skill_base_share*B41)</f>
        <v/>
      </c>
      <c r="AQ42" s="45" t="n">
        <v>790000</v>
      </c>
      <c r="AR42" s="47">
        <f>IF(AND(div_on=1,$A42&gt;=div_start),AQ42*MIN(div_max,div_rate*U42)*(1-div_comp*S42),0)</f>
        <v/>
      </c>
      <c r="AS42" s="47">
        <f>AS41*(1-div_assim)+AR42</f>
        <v/>
      </c>
      <c r="AT42" s="64">
        <f>(1-div_rel)*AS41/Economy!B41</f>
        <v/>
      </c>
      <c r="AU42" s="47">
        <f>AU41*(1-skill_ret)+AE42</f>
        <v/>
      </c>
      <c r="AV42" s="47">
        <f>AV41*(1+union_nat)+AR42</f>
        <v/>
      </c>
      <c r="AW42" s="47">
        <f>AW41*(1+union_nat)+AE42*family_mult</f>
        <v/>
      </c>
      <c r="AX42" s="67">
        <f>V42-(AV42+AW42)/1000000</f>
        <v/>
      </c>
      <c r="AY42" s="47">
        <f>L42*gw_union</f>
        <v/>
      </c>
      <c r="AZ42" s="46" t="n">
        <v>1.106</v>
      </c>
      <c r="BA42" s="47">
        <f>Economy!Q42*AZ42/lf_rate</f>
        <v/>
      </c>
      <c r="BB42" s="64">
        <f>bd_growth*AU41/W41</f>
        <v/>
      </c>
      <c r="BC42" s="64">
        <f>tg_k*MIN(1,Economy!O41/BK41)</f>
        <v/>
      </c>
      <c r="BD42" s="64">
        <f>emu_g*S42</f>
        <v/>
      </c>
      <c r="BE42" s="65">
        <f>BE41*(1-BB42-BC42+BD42)</f>
        <v/>
      </c>
      <c r="BF42" s="46" t="n">
        <v>1</v>
      </c>
      <c r="BG42" s="53">
        <f>AU42*BA42*BE42*(skill_rel-1+skill_spill)/1000000</f>
        <v/>
      </c>
      <c r="BH42" s="53">
        <f>union_disp*(Champions!AP42+Champions!AZ42)*(1-IF(union_resp=2,mkt_cut*S42,0))</f>
        <v/>
      </c>
      <c r="BI42" s="53">
        <f>AY42*BA42*BE42/1000000</f>
        <v/>
      </c>
      <c r="BJ42" s="47">
        <f>V42*Economy!Q42*AZ42</f>
        <v/>
      </c>
      <c r="BK42" s="47">
        <f>MAX(0.3*BJ42,AX42*Economy!Q42*AZ42*BE42*BF42-BG42-BH42-BI42)</f>
        <v/>
      </c>
      <c r="BL42" s="63">
        <f>1-BK42/BJ42</f>
        <v/>
      </c>
      <c r="BM42" s="47">
        <f>MAX(0,BH42-BH41)*1000000/BA42</f>
        <v/>
      </c>
      <c r="BN42" s="47">
        <f>BN41*(1-IF(AND($A42&gt;=1930,$A42&lt;=1932),0,union_reabsorb))+BM42</f>
        <v/>
      </c>
      <c r="BO42" s="59" t="n">
        <v>0.04</v>
      </c>
      <c r="BP42" s="63">
        <f>BO42+BN42/(AX42*1000000*lf_rate)</f>
        <v/>
      </c>
    </row>
    <row r="43">
      <c r="A43" s="58" t="n">
        <v>1883</v>
      </c>
      <c r="B43" s="47">
        <f>Economy!B43*lf_rate</f>
        <v/>
      </c>
      <c r="C43" s="47">
        <f>Economy!O43*1000000/(B43+L43)</f>
        <v/>
      </c>
      <c r="D43" s="47">
        <f>Champions!AP43*1000000/(C43*champ_prem)</f>
        <v/>
      </c>
      <c r="E43" s="47">
        <f>D43*job_mult</f>
        <v/>
      </c>
      <c r="F43" s="47">
        <f>D43+E43</f>
        <v/>
      </c>
      <c r="G43" s="63">
        <f>F43/B43</f>
        <v/>
      </c>
      <c r="H43" s="47">
        <f>F43-F42</f>
        <v/>
      </c>
      <c r="I43" s="63">
        <f>MAX(0.005,pac_u_base*IF(Paths!AC43=1,pac_u_war,1)+(okun*(1-Economy!G43)*(B43+L43)-MAX(0,L42-L43))/B43)</f>
        <v/>
      </c>
      <c r="J43" s="47">
        <f>IF(AND(gw_on=1,$A43&gt;=gw_start),MIN(gw_cap*B42,gw_cover*F42+gw_gen*B42),0)</f>
        <v/>
      </c>
      <c r="K43" s="47">
        <f>L42*gw_conv</f>
        <v/>
      </c>
      <c r="L43" s="47">
        <f>MAX(0,L42-K43+gw_adj*(J43-L42))*MAX(0,1-gw_slump*(1-Economy!G43))</f>
        <v/>
      </c>
      <c r="M43" s="47">
        <f>MAX(0,L43-L42+L42/gw_term)</f>
        <v/>
      </c>
      <c r="N43" s="63">
        <f>L43/B43</f>
        <v/>
      </c>
      <c r="O43" s="53">
        <f>Economy!L43</f>
        <v/>
      </c>
      <c r="P43" s="53">
        <f>O43*gw_wage_share</f>
        <v/>
      </c>
      <c r="Q43" s="53">
        <f>P43*gw_levy</f>
        <v/>
      </c>
      <c r="R43" s="53">
        <f>P43*gw_remit</f>
        <v/>
      </c>
      <c r="S43" s="63">
        <f>IF(union_resp&gt;=1,MIN(1,MAX(0,($A43-resp_start)/(resp_full-resp_start))),0)</f>
        <v/>
      </c>
      <c r="T43" s="67">
        <f>Economy!R42</f>
        <v/>
      </c>
      <c r="U43" s="67">
        <f>MAX(0,T43-gap_base)</f>
        <v/>
      </c>
      <c r="V43" s="68" t="n">
        <v>43</v>
      </c>
      <c r="W43" s="47">
        <f>V43*1000000*lf_rate*union_skill_share</f>
        <v/>
      </c>
      <c r="X43" s="45" t="n">
        <v>66000</v>
      </c>
      <c r="Y43" s="47">
        <f>IF(AND(mig_endo=1,$A43&gt;=talent_start),talent_rate_u*W43*U43*(1-(1-bd_keep)*S43),0)</f>
        <v/>
      </c>
      <c r="Z43" s="47">
        <f>IF(AND(mig_endo=1,$A43&gt;=talent_start),X43*MIN(0.5,talent_share_o*U43)*(1-eu_comp*S43),0)</f>
        <v/>
      </c>
      <c r="AA43" s="45" t="n">
        <v>7000</v>
      </c>
      <c r="AB43" s="47">
        <f>IF(AND(mig_endo=1,$A43&gt;=talent_start),AA43*MIN(0.5,talent_share_a*U43),0)</f>
        <v/>
      </c>
      <c r="AC43" s="47">
        <f>entry_cap*People!B43</f>
        <v/>
      </c>
      <c r="AD43" s="47">
        <f>MIN(AC43,Y43+Z43+AB43)</f>
        <v/>
      </c>
      <c r="AE43" s="47">
        <f>IF(Y43+Z43+AB43&gt;0,AD43*Y43/(Y43+Z43+AB43),0)</f>
        <v/>
      </c>
      <c r="AF43" s="47">
        <f>IF(Y43+Z43+AB43&gt;0,AD43*AB43/(Y43+Z43+AB43),0)</f>
        <v/>
      </c>
      <c r="AG43" s="47">
        <f>AD43*family_mult</f>
        <v/>
      </c>
      <c r="AH43" s="47">
        <f>AH42*(1+Paths!C43)+AG43</f>
        <v/>
      </c>
      <c r="AI43" s="47">
        <f>IF(AND(mig_endo=1,$A43&gt;=talent_start),chain_rate*AH42,0)</f>
        <v/>
      </c>
      <c r="AJ43" s="47">
        <f>IF(AND(mig_endo=1,$A43&gt;=talent_start),IF(H42&gt;0,H42*job_fill,H42*job_return)*job_family,0)</f>
        <v/>
      </c>
      <c r="AK43" s="47">
        <f>K43*gw_conv_family</f>
        <v/>
      </c>
      <c r="AL43" s="47">
        <f>AG43+AI43+AJ43+AK43+AR43</f>
        <v/>
      </c>
      <c r="AM43" s="47">
        <f>AM42*(1-skill_ret)+AD43</f>
        <v/>
      </c>
      <c r="AN43" s="64">
        <f>AM43/B43</f>
        <v/>
      </c>
      <c r="AO43" s="64">
        <f>(skill_rel-1+skill_spill)*AM42/B42-AT43</f>
        <v/>
      </c>
      <c r="AP43" s="64">
        <f>talent_champ*AM42/(skill_base_share*B42)</f>
        <v/>
      </c>
      <c r="AQ43" s="45" t="n">
        <v>675000</v>
      </c>
      <c r="AR43" s="47">
        <f>IF(AND(div_on=1,$A43&gt;=div_start),AQ43*MIN(div_max,div_rate*U43)*(1-div_comp*S43),0)</f>
        <v/>
      </c>
      <c r="AS43" s="47">
        <f>AS42*(1-div_assim)+AR43</f>
        <v/>
      </c>
      <c r="AT43" s="64">
        <f>(1-div_rel)*AS42/Economy!B42</f>
        <v/>
      </c>
      <c r="AU43" s="47">
        <f>AU42*(1-skill_ret)+AE43</f>
        <v/>
      </c>
      <c r="AV43" s="47">
        <f>AV42*(1+union_nat)+AR43</f>
        <v/>
      </c>
      <c r="AW43" s="47">
        <f>AW42*(1+union_nat)+AE43*family_mult</f>
        <v/>
      </c>
      <c r="AX43" s="67">
        <f>V43-(AV43+AW43)/1000000</f>
        <v/>
      </c>
      <c r="AY43" s="47">
        <f>L43*gw_union</f>
        <v/>
      </c>
      <c r="AZ43" s="46" t="n">
        <v>1.105</v>
      </c>
      <c r="BA43" s="47">
        <f>Economy!Q43*AZ43/lf_rate</f>
        <v/>
      </c>
      <c r="BB43" s="64">
        <f>bd_growth*AU42/W42</f>
        <v/>
      </c>
      <c r="BC43" s="64">
        <f>tg_k*MIN(1,Economy!O42/BK42)</f>
        <v/>
      </c>
      <c r="BD43" s="64">
        <f>emu_g*S43</f>
        <v/>
      </c>
      <c r="BE43" s="65">
        <f>BE42*(1-BB43-BC43+BD43)</f>
        <v/>
      </c>
      <c r="BF43" s="46" t="n">
        <v>1</v>
      </c>
      <c r="BG43" s="53">
        <f>AU43*BA43*BE43*(skill_rel-1+skill_spill)/1000000</f>
        <v/>
      </c>
      <c r="BH43" s="53">
        <f>union_disp*(Champions!AP43+Champions!AZ43)*(1-IF(union_resp=2,mkt_cut*S43,0))</f>
        <v/>
      </c>
      <c r="BI43" s="53">
        <f>AY43*BA43*BE43/1000000</f>
        <v/>
      </c>
      <c r="BJ43" s="47">
        <f>V43*Economy!Q43*AZ43</f>
        <v/>
      </c>
      <c r="BK43" s="47">
        <f>MAX(0.3*BJ43,AX43*Economy!Q43*AZ43*BE43*BF43-BG43-BH43-BI43)</f>
        <v/>
      </c>
      <c r="BL43" s="63">
        <f>1-BK43/BJ43</f>
        <v/>
      </c>
      <c r="BM43" s="47">
        <f>MAX(0,BH43-BH42)*1000000/BA43</f>
        <v/>
      </c>
      <c r="BN43" s="47">
        <f>BN42*(1-IF(AND($A43&gt;=1930,$A43&lt;=1932),0,union_reabsorb))+BM43</f>
        <v/>
      </c>
      <c r="BO43" s="59" t="n">
        <v>0.04</v>
      </c>
      <c r="BP43" s="63">
        <f>BO43+BN43/(AX43*1000000*lf_rate)</f>
        <v/>
      </c>
    </row>
    <row r="44">
      <c r="A44" s="58" t="n">
        <v>1884</v>
      </c>
      <c r="B44" s="47">
        <f>Economy!B44*lf_rate</f>
        <v/>
      </c>
      <c r="C44" s="47">
        <f>Economy!O44*1000000/(B44+L44)</f>
        <v/>
      </c>
      <c r="D44" s="47">
        <f>Champions!AP44*1000000/(C44*champ_prem)</f>
        <v/>
      </c>
      <c r="E44" s="47">
        <f>D44*job_mult</f>
        <v/>
      </c>
      <c r="F44" s="47">
        <f>D44+E44</f>
        <v/>
      </c>
      <c r="G44" s="63">
        <f>F44/B44</f>
        <v/>
      </c>
      <c r="H44" s="47">
        <f>F44-F43</f>
        <v/>
      </c>
      <c r="I44" s="63">
        <f>MAX(0.005,pac_u_base*IF(Paths!AC44=1,pac_u_war,1)+(okun*(1-Economy!G44)*(B44+L44)-MAX(0,L43-L44))/B44)</f>
        <v/>
      </c>
      <c r="J44" s="47">
        <f>IF(AND(gw_on=1,$A44&gt;=gw_start),MIN(gw_cap*B43,gw_cover*F43+gw_gen*B43),0)</f>
        <v/>
      </c>
      <c r="K44" s="47">
        <f>L43*gw_conv</f>
        <v/>
      </c>
      <c r="L44" s="47">
        <f>MAX(0,L43-K44+gw_adj*(J44-L43))*MAX(0,1-gw_slump*(1-Economy!G44))</f>
        <v/>
      </c>
      <c r="M44" s="47">
        <f>MAX(0,L44-L43+L43/gw_term)</f>
        <v/>
      </c>
      <c r="N44" s="63">
        <f>L44/B44</f>
        <v/>
      </c>
      <c r="O44" s="53">
        <f>Economy!L44</f>
        <v/>
      </c>
      <c r="P44" s="53">
        <f>O44*gw_wage_share</f>
        <v/>
      </c>
      <c r="Q44" s="53">
        <f>P44*gw_levy</f>
        <v/>
      </c>
      <c r="R44" s="53">
        <f>P44*gw_remit</f>
        <v/>
      </c>
      <c r="S44" s="63">
        <f>IF(union_resp&gt;=1,MIN(1,MAX(0,($A44-resp_start)/(resp_full-resp_start))),0)</f>
        <v/>
      </c>
      <c r="T44" s="67">
        <f>Economy!R43</f>
        <v/>
      </c>
      <c r="U44" s="67">
        <f>MAX(0,T44-gap_base)</f>
        <v/>
      </c>
      <c r="V44" s="68" t="n">
        <v>44</v>
      </c>
      <c r="W44" s="47">
        <f>V44*1000000*lf_rate*union_skill_share</f>
        <v/>
      </c>
      <c r="X44" s="45" t="n">
        <v>68000</v>
      </c>
      <c r="Y44" s="47">
        <f>IF(AND(mig_endo=1,$A44&gt;=talent_start),talent_rate_u*W44*U44*(1-(1-bd_keep)*S44),0)</f>
        <v/>
      </c>
      <c r="Z44" s="47">
        <f>IF(AND(mig_endo=1,$A44&gt;=talent_start),X44*MIN(0.5,talent_share_o*U44)*(1-eu_comp*S44),0)</f>
        <v/>
      </c>
      <c r="AA44" s="45" t="n">
        <v>8000</v>
      </c>
      <c r="AB44" s="47">
        <f>IF(AND(mig_endo=1,$A44&gt;=talent_start),AA44*MIN(0.5,talent_share_a*U44),0)</f>
        <v/>
      </c>
      <c r="AC44" s="47">
        <f>entry_cap*People!B44</f>
        <v/>
      </c>
      <c r="AD44" s="47">
        <f>MIN(AC44,Y44+Z44+AB44)</f>
        <v/>
      </c>
      <c r="AE44" s="47">
        <f>IF(Y44+Z44+AB44&gt;0,AD44*Y44/(Y44+Z44+AB44),0)</f>
        <v/>
      </c>
      <c r="AF44" s="47">
        <f>IF(Y44+Z44+AB44&gt;0,AD44*AB44/(Y44+Z44+AB44),0)</f>
        <v/>
      </c>
      <c r="AG44" s="47">
        <f>AD44*family_mult</f>
        <v/>
      </c>
      <c r="AH44" s="47">
        <f>AH43*(1+Paths!C44)+AG44</f>
        <v/>
      </c>
      <c r="AI44" s="47">
        <f>IF(AND(mig_endo=1,$A44&gt;=talent_start),chain_rate*AH43,0)</f>
        <v/>
      </c>
      <c r="AJ44" s="47">
        <f>IF(AND(mig_endo=1,$A44&gt;=talent_start),IF(H43&gt;0,H43*job_fill,H43*job_return)*job_family,0)</f>
        <v/>
      </c>
      <c r="AK44" s="47">
        <f>K44*gw_conv_family</f>
        <v/>
      </c>
      <c r="AL44" s="47">
        <f>AG44+AI44+AJ44+AK44+AR44</f>
        <v/>
      </c>
      <c r="AM44" s="47">
        <f>AM43*(1-skill_ret)+AD44</f>
        <v/>
      </c>
      <c r="AN44" s="64">
        <f>AM44/B44</f>
        <v/>
      </c>
      <c r="AO44" s="64">
        <f>(skill_rel-1+skill_spill)*AM43/B43-AT44</f>
        <v/>
      </c>
      <c r="AP44" s="64">
        <f>talent_champ*AM43/(skill_base_share*B43)</f>
        <v/>
      </c>
      <c r="AQ44" s="45" t="n">
        <v>560000</v>
      </c>
      <c r="AR44" s="47">
        <f>IF(AND(div_on=1,$A44&gt;=div_start),AQ44*MIN(div_max,div_rate*U44)*(1-div_comp*S44),0)</f>
        <v/>
      </c>
      <c r="AS44" s="47">
        <f>AS43*(1-div_assim)+AR44</f>
        <v/>
      </c>
      <c r="AT44" s="64">
        <f>(1-div_rel)*AS43/Economy!B43</f>
        <v/>
      </c>
      <c r="AU44" s="47">
        <f>AU43*(1-skill_ret)+AE44</f>
        <v/>
      </c>
      <c r="AV44" s="47">
        <f>AV43*(1+union_nat)+AR44</f>
        <v/>
      </c>
      <c r="AW44" s="47">
        <f>AW43*(1+union_nat)+AE44*family_mult</f>
        <v/>
      </c>
      <c r="AX44" s="67">
        <f>V44-(AV44+AW44)/1000000</f>
        <v/>
      </c>
      <c r="AY44" s="47">
        <f>L44*gw_union</f>
        <v/>
      </c>
      <c r="AZ44" s="46" t="n">
        <v>1.104</v>
      </c>
      <c r="BA44" s="47">
        <f>Economy!Q44*AZ44/lf_rate</f>
        <v/>
      </c>
      <c r="BB44" s="64">
        <f>bd_growth*AU43/W43</f>
        <v/>
      </c>
      <c r="BC44" s="64">
        <f>tg_k*MIN(1,Economy!O43/BK43)</f>
        <v/>
      </c>
      <c r="BD44" s="64">
        <f>emu_g*S44</f>
        <v/>
      </c>
      <c r="BE44" s="65">
        <f>BE43*(1-BB44-BC44+BD44)</f>
        <v/>
      </c>
      <c r="BF44" s="46" t="n">
        <v>1</v>
      </c>
      <c r="BG44" s="53">
        <f>AU44*BA44*BE44*(skill_rel-1+skill_spill)/1000000</f>
        <v/>
      </c>
      <c r="BH44" s="53">
        <f>union_disp*(Champions!AP44+Champions!AZ44)*(1-IF(union_resp=2,mkt_cut*S44,0))</f>
        <v/>
      </c>
      <c r="BI44" s="53">
        <f>AY44*BA44*BE44/1000000</f>
        <v/>
      </c>
      <c r="BJ44" s="47">
        <f>V44*Economy!Q44*AZ44</f>
        <v/>
      </c>
      <c r="BK44" s="47">
        <f>MAX(0.3*BJ44,AX44*Economy!Q44*AZ44*BE44*BF44-BG44-BH44-BI44)</f>
        <v/>
      </c>
      <c r="BL44" s="63">
        <f>1-BK44/BJ44</f>
        <v/>
      </c>
      <c r="BM44" s="47">
        <f>MAX(0,BH44-BH43)*1000000/BA44</f>
        <v/>
      </c>
      <c r="BN44" s="47">
        <f>BN43*(1-IF(AND($A44&gt;=1930,$A44&lt;=1932),0,union_reabsorb))+BM44</f>
        <v/>
      </c>
      <c r="BO44" s="59" t="n">
        <v>0.04</v>
      </c>
      <c r="BP44" s="63">
        <f>BO44+BN44/(AX44*1000000*lf_rate)</f>
        <v/>
      </c>
    </row>
    <row r="45">
      <c r="A45" s="58" t="n">
        <v>1885</v>
      </c>
      <c r="B45" s="47">
        <f>Economy!B45*lf_rate</f>
        <v/>
      </c>
      <c r="C45" s="47">
        <f>Economy!O45*1000000/(B45+L45)</f>
        <v/>
      </c>
      <c r="D45" s="47">
        <f>Champions!AP45*1000000/(C45*champ_prem)</f>
        <v/>
      </c>
      <c r="E45" s="47">
        <f>D45*job_mult</f>
        <v/>
      </c>
      <c r="F45" s="47">
        <f>D45+E45</f>
        <v/>
      </c>
      <c r="G45" s="63">
        <f>F45/B45</f>
        <v/>
      </c>
      <c r="H45" s="47">
        <f>F45-F44</f>
        <v/>
      </c>
      <c r="I45" s="63">
        <f>MAX(0.005,pac_u_base*IF(Paths!AC45=1,pac_u_war,1)+(okun*(1-Economy!G45)*(B45+L45)-MAX(0,L44-L45))/B45)</f>
        <v/>
      </c>
      <c r="J45" s="47">
        <f>IF(AND(gw_on=1,$A45&gt;=gw_start),MIN(gw_cap*B44,gw_cover*F44+gw_gen*B44),0)</f>
        <v/>
      </c>
      <c r="K45" s="47">
        <f>L44*gw_conv</f>
        <v/>
      </c>
      <c r="L45" s="47">
        <f>MAX(0,L44-K45+gw_adj*(J45-L44))*MAX(0,1-gw_slump*(1-Economy!G45))</f>
        <v/>
      </c>
      <c r="M45" s="47">
        <f>MAX(0,L45-L44+L44/gw_term)</f>
        <v/>
      </c>
      <c r="N45" s="63">
        <f>L45/B45</f>
        <v/>
      </c>
      <c r="O45" s="53">
        <f>Economy!L45</f>
        <v/>
      </c>
      <c r="P45" s="53">
        <f>O45*gw_wage_share</f>
        <v/>
      </c>
      <c r="Q45" s="53">
        <f>P45*gw_levy</f>
        <v/>
      </c>
      <c r="R45" s="53">
        <f>P45*gw_remit</f>
        <v/>
      </c>
      <c r="S45" s="63">
        <f>IF(union_resp&gt;=1,MIN(1,MAX(0,($A45-resp_start)/(resp_full-resp_start))),0)</f>
        <v/>
      </c>
      <c r="T45" s="67">
        <f>Economy!R44</f>
        <v/>
      </c>
      <c r="U45" s="67">
        <f>MAX(0,T45-gap_base)</f>
        <v/>
      </c>
      <c r="V45" s="68" t="n">
        <v>45</v>
      </c>
      <c r="W45" s="47">
        <f>V45*1000000*lf_rate*union_skill_share</f>
        <v/>
      </c>
      <c r="X45" s="45" t="n">
        <v>70000</v>
      </c>
      <c r="Y45" s="47">
        <f>IF(AND(mig_endo=1,$A45&gt;=talent_start),talent_rate_u*W45*U45*(1-(1-bd_keep)*S45),0)</f>
        <v/>
      </c>
      <c r="Z45" s="47">
        <f>IF(AND(mig_endo=1,$A45&gt;=talent_start),X45*MIN(0.5,talent_share_o*U45)*(1-eu_comp*S45),0)</f>
        <v/>
      </c>
      <c r="AA45" s="45" t="n">
        <v>8000</v>
      </c>
      <c r="AB45" s="47">
        <f>IF(AND(mig_endo=1,$A45&gt;=talent_start),AA45*MIN(0.5,talent_share_a*U45),0)</f>
        <v/>
      </c>
      <c r="AC45" s="47">
        <f>entry_cap*People!B45</f>
        <v/>
      </c>
      <c r="AD45" s="47">
        <f>MIN(AC45,Y45+Z45+AB45)</f>
        <v/>
      </c>
      <c r="AE45" s="47">
        <f>IF(Y45+Z45+AB45&gt;0,AD45*Y45/(Y45+Z45+AB45),0)</f>
        <v/>
      </c>
      <c r="AF45" s="47">
        <f>IF(Y45+Z45+AB45&gt;0,AD45*AB45/(Y45+Z45+AB45),0)</f>
        <v/>
      </c>
      <c r="AG45" s="47">
        <f>AD45*family_mult</f>
        <v/>
      </c>
      <c r="AH45" s="47">
        <f>AH44*(1+Paths!C45)+AG45</f>
        <v/>
      </c>
      <c r="AI45" s="47">
        <f>IF(AND(mig_endo=1,$A45&gt;=talent_start),chain_rate*AH44,0)</f>
        <v/>
      </c>
      <c r="AJ45" s="47">
        <f>IF(AND(mig_endo=1,$A45&gt;=talent_start),IF(H44&gt;0,H44*job_fill,H44*job_return)*job_family,0)</f>
        <v/>
      </c>
      <c r="AK45" s="47">
        <f>K45*gw_conv_family</f>
        <v/>
      </c>
      <c r="AL45" s="47">
        <f>AG45+AI45+AJ45+AK45+AR45</f>
        <v/>
      </c>
      <c r="AM45" s="47">
        <f>AM44*(1-skill_ret)+AD45</f>
        <v/>
      </c>
      <c r="AN45" s="64">
        <f>AM45/B45</f>
        <v/>
      </c>
      <c r="AO45" s="64">
        <f>(skill_rel-1+skill_spill)*AM44/B44-AT45</f>
        <v/>
      </c>
      <c r="AP45" s="64">
        <f>talent_champ*AM44/(skill_base_share*B44)</f>
        <v/>
      </c>
      <c r="AQ45" s="45" t="n">
        <v>445000</v>
      </c>
      <c r="AR45" s="47">
        <f>IF(AND(div_on=1,$A45&gt;=div_start),AQ45*MIN(div_max,div_rate*U45)*(1-div_comp*S45),0)</f>
        <v/>
      </c>
      <c r="AS45" s="47">
        <f>AS44*(1-div_assim)+AR45</f>
        <v/>
      </c>
      <c r="AT45" s="64">
        <f>(1-div_rel)*AS44/Economy!B44</f>
        <v/>
      </c>
      <c r="AU45" s="47">
        <f>AU44*(1-skill_ret)+AE45</f>
        <v/>
      </c>
      <c r="AV45" s="47">
        <f>AV44*(1+union_nat)+AR45</f>
        <v/>
      </c>
      <c r="AW45" s="47">
        <f>AW44*(1+union_nat)+AE45*family_mult</f>
        <v/>
      </c>
      <c r="AX45" s="67">
        <f>V45-(AV45+AW45)/1000000</f>
        <v/>
      </c>
      <c r="AY45" s="47">
        <f>L45*gw_union</f>
        <v/>
      </c>
      <c r="AZ45" s="46" t="n">
        <v>1.103</v>
      </c>
      <c r="BA45" s="47">
        <f>Economy!Q45*AZ45/lf_rate</f>
        <v/>
      </c>
      <c r="BB45" s="64">
        <f>bd_growth*AU44/W44</f>
        <v/>
      </c>
      <c r="BC45" s="64">
        <f>tg_k*MIN(1,Economy!O44/BK44)</f>
        <v/>
      </c>
      <c r="BD45" s="64">
        <f>emu_g*S45</f>
        <v/>
      </c>
      <c r="BE45" s="65">
        <f>BE44*(1-BB45-BC45+BD45)</f>
        <v/>
      </c>
      <c r="BF45" s="46" t="n">
        <v>1</v>
      </c>
      <c r="BG45" s="53">
        <f>AU45*BA45*BE45*(skill_rel-1+skill_spill)/1000000</f>
        <v/>
      </c>
      <c r="BH45" s="53">
        <f>union_disp*(Champions!AP45+Champions!AZ45)*(1-IF(union_resp=2,mkt_cut*S45,0))</f>
        <v/>
      </c>
      <c r="BI45" s="53">
        <f>AY45*BA45*BE45/1000000</f>
        <v/>
      </c>
      <c r="BJ45" s="47">
        <f>V45*Economy!Q45*AZ45</f>
        <v/>
      </c>
      <c r="BK45" s="47">
        <f>MAX(0.3*BJ45,AX45*Economy!Q45*AZ45*BE45*BF45-BG45-BH45-BI45)</f>
        <v/>
      </c>
      <c r="BL45" s="63">
        <f>1-BK45/BJ45</f>
        <v/>
      </c>
      <c r="BM45" s="47">
        <f>MAX(0,BH45-BH44)*1000000/BA45</f>
        <v/>
      </c>
      <c r="BN45" s="47">
        <f>BN44*(1-IF(AND($A45&gt;=1930,$A45&lt;=1932),0,union_reabsorb))+BM45</f>
        <v/>
      </c>
      <c r="BO45" s="59" t="n">
        <v>0.04</v>
      </c>
      <c r="BP45" s="63">
        <f>BO45+BN45/(AX45*1000000*lf_rate)</f>
        <v/>
      </c>
    </row>
    <row r="46">
      <c r="A46" s="58" t="n">
        <v>1886</v>
      </c>
      <c r="B46" s="47">
        <f>Economy!B46*lf_rate</f>
        <v/>
      </c>
      <c r="C46" s="47">
        <f>Economy!O46*1000000/(B46+L46)</f>
        <v/>
      </c>
      <c r="D46" s="47">
        <f>Champions!AP46*1000000/(C46*champ_prem)</f>
        <v/>
      </c>
      <c r="E46" s="47">
        <f>D46*job_mult</f>
        <v/>
      </c>
      <c r="F46" s="47">
        <f>D46+E46</f>
        <v/>
      </c>
      <c r="G46" s="63">
        <f>F46/B46</f>
        <v/>
      </c>
      <c r="H46" s="47">
        <f>F46-F45</f>
        <v/>
      </c>
      <c r="I46" s="63">
        <f>MAX(0.005,pac_u_base*IF(Paths!AC46=1,pac_u_war,1)+(okun*(1-Economy!G46)*(B46+L46)-MAX(0,L45-L46))/B46)</f>
        <v/>
      </c>
      <c r="J46" s="47">
        <f>IF(AND(gw_on=1,$A46&gt;=gw_start),MIN(gw_cap*B45,gw_cover*F45+gw_gen*B45),0)</f>
        <v/>
      </c>
      <c r="K46" s="47">
        <f>L45*gw_conv</f>
        <v/>
      </c>
      <c r="L46" s="47">
        <f>MAX(0,L45-K46+gw_adj*(J46-L45))*MAX(0,1-gw_slump*(1-Economy!G46))</f>
        <v/>
      </c>
      <c r="M46" s="47">
        <f>MAX(0,L46-L45+L45/gw_term)</f>
        <v/>
      </c>
      <c r="N46" s="63">
        <f>L46/B46</f>
        <v/>
      </c>
      <c r="O46" s="53">
        <f>Economy!L46</f>
        <v/>
      </c>
      <c r="P46" s="53">
        <f>O46*gw_wage_share</f>
        <v/>
      </c>
      <c r="Q46" s="53">
        <f>P46*gw_levy</f>
        <v/>
      </c>
      <c r="R46" s="53">
        <f>P46*gw_remit</f>
        <v/>
      </c>
      <c r="S46" s="63">
        <f>IF(union_resp&gt;=1,MIN(1,MAX(0,($A46-resp_start)/(resp_full-resp_start))),0)</f>
        <v/>
      </c>
      <c r="T46" s="67">
        <f>Economy!R45</f>
        <v/>
      </c>
      <c r="U46" s="67">
        <f>MAX(0,T46-gap_base)</f>
        <v/>
      </c>
      <c r="V46" s="68" t="n">
        <v>46</v>
      </c>
      <c r="W46" s="47">
        <f>V46*1000000*lf_rate*union_skill_share</f>
        <v/>
      </c>
      <c r="X46" s="45" t="n">
        <v>72000</v>
      </c>
      <c r="Y46" s="47">
        <f>IF(AND(mig_endo=1,$A46&gt;=talent_start),talent_rate_u*W46*U46*(1-(1-bd_keep)*S46),0)</f>
        <v/>
      </c>
      <c r="Z46" s="47">
        <f>IF(AND(mig_endo=1,$A46&gt;=talent_start),X46*MIN(0.5,talent_share_o*U46)*(1-eu_comp*S46),0)</f>
        <v/>
      </c>
      <c r="AA46" s="45" t="n">
        <v>9000</v>
      </c>
      <c r="AB46" s="47">
        <f>IF(AND(mig_endo=1,$A46&gt;=talent_start),AA46*MIN(0.5,talent_share_a*U46),0)</f>
        <v/>
      </c>
      <c r="AC46" s="47">
        <f>entry_cap*People!B46</f>
        <v/>
      </c>
      <c r="AD46" s="47">
        <f>MIN(AC46,Y46+Z46+AB46)</f>
        <v/>
      </c>
      <c r="AE46" s="47">
        <f>IF(Y46+Z46+AB46&gt;0,AD46*Y46/(Y46+Z46+AB46),0)</f>
        <v/>
      </c>
      <c r="AF46" s="47">
        <f>IF(Y46+Z46+AB46&gt;0,AD46*AB46/(Y46+Z46+AB46),0)</f>
        <v/>
      </c>
      <c r="AG46" s="47">
        <f>AD46*family_mult</f>
        <v/>
      </c>
      <c r="AH46" s="47">
        <f>AH45*(1+Paths!C46)+AG46</f>
        <v/>
      </c>
      <c r="AI46" s="47">
        <f>IF(AND(mig_endo=1,$A46&gt;=talent_start),chain_rate*AH45,0)</f>
        <v/>
      </c>
      <c r="AJ46" s="47">
        <f>IF(AND(mig_endo=1,$A46&gt;=talent_start),IF(H45&gt;0,H45*job_fill,H45*job_return)*job_family,0)</f>
        <v/>
      </c>
      <c r="AK46" s="47">
        <f>K46*gw_conv_family</f>
        <v/>
      </c>
      <c r="AL46" s="47">
        <f>AG46+AI46+AJ46+AK46+AR46</f>
        <v/>
      </c>
      <c r="AM46" s="47">
        <f>AM45*(1-skill_ret)+AD46</f>
        <v/>
      </c>
      <c r="AN46" s="64">
        <f>AM46/B46</f>
        <v/>
      </c>
      <c r="AO46" s="64">
        <f>(skill_rel-1+skill_spill)*AM45/B45-AT46</f>
        <v/>
      </c>
      <c r="AP46" s="64">
        <f>talent_champ*AM45/(skill_base_share*B45)</f>
        <v/>
      </c>
      <c r="AQ46" s="45" t="n">
        <v>330000</v>
      </c>
      <c r="AR46" s="47">
        <f>IF(AND(div_on=1,$A46&gt;=div_start),AQ46*MIN(div_max,div_rate*U46)*(1-div_comp*S46),0)</f>
        <v/>
      </c>
      <c r="AS46" s="47">
        <f>AS45*(1-div_assim)+AR46</f>
        <v/>
      </c>
      <c r="AT46" s="64">
        <f>(1-div_rel)*AS45/Economy!B45</f>
        <v/>
      </c>
      <c r="AU46" s="47">
        <f>AU45*(1-skill_ret)+AE46</f>
        <v/>
      </c>
      <c r="AV46" s="47">
        <f>AV45*(1+union_nat)+AR46</f>
        <v/>
      </c>
      <c r="AW46" s="47">
        <f>AW45*(1+union_nat)+AE46*family_mult</f>
        <v/>
      </c>
      <c r="AX46" s="67">
        <f>V46-(AV46+AW46)/1000000</f>
        <v/>
      </c>
      <c r="AY46" s="47">
        <f>L46*gw_union</f>
        <v/>
      </c>
      <c r="AZ46" s="46" t="n">
        <v>1.103</v>
      </c>
      <c r="BA46" s="47">
        <f>Economy!Q46*AZ46/lf_rate</f>
        <v/>
      </c>
      <c r="BB46" s="64">
        <f>bd_growth*AU45/W45</f>
        <v/>
      </c>
      <c r="BC46" s="64">
        <f>tg_k*MIN(1,Economy!O45/BK45)</f>
        <v/>
      </c>
      <c r="BD46" s="64">
        <f>emu_g*S46</f>
        <v/>
      </c>
      <c r="BE46" s="65">
        <f>BE45*(1-BB46-BC46+BD46)</f>
        <v/>
      </c>
      <c r="BF46" s="46" t="n">
        <v>1</v>
      </c>
      <c r="BG46" s="53">
        <f>AU46*BA46*BE46*(skill_rel-1+skill_spill)/1000000</f>
        <v/>
      </c>
      <c r="BH46" s="53">
        <f>union_disp*(Champions!AP46+Champions!AZ46)*(1-IF(union_resp=2,mkt_cut*S46,0))</f>
        <v/>
      </c>
      <c r="BI46" s="53">
        <f>AY46*BA46*BE46/1000000</f>
        <v/>
      </c>
      <c r="BJ46" s="47">
        <f>V46*Economy!Q46*AZ46</f>
        <v/>
      </c>
      <c r="BK46" s="47">
        <f>MAX(0.3*BJ46,AX46*Economy!Q46*AZ46*BE46*BF46-BG46-BH46-BI46)</f>
        <v/>
      </c>
      <c r="BL46" s="63">
        <f>1-BK46/BJ46</f>
        <v/>
      </c>
      <c r="BM46" s="47">
        <f>MAX(0,BH46-BH45)*1000000/BA46</f>
        <v/>
      </c>
      <c r="BN46" s="47">
        <f>BN45*(1-IF(AND($A46&gt;=1930,$A46&lt;=1932),0,union_reabsorb))+BM46</f>
        <v/>
      </c>
      <c r="BO46" s="59" t="n">
        <v>0.04</v>
      </c>
      <c r="BP46" s="63">
        <f>BO46+BN46/(AX46*1000000*lf_rate)</f>
        <v/>
      </c>
    </row>
    <row r="47">
      <c r="A47" s="58" t="n">
        <v>1887</v>
      </c>
      <c r="B47" s="47">
        <f>Economy!B47*lf_rate</f>
        <v/>
      </c>
      <c r="C47" s="47">
        <f>Economy!O47*1000000/(B47+L47)</f>
        <v/>
      </c>
      <c r="D47" s="47">
        <f>Champions!AP47*1000000/(C47*champ_prem)</f>
        <v/>
      </c>
      <c r="E47" s="47">
        <f>D47*job_mult</f>
        <v/>
      </c>
      <c r="F47" s="47">
        <f>D47+E47</f>
        <v/>
      </c>
      <c r="G47" s="63">
        <f>F47/B47</f>
        <v/>
      </c>
      <c r="H47" s="47">
        <f>F47-F46</f>
        <v/>
      </c>
      <c r="I47" s="63">
        <f>MAX(0.005,pac_u_base*IF(Paths!AC47=1,pac_u_war,1)+(okun*(1-Economy!G47)*(B47+L47)-MAX(0,L46-L47))/B47)</f>
        <v/>
      </c>
      <c r="J47" s="47">
        <f>IF(AND(gw_on=1,$A47&gt;=gw_start),MIN(gw_cap*B46,gw_cover*F46+gw_gen*B46),0)</f>
        <v/>
      </c>
      <c r="K47" s="47">
        <f>L46*gw_conv</f>
        <v/>
      </c>
      <c r="L47" s="47">
        <f>MAX(0,L46-K47+gw_adj*(J47-L46))*MAX(0,1-gw_slump*(1-Economy!G47))</f>
        <v/>
      </c>
      <c r="M47" s="47">
        <f>MAX(0,L47-L46+L46/gw_term)</f>
        <v/>
      </c>
      <c r="N47" s="63">
        <f>L47/B47</f>
        <v/>
      </c>
      <c r="O47" s="53">
        <f>Economy!L47</f>
        <v/>
      </c>
      <c r="P47" s="53">
        <f>O47*gw_wage_share</f>
        <v/>
      </c>
      <c r="Q47" s="53">
        <f>P47*gw_levy</f>
        <v/>
      </c>
      <c r="R47" s="53">
        <f>P47*gw_remit</f>
        <v/>
      </c>
      <c r="S47" s="63">
        <f>IF(union_resp&gt;=1,MIN(1,MAX(0,($A47-resp_start)/(resp_full-resp_start))),0)</f>
        <v/>
      </c>
      <c r="T47" s="67">
        <f>Economy!R46</f>
        <v/>
      </c>
      <c r="U47" s="67">
        <f>MAX(0,T47-gap_base)</f>
        <v/>
      </c>
      <c r="V47" s="68" t="n">
        <v>47</v>
      </c>
      <c r="W47" s="47">
        <f>V47*1000000*lf_rate*union_skill_share</f>
        <v/>
      </c>
      <c r="X47" s="45" t="n">
        <v>74000</v>
      </c>
      <c r="Y47" s="47">
        <f>IF(AND(mig_endo=1,$A47&gt;=talent_start),talent_rate_u*W47*U47*(1-(1-bd_keep)*S47),0)</f>
        <v/>
      </c>
      <c r="Z47" s="47">
        <f>IF(AND(mig_endo=1,$A47&gt;=talent_start),X47*MIN(0.5,talent_share_o*U47)*(1-eu_comp*S47),0)</f>
        <v/>
      </c>
      <c r="AA47" s="45" t="n">
        <v>10000</v>
      </c>
      <c r="AB47" s="47">
        <f>IF(AND(mig_endo=1,$A47&gt;=talent_start),AA47*MIN(0.5,talent_share_a*U47),0)</f>
        <v/>
      </c>
      <c r="AC47" s="47">
        <f>entry_cap*People!B47</f>
        <v/>
      </c>
      <c r="AD47" s="47">
        <f>MIN(AC47,Y47+Z47+AB47)</f>
        <v/>
      </c>
      <c r="AE47" s="47">
        <f>IF(Y47+Z47+AB47&gt;0,AD47*Y47/(Y47+Z47+AB47),0)</f>
        <v/>
      </c>
      <c r="AF47" s="47">
        <f>IF(Y47+Z47+AB47&gt;0,AD47*AB47/(Y47+Z47+AB47),0)</f>
        <v/>
      </c>
      <c r="AG47" s="47">
        <f>AD47*family_mult</f>
        <v/>
      </c>
      <c r="AH47" s="47">
        <f>AH46*(1+Paths!C47)+AG47</f>
        <v/>
      </c>
      <c r="AI47" s="47">
        <f>IF(AND(mig_endo=1,$A47&gt;=talent_start),chain_rate*AH46,0)</f>
        <v/>
      </c>
      <c r="AJ47" s="47">
        <f>IF(AND(mig_endo=1,$A47&gt;=talent_start),IF(H46&gt;0,H46*job_fill,H46*job_return)*job_family,0)</f>
        <v/>
      </c>
      <c r="AK47" s="47">
        <f>K47*gw_conv_family</f>
        <v/>
      </c>
      <c r="AL47" s="47">
        <f>AG47+AI47+AJ47+AK47+AR47</f>
        <v/>
      </c>
      <c r="AM47" s="47">
        <f>AM46*(1-skill_ret)+AD47</f>
        <v/>
      </c>
      <c r="AN47" s="64">
        <f>AM47/B47</f>
        <v/>
      </c>
      <c r="AO47" s="64">
        <f>(skill_rel-1+skill_spill)*AM46/B46-AT47</f>
        <v/>
      </c>
      <c r="AP47" s="64">
        <f>talent_champ*AM46/(skill_base_share*B46)</f>
        <v/>
      </c>
      <c r="AQ47" s="45" t="n">
        <v>440000</v>
      </c>
      <c r="AR47" s="47">
        <f>IF(AND(div_on=1,$A47&gt;=div_start),AQ47*MIN(div_max,div_rate*U47)*(1-div_comp*S47),0)</f>
        <v/>
      </c>
      <c r="AS47" s="47">
        <f>AS46*(1-div_assim)+AR47</f>
        <v/>
      </c>
      <c r="AT47" s="64">
        <f>(1-div_rel)*AS46/Economy!B46</f>
        <v/>
      </c>
      <c r="AU47" s="47">
        <f>AU46*(1-skill_ret)+AE47</f>
        <v/>
      </c>
      <c r="AV47" s="47">
        <f>AV46*(1+union_nat)+AR47</f>
        <v/>
      </c>
      <c r="AW47" s="47">
        <f>AW46*(1+union_nat)+AE47*family_mult</f>
        <v/>
      </c>
      <c r="AX47" s="67">
        <f>V47-(AV47+AW47)/1000000</f>
        <v/>
      </c>
      <c r="AY47" s="47">
        <f>L47*gw_union</f>
        <v/>
      </c>
      <c r="AZ47" s="46" t="n">
        <v>1.102</v>
      </c>
      <c r="BA47" s="47">
        <f>Economy!Q47*AZ47/lf_rate</f>
        <v/>
      </c>
      <c r="BB47" s="64">
        <f>bd_growth*AU46/W46</f>
        <v/>
      </c>
      <c r="BC47" s="64">
        <f>tg_k*MIN(1,Economy!O46/BK46)</f>
        <v/>
      </c>
      <c r="BD47" s="64">
        <f>emu_g*S47</f>
        <v/>
      </c>
      <c r="BE47" s="65">
        <f>BE46*(1-BB47-BC47+BD47)</f>
        <v/>
      </c>
      <c r="BF47" s="46" t="n">
        <v>1</v>
      </c>
      <c r="BG47" s="53">
        <f>AU47*BA47*BE47*(skill_rel-1+skill_spill)/1000000</f>
        <v/>
      </c>
      <c r="BH47" s="53">
        <f>union_disp*(Champions!AP47+Champions!AZ47)*(1-IF(union_resp=2,mkt_cut*S47,0))</f>
        <v/>
      </c>
      <c r="BI47" s="53">
        <f>AY47*BA47*BE47/1000000</f>
        <v/>
      </c>
      <c r="BJ47" s="47">
        <f>V47*Economy!Q47*AZ47</f>
        <v/>
      </c>
      <c r="BK47" s="47">
        <f>MAX(0.3*BJ47,AX47*Economy!Q47*AZ47*BE47*BF47-BG47-BH47-BI47)</f>
        <v/>
      </c>
      <c r="BL47" s="63">
        <f>1-BK47/BJ47</f>
        <v/>
      </c>
      <c r="BM47" s="47">
        <f>MAX(0,BH47-BH46)*1000000/BA47</f>
        <v/>
      </c>
      <c r="BN47" s="47">
        <f>BN46*(1-IF(AND($A47&gt;=1930,$A47&lt;=1932),0,union_reabsorb))+BM47</f>
        <v/>
      </c>
      <c r="BO47" s="59" t="n">
        <v>0.04</v>
      </c>
      <c r="BP47" s="63">
        <f>BO47+BN47/(AX47*1000000*lf_rate)</f>
        <v/>
      </c>
    </row>
    <row r="48">
      <c r="A48" s="58" t="n">
        <v>1888</v>
      </c>
      <c r="B48" s="47">
        <f>Economy!B48*lf_rate</f>
        <v/>
      </c>
      <c r="C48" s="47">
        <f>Economy!O48*1000000/(B48+L48)</f>
        <v/>
      </c>
      <c r="D48" s="47">
        <f>Champions!AP48*1000000/(C48*champ_prem)</f>
        <v/>
      </c>
      <c r="E48" s="47">
        <f>D48*job_mult</f>
        <v/>
      </c>
      <c r="F48" s="47">
        <f>D48+E48</f>
        <v/>
      </c>
      <c r="G48" s="63">
        <f>F48/B48</f>
        <v/>
      </c>
      <c r="H48" s="47">
        <f>F48-F47</f>
        <v/>
      </c>
      <c r="I48" s="63">
        <f>MAX(0.005,pac_u_base*IF(Paths!AC48=1,pac_u_war,1)+(okun*(1-Economy!G48)*(B48+L48)-MAX(0,L47-L48))/B48)</f>
        <v/>
      </c>
      <c r="J48" s="47">
        <f>IF(AND(gw_on=1,$A48&gt;=gw_start),MIN(gw_cap*B47,gw_cover*F47+gw_gen*B47),0)</f>
        <v/>
      </c>
      <c r="K48" s="47">
        <f>L47*gw_conv</f>
        <v/>
      </c>
      <c r="L48" s="47">
        <f>MAX(0,L47-K48+gw_adj*(J48-L47))*MAX(0,1-gw_slump*(1-Economy!G48))</f>
        <v/>
      </c>
      <c r="M48" s="47">
        <f>MAX(0,L48-L47+L47/gw_term)</f>
        <v/>
      </c>
      <c r="N48" s="63">
        <f>L48/B48</f>
        <v/>
      </c>
      <c r="O48" s="53">
        <f>Economy!L48</f>
        <v/>
      </c>
      <c r="P48" s="53">
        <f>O48*gw_wage_share</f>
        <v/>
      </c>
      <c r="Q48" s="53">
        <f>P48*gw_levy</f>
        <v/>
      </c>
      <c r="R48" s="53">
        <f>P48*gw_remit</f>
        <v/>
      </c>
      <c r="S48" s="63">
        <f>IF(union_resp&gt;=1,MIN(1,MAX(0,($A48-resp_start)/(resp_full-resp_start))),0)</f>
        <v/>
      </c>
      <c r="T48" s="67">
        <f>Economy!R47</f>
        <v/>
      </c>
      <c r="U48" s="67">
        <f>MAX(0,T48-gap_base)</f>
        <v/>
      </c>
      <c r="V48" s="68" t="n">
        <v>48</v>
      </c>
      <c r="W48" s="47">
        <f>V48*1000000*lf_rate*union_skill_share</f>
        <v/>
      </c>
      <c r="X48" s="45" t="n">
        <v>76000</v>
      </c>
      <c r="Y48" s="47">
        <f>IF(AND(mig_endo=1,$A48&gt;=talent_start),talent_rate_u*W48*U48*(1-(1-bd_keep)*S48),0)</f>
        <v/>
      </c>
      <c r="Z48" s="47">
        <f>IF(AND(mig_endo=1,$A48&gt;=talent_start),X48*MIN(0.5,talent_share_o*U48)*(1-eu_comp*S48),0)</f>
        <v/>
      </c>
      <c r="AA48" s="45" t="n">
        <v>10000</v>
      </c>
      <c r="AB48" s="47">
        <f>IF(AND(mig_endo=1,$A48&gt;=talent_start),AA48*MIN(0.5,talent_share_a*U48),0)</f>
        <v/>
      </c>
      <c r="AC48" s="47">
        <f>entry_cap*People!B48</f>
        <v/>
      </c>
      <c r="AD48" s="47">
        <f>MIN(AC48,Y48+Z48+AB48)</f>
        <v/>
      </c>
      <c r="AE48" s="47">
        <f>IF(Y48+Z48+AB48&gt;0,AD48*Y48/(Y48+Z48+AB48),0)</f>
        <v/>
      </c>
      <c r="AF48" s="47">
        <f>IF(Y48+Z48+AB48&gt;0,AD48*AB48/(Y48+Z48+AB48),0)</f>
        <v/>
      </c>
      <c r="AG48" s="47">
        <f>AD48*family_mult</f>
        <v/>
      </c>
      <c r="AH48" s="47">
        <f>AH47*(1+Paths!C48)+AG48</f>
        <v/>
      </c>
      <c r="AI48" s="47">
        <f>IF(AND(mig_endo=1,$A48&gt;=talent_start),chain_rate*AH47,0)</f>
        <v/>
      </c>
      <c r="AJ48" s="47">
        <f>IF(AND(mig_endo=1,$A48&gt;=talent_start),IF(H47&gt;0,H47*job_fill,H47*job_return)*job_family,0)</f>
        <v/>
      </c>
      <c r="AK48" s="47">
        <f>K48*gw_conv_family</f>
        <v/>
      </c>
      <c r="AL48" s="47">
        <f>AG48+AI48+AJ48+AK48+AR48</f>
        <v/>
      </c>
      <c r="AM48" s="47">
        <f>AM47*(1-skill_ret)+AD48</f>
        <v/>
      </c>
      <c r="AN48" s="64">
        <f>AM48/B48</f>
        <v/>
      </c>
      <c r="AO48" s="64">
        <f>(skill_rel-1+skill_spill)*AM47/B47-AT48</f>
        <v/>
      </c>
      <c r="AP48" s="64">
        <f>talent_champ*AM47/(skill_base_share*B47)</f>
        <v/>
      </c>
      <c r="AQ48" s="45" t="n">
        <v>550000</v>
      </c>
      <c r="AR48" s="47">
        <f>IF(AND(div_on=1,$A48&gt;=div_start),AQ48*MIN(div_max,div_rate*U48)*(1-div_comp*S48),0)</f>
        <v/>
      </c>
      <c r="AS48" s="47">
        <f>AS47*(1-div_assim)+AR48</f>
        <v/>
      </c>
      <c r="AT48" s="64">
        <f>(1-div_rel)*AS47/Economy!B47</f>
        <v/>
      </c>
      <c r="AU48" s="47">
        <f>AU47*(1-skill_ret)+AE48</f>
        <v/>
      </c>
      <c r="AV48" s="47">
        <f>AV47*(1+union_nat)+AR48</f>
        <v/>
      </c>
      <c r="AW48" s="47">
        <f>AW47*(1+union_nat)+AE48*family_mult</f>
        <v/>
      </c>
      <c r="AX48" s="67">
        <f>V48-(AV48+AW48)/1000000</f>
        <v/>
      </c>
      <c r="AY48" s="47">
        <f>L48*gw_union</f>
        <v/>
      </c>
      <c r="AZ48" s="46" t="n">
        <v>1.101</v>
      </c>
      <c r="BA48" s="47">
        <f>Economy!Q48*AZ48/lf_rate</f>
        <v/>
      </c>
      <c r="BB48" s="64">
        <f>bd_growth*AU47/W47</f>
        <v/>
      </c>
      <c r="BC48" s="64">
        <f>tg_k*MIN(1,Economy!O47/BK47)</f>
        <v/>
      </c>
      <c r="BD48" s="64">
        <f>emu_g*S48</f>
        <v/>
      </c>
      <c r="BE48" s="65">
        <f>BE47*(1-BB48-BC48+BD48)</f>
        <v/>
      </c>
      <c r="BF48" s="46" t="n">
        <v>1</v>
      </c>
      <c r="BG48" s="53">
        <f>AU48*BA48*BE48*(skill_rel-1+skill_spill)/1000000</f>
        <v/>
      </c>
      <c r="BH48" s="53">
        <f>union_disp*(Champions!AP48+Champions!AZ48)*(1-IF(union_resp=2,mkt_cut*S48,0))</f>
        <v/>
      </c>
      <c r="BI48" s="53">
        <f>AY48*BA48*BE48/1000000</f>
        <v/>
      </c>
      <c r="BJ48" s="47">
        <f>V48*Economy!Q48*AZ48</f>
        <v/>
      </c>
      <c r="BK48" s="47">
        <f>MAX(0.3*BJ48,AX48*Economy!Q48*AZ48*BE48*BF48-BG48-BH48-BI48)</f>
        <v/>
      </c>
      <c r="BL48" s="63">
        <f>1-BK48/BJ48</f>
        <v/>
      </c>
      <c r="BM48" s="47">
        <f>MAX(0,BH48-BH47)*1000000/BA48</f>
        <v/>
      </c>
      <c r="BN48" s="47">
        <f>BN47*(1-IF(AND($A48&gt;=1930,$A48&lt;=1932),0,union_reabsorb))+BM48</f>
        <v/>
      </c>
      <c r="BO48" s="59" t="n">
        <v>0.04</v>
      </c>
      <c r="BP48" s="63">
        <f>BO48+BN48/(AX48*1000000*lf_rate)</f>
        <v/>
      </c>
    </row>
    <row r="49">
      <c r="A49" s="58" t="n">
        <v>1889</v>
      </c>
      <c r="B49" s="47">
        <f>Economy!B49*lf_rate</f>
        <v/>
      </c>
      <c r="C49" s="47">
        <f>Economy!O49*1000000/(B49+L49)</f>
        <v/>
      </c>
      <c r="D49" s="47">
        <f>Champions!AP49*1000000/(C49*champ_prem)</f>
        <v/>
      </c>
      <c r="E49" s="47">
        <f>D49*job_mult</f>
        <v/>
      </c>
      <c r="F49" s="47">
        <f>D49+E49</f>
        <v/>
      </c>
      <c r="G49" s="63">
        <f>F49/B49</f>
        <v/>
      </c>
      <c r="H49" s="47">
        <f>F49-F48</f>
        <v/>
      </c>
      <c r="I49" s="63">
        <f>MAX(0.005,pac_u_base*IF(Paths!AC49=1,pac_u_war,1)+(okun*(1-Economy!G49)*(B49+L49)-MAX(0,L48-L49))/B49)</f>
        <v/>
      </c>
      <c r="J49" s="47">
        <f>IF(AND(gw_on=1,$A49&gt;=gw_start),MIN(gw_cap*B48,gw_cover*F48+gw_gen*B48),0)</f>
        <v/>
      </c>
      <c r="K49" s="47">
        <f>L48*gw_conv</f>
        <v/>
      </c>
      <c r="L49" s="47">
        <f>MAX(0,L48-K49+gw_adj*(J49-L48))*MAX(0,1-gw_slump*(1-Economy!G49))</f>
        <v/>
      </c>
      <c r="M49" s="47">
        <f>MAX(0,L49-L48+L48/gw_term)</f>
        <v/>
      </c>
      <c r="N49" s="63">
        <f>L49/B49</f>
        <v/>
      </c>
      <c r="O49" s="53">
        <f>Economy!L49</f>
        <v/>
      </c>
      <c r="P49" s="53">
        <f>O49*gw_wage_share</f>
        <v/>
      </c>
      <c r="Q49" s="53">
        <f>P49*gw_levy</f>
        <v/>
      </c>
      <c r="R49" s="53">
        <f>P49*gw_remit</f>
        <v/>
      </c>
      <c r="S49" s="63">
        <f>IF(union_resp&gt;=1,MIN(1,MAX(0,($A49-resp_start)/(resp_full-resp_start))),0)</f>
        <v/>
      </c>
      <c r="T49" s="67">
        <f>Economy!R48</f>
        <v/>
      </c>
      <c r="U49" s="67">
        <f>MAX(0,T49-gap_base)</f>
        <v/>
      </c>
      <c r="V49" s="68" t="n">
        <v>49</v>
      </c>
      <c r="W49" s="47">
        <f>V49*1000000*lf_rate*union_skill_share</f>
        <v/>
      </c>
      <c r="X49" s="45" t="n">
        <v>78000</v>
      </c>
      <c r="Y49" s="47">
        <f>IF(AND(mig_endo=1,$A49&gt;=talent_start),talent_rate_u*W49*U49*(1-(1-bd_keep)*S49),0)</f>
        <v/>
      </c>
      <c r="Z49" s="47">
        <f>IF(AND(mig_endo=1,$A49&gt;=talent_start),X49*MIN(0.5,talent_share_o*U49)*(1-eu_comp*S49),0)</f>
        <v/>
      </c>
      <c r="AA49" s="45" t="n">
        <v>11000</v>
      </c>
      <c r="AB49" s="47">
        <f>IF(AND(mig_endo=1,$A49&gt;=talent_start),AA49*MIN(0.5,talent_share_a*U49),0)</f>
        <v/>
      </c>
      <c r="AC49" s="47">
        <f>entry_cap*People!B49</f>
        <v/>
      </c>
      <c r="AD49" s="47">
        <f>MIN(AC49,Y49+Z49+AB49)</f>
        <v/>
      </c>
      <c r="AE49" s="47">
        <f>IF(Y49+Z49+AB49&gt;0,AD49*Y49/(Y49+Z49+AB49),0)</f>
        <v/>
      </c>
      <c r="AF49" s="47">
        <f>IF(Y49+Z49+AB49&gt;0,AD49*AB49/(Y49+Z49+AB49),0)</f>
        <v/>
      </c>
      <c r="AG49" s="47">
        <f>AD49*family_mult</f>
        <v/>
      </c>
      <c r="AH49" s="47">
        <f>AH48*(1+Paths!C49)+AG49</f>
        <v/>
      </c>
      <c r="AI49" s="47">
        <f>IF(AND(mig_endo=1,$A49&gt;=talent_start),chain_rate*AH48,0)</f>
        <v/>
      </c>
      <c r="AJ49" s="47">
        <f>IF(AND(mig_endo=1,$A49&gt;=talent_start),IF(H48&gt;0,H48*job_fill,H48*job_return)*job_family,0)</f>
        <v/>
      </c>
      <c r="AK49" s="47">
        <f>K49*gw_conv_family</f>
        <v/>
      </c>
      <c r="AL49" s="47">
        <f>AG49+AI49+AJ49+AK49+AR49</f>
        <v/>
      </c>
      <c r="AM49" s="47">
        <f>AM48*(1-skill_ret)+AD49</f>
        <v/>
      </c>
      <c r="AN49" s="64">
        <f>AM49/B49</f>
        <v/>
      </c>
      <c r="AO49" s="64">
        <f>(skill_rel-1+skill_spill)*AM48/B48-AT49</f>
        <v/>
      </c>
      <c r="AP49" s="64">
        <f>talent_champ*AM48/(skill_base_share*B48)</f>
        <v/>
      </c>
      <c r="AQ49" s="45" t="n">
        <v>528000</v>
      </c>
      <c r="AR49" s="47">
        <f>IF(AND(div_on=1,$A49&gt;=div_start),AQ49*MIN(div_max,div_rate*U49)*(1-div_comp*S49),0)</f>
        <v/>
      </c>
      <c r="AS49" s="47">
        <f>AS48*(1-div_assim)+AR49</f>
        <v/>
      </c>
      <c r="AT49" s="64">
        <f>(1-div_rel)*AS48/Economy!B48</f>
        <v/>
      </c>
      <c r="AU49" s="47">
        <f>AU48*(1-skill_ret)+AE49</f>
        <v/>
      </c>
      <c r="AV49" s="47">
        <f>AV48*(1+union_nat)+AR49</f>
        <v/>
      </c>
      <c r="AW49" s="47">
        <f>AW48*(1+union_nat)+AE49*family_mult</f>
        <v/>
      </c>
      <c r="AX49" s="67">
        <f>V49-(AV49+AW49)/1000000</f>
        <v/>
      </c>
      <c r="AY49" s="47">
        <f>L49*gw_union</f>
        <v/>
      </c>
      <c r="AZ49" s="46" t="n">
        <v>1.1</v>
      </c>
      <c r="BA49" s="47">
        <f>Economy!Q49*AZ49/lf_rate</f>
        <v/>
      </c>
      <c r="BB49" s="64">
        <f>bd_growth*AU48/W48</f>
        <v/>
      </c>
      <c r="BC49" s="64">
        <f>tg_k*MIN(1,Economy!O48/BK48)</f>
        <v/>
      </c>
      <c r="BD49" s="64">
        <f>emu_g*S49</f>
        <v/>
      </c>
      <c r="BE49" s="65">
        <f>BE48*(1-BB49-BC49+BD49)</f>
        <v/>
      </c>
      <c r="BF49" s="46" t="n">
        <v>1</v>
      </c>
      <c r="BG49" s="53">
        <f>AU49*BA49*BE49*(skill_rel-1+skill_spill)/1000000</f>
        <v/>
      </c>
      <c r="BH49" s="53">
        <f>union_disp*(Champions!AP49+Champions!AZ49)*(1-IF(union_resp=2,mkt_cut*S49,0))</f>
        <v/>
      </c>
      <c r="BI49" s="53">
        <f>AY49*BA49*BE49/1000000</f>
        <v/>
      </c>
      <c r="BJ49" s="47">
        <f>V49*Economy!Q49*AZ49</f>
        <v/>
      </c>
      <c r="BK49" s="47">
        <f>MAX(0.3*BJ49,AX49*Economy!Q49*AZ49*BE49*BF49-BG49-BH49-BI49)</f>
        <v/>
      </c>
      <c r="BL49" s="63">
        <f>1-BK49/BJ49</f>
        <v/>
      </c>
      <c r="BM49" s="47">
        <f>MAX(0,BH49-BH48)*1000000/BA49</f>
        <v/>
      </c>
      <c r="BN49" s="47">
        <f>BN48*(1-IF(AND($A49&gt;=1930,$A49&lt;=1932),0,union_reabsorb))+BM49</f>
        <v/>
      </c>
      <c r="BO49" s="59" t="n">
        <v>0.04</v>
      </c>
      <c r="BP49" s="63">
        <f>BO49+BN49/(AX49*1000000*lf_rate)</f>
        <v/>
      </c>
    </row>
    <row r="50">
      <c r="A50" s="58" t="n">
        <v>1890</v>
      </c>
      <c r="B50" s="47">
        <f>Economy!B50*lf_rate</f>
        <v/>
      </c>
      <c r="C50" s="47">
        <f>Economy!O50*1000000/(B50+L50)</f>
        <v/>
      </c>
      <c r="D50" s="47">
        <f>Champions!AP50*1000000/(C50*champ_prem)</f>
        <v/>
      </c>
      <c r="E50" s="47">
        <f>D50*job_mult</f>
        <v/>
      </c>
      <c r="F50" s="47">
        <f>D50+E50</f>
        <v/>
      </c>
      <c r="G50" s="63">
        <f>F50/B50</f>
        <v/>
      </c>
      <c r="H50" s="47">
        <f>F50-F49</f>
        <v/>
      </c>
      <c r="I50" s="63">
        <f>MAX(0.005,pac_u_base*IF(Paths!AC50=1,pac_u_war,1)+(okun*(1-Economy!G50)*(B50+L50)-MAX(0,L49-L50))/B50)</f>
        <v/>
      </c>
      <c r="J50" s="47">
        <f>IF(AND(gw_on=1,$A50&gt;=gw_start),MIN(gw_cap*B49,gw_cover*F49+gw_gen*B49),0)</f>
        <v/>
      </c>
      <c r="K50" s="47">
        <f>L49*gw_conv</f>
        <v/>
      </c>
      <c r="L50" s="47">
        <f>MAX(0,L49-K50+gw_adj*(J50-L49))*MAX(0,1-gw_slump*(1-Economy!G50))</f>
        <v/>
      </c>
      <c r="M50" s="47">
        <f>MAX(0,L50-L49+L49/gw_term)</f>
        <v/>
      </c>
      <c r="N50" s="63">
        <f>L50/B50</f>
        <v/>
      </c>
      <c r="O50" s="53">
        <f>Economy!L50</f>
        <v/>
      </c>
      <c r="P50" s="53">
        <f>O50*gw_wage_share</f>
        <v/>
      </c>
      <c r="Q50" s="53">
        <f>P50*gw_levy</f>
        <v/>
      </c>
      <c r="R50" s="53">
        <f>P50*gw_remit</f>
        <v/>
      </c>
      <c r="S50" s="63">
        <f>IF(union_resp&gt;=1,MIN(1,MAX(0,($A50-resp_start)/(resp_full-resp_start))),0)</f>
        <v/>
      </c>
      <c r="T50" s="67">
        <f>Economy!R49</f>
        <v/>
      </c>
      <c r="U50" s="67">
        <f>MAX(0,T50-gap_base)</f>
        <v/>
      </c>
      <c r="V50" s="68" t="n">
        <v>50</v>
      </c>
      <c r="W50" s="47">
        <f>V50*1000000*lf_rate*union_skill_share</f>
        <v/>
      </c>
      <c r="X50" s="45" t="n">
        <v>80000</v>
      </c>
      <c r="Y50" s="47">
        <f>IF(AND(mig_endo=1,$A50&gt;=talent_start),talent_rate_u*W50*U50*(1-(1-bd_keep)*S50),0)</f>
        <v/>
      </c>
      <c r="Z50" s="47">
        <f>IF(AND(mig_endo=1,$A50&gt;=talent_start),X50*MIN(0.5,talent_share_o*U50)*(1-eu_comp*S50),0)</f>
        <v/>
      </c>
      <c r="AA50" s="45" t="n">
        <v>12000</v>
      </c>
      <c r="AB50" s="47">
        <f>IF(AND(mig_endo=1,$A50&gt;=talent_start),AA50*MIN(0.5,talent_share_a*U50),0)</f>
        <v/>
      </c>
      <c r="AC50" s="47">
        <f>entry_cap*People!B50</f>
        <v/>
      </c>
      <c r="AD50" s="47">
        <f>MIN(AC50,Y50+Z50+AB50)</f>
        <v/>
      </c>
      <c r="AE50" s="47">
        <f>IF(Y50+Z50+AB50&gt;0,AD50*Y50/(Y50+Z50+AB50),0)</f>
        <v/>
      </c>
      <c r="AF50" s="47">
        <f>IF(Y50+Z50+AB50&gt;0,AD50*AB50/(Y50+Z50+AB50),0)</f>
        <v/>
      </c>
      <c r="AG50" s="47">
        <f>AD50*family_mult</f>
        <v/>
      </c>
      <c r="AH50" s="47">
        <f>AH49*(1+Paths!C50)+AG50</f>
        <v/>
      </c>
      <c r="AI50" s="47">
        <f>IF(AND(mig_endo=1,$A50&gt;=talent_start),chain_rate*AH49,0)</f>
        <v/>
      </c>
      <c r="AJ50" s="47">
        <f>IF(AND(mig_endo=1,$A50&gt;=talent_start),IF(H49&gt;0,H49*job_fill,H49*job_return)*job_family,0)</f>
        <v/>
      </c>
      <c r="AK50" s="47">
        <f>K50*gw_conv_family</f>
        <v/>
      </c>
      <c r="AL50" s="47">
        <f>AG50+AI50+AJ50+AK50+AR50</f>
        <v/>
      </c>
      <c r="AM50" s="47">
        <f>AM49*(1-skill_ret)+AD50</f>
        <v/>
      </c>
      <c r="AN50" s="64">
        <f>AM50/B50</f>
        <v/>
      </c>
      <c r="AO50" s="64">
        <f>(skill_rel-1+skill_spill)*AM49/B49-AT50</f>
        <v/>
      </c>
      <c r="AP50" s="64">
        <f>talent_champ*AM49/(skill_base_share*B49)</f>
        <v/>
      </c>
      <c r="AQ50" s="45" t="n">
        <v>506000</v>
      </c>
      <c r="AR50" s="47">
        <f>IF(AND(div_on=1,$A50&gt;=div_start),AQ50*MIN(div_max,div_rate*U50)*(1-div_comp*S50),0)</f>
        <v/>
      </c>
      <c r="AS50" s="47">
        <f>AS49*(1-div_assim)+AR50</f>
        <v/>
      </c>
      <c r="AT50" s="64">
        <f>(1-div_rel)*AS49/Economy!B49</f>
        <v/>
      </c>
      <c r="AU50" s="47">
        <f>AU49*(1-skill_ret)+AE50</f>
        <v/>
      </c>
      <c r="AV50" s="47">
        <f>AV49*(1+union_nat)+AR50</f>
        <v/>
      </c>
      <c r="AW50" s="47">
        <f>AW49*(1+union_nat)+AE50*family_mult</f>
        <v/>
      </c>
      <c r="AX50" s="67">
        <f>V50-(AV50+AW50)/1000000</f>
        <v/>
      </c>
      <c r="AY50" s="47">
        <f>L50*gw_union</f>
        <v/>
      </c>
      <c r="AZ50" s="46" t="n">
        <v>1.1</v>
      </c>
      <c r="BA50" s="47">
        <f>Economy!Q50*AZ50/lf_rate</f>
        <v/>
      </c>
      <c r="BB50" s="64">
        <f>bd_growth*AU49/W49</f>
        <v/>
      </c>
      <c r="BC50" s="64">
        <f>tg_k*MIN(1,Economy!O49/BK49)</f>
        <v/>
      </c>
      <c r="BD50" s="64">
        <f>emu_g*S50</f>
        <v/>
      </c>
      <c r="BE50" s="65">
        <f>BE49*(1-BB50-BC50+BD50)</f>
        <v/>
      </c>
      <c r="BF50" s="46" t="n">
        <v>1</v>
      </c>
      <c r="BG50" s="53">
        <f>AU50*BA50*BE50*(skill_rel-1+skill_spill)/1000000</f>
        <v/>
      </c>
      <c r="BH50" s="53">
        <f>union_disp*(Champions!AP50+Champions!AZ50)*(1-IF(union_resp=2,mkt_cut*S50,0))</f>
        <v/>
      </c>
      <c r="BI50" s="53">
        <f>AY50*BA50*BE50/1000000</f>
        <v/>
      </c>
      <c r="BJ50" s="47">
        <f>V50*Economy!Q50*AZ50</f>
        <v/>
      </c>
      <c r="BK50" s="47">
        <f>MAX(0.3*BJ50,AX50*Economy!Q50*AZ50*BE50*BF50-BG50-BH50-BI50)</f>
        <v/>
      </c>
      <c r="BL50" s="63">
        <f>1-BK50/BJ50</f>
        <v/>
      </c>
      <c r="BM50" s="47">
        <f>MAX(0,BH50-BH49)*1000000/BA50</f>
        <v/>
      </c>
      <c r="BN50" s="47">
        <f>BN49*(1-IF(AND($A50&gt;=1930,$A50&lt;=1932),0,union_reabsorb))+BM50</f>
        <v/>
      </c>
      <c r="BO50" s="59" t="n">
        <v>0.04</v>
      </c>
      <c r="BP50" s="63">
        <f>BO50+BN50/(AX50*1000000*lf_rate)</f>
        <v/>
      </c>
    </row>
    <row r="51">
      <c r="A51" s="58" t="n">
        <v>1891</v>
      </c>
      <c r="B51" s="47">
        <f>Economy!B51*lf_rate</f>
        <v/>
      </c>
      <c r="C51" s="47">
        <f>Economy!O51*1000000/(B51+L51)</f>
        <v/>
      </c>
      <c r="D51" s="47">
        <f>Champions!AP51*1000000/(C51*champ_prem)</f>
        <v/>
      </c>
      <c r="E51" s="47">
        <f>D51*job_mult</f>
        <v/>
      </c>
      <c r="F51" s="47">
        <f>D51+E51</f>
        <v/>
      </c>
      <c r="G51" s="63">
        <f>F51/B51</f>
        <v/>
      </c>
      <c r="H51" s="47">
        <f>F51-F50</f>
        <v/>
      </c>
      <c r="I51" s="63">
        <f>MAX(0.005,pac_u_base*IF(Paths!AC51=1,pac_u_war,1)+(okun*(1-Economy!G51)*(B51+L51)-MAX(0,L50-L51))/B51)</f>
        <v/>
      </c>
      <c r="J51" s="47">
        <f>IF(AND(gw_on=1,$A51&gt;=gw_start),MIN(gw_cap*B50,gw_cover*F50+gw_gen*B50),0)</f>
        <v/>
      </c>
      <c r="K51" s="47">
        <f>L50*gw_conv</f>
        <v/>
      </c>
      <c r="L51" s="47">
        <f>MAX(0,L50-K51+gw_adj*(J51-L50))*MAX(0,1-gw_slump*(1-Economy!G51))</f>
        <v/>
      </c>
      <c r="M51" s="47">
        <f>MAX(0,L51-L50+L50/gw_term)</f>
        <v/>
      </c>
      <c r="N51" s="63">
        <f>L51/B51</f>
        <v/>
      </c>
      <c r="O51" s="53">
        <f>Economy!L51</f>
        <v/>
      </c>
      <c r="P51" s="53">
        <f>O51*gw_wage_share</f>
        <v/>
      </c>
      <c r="Q51" s="53">
        <f>P51*gw_levy</f>
        <v/>
      </c>
      <c r="R51" s="53">
        <f>P51*gw_remit</f>
        <v/>
      </c>
      <c r="S51" s="63">
        <f>IF(union_resp&gt;=1,MIN(1,MAX(0,($A51-resp_start)/(resp_full-resp_start))),0)</f>
        <v/>
      </c>
      <c r="T51" s="67">
        <f>Economy!R50</f>
        <v/>
      </c>
      <c r="U51" s="67">
        <f>MAX(0,T51-gap_base)</f>
        <v/>
      </c>
      <c r="V51" s="68" t="n">
        <v>50.94</v>
      </c>
      <c r="W51" s="47">
        <f>V51*1000000*lf_rate*union_skill_share</f>
        <v/>
      </c>
      <c r="X51" s="45" t="n">
        <v>82000</v>
      </c>
      <c r="Y51" s="47">
        <f>IF(AND(mig_endo=1,$A51&gt;=talent_start),talent_rate_u*W51*U51*(1-(1-bd_keep)*S51),0)</f>
        <v/>
      </c>
      <c r="Z51" s="47">
        <f>IF(AND(mig_endo=1,$A51&gt;=talent_start),X51*MIN(0.5,talent_share_o*U51)*(1-eu_comp*S51),0)</f>
        <v/>
      </c>
      <c r="AA51" s="45" t="n">
        <v>12000</v>
      </c>
      <c r="AB51" s="47">
        <f>IF(AND(mig_endo=1,$A51&gt;=talent_start),AA51*MIN(0.5,talent_share_a*U51),0)</f>
        <v/>
      </c>
      <c r="AC51" s="47">
        <f>entry_cap*People!B51</f>
        <v/>
      </c>
      <c r="AD51" s="47">
        <f>MIN(AC51,Y51+Z51+AB51)</f>
        <v/>
      </c>
      <c r="AE51" s="47">
        <f>IF(Y51+Z51+AB51&gt;0,AD51*Y51/(Y51+Z51+AB51),0)</f>
        <v/>
      </c>
      <c r="AF51" s="47">
        <f>IF(Y51+Z51+AB51&gt;0,AD51*AB51/(Y51+Z51+AB51),0)</f>
        <v/>
      </c>
      <c r="AG51" s="47">
        <f>AD51*family_mult</f>
        <v/>
      </c>
      <c r="AH51" s="47">
        <f>AH50*(1+Paths!C51)+AG51</f>
        <v/>
      </c>
      <c r="AI51" s="47">
        <f>IF(AND(mig_endo=1,$A51&gt;=talent_start),chain_rate*AH50,0)</f>
        <v/>
      </c>
      <c r="AJ51" s="47">
        <f>IF(AND(mig_endo=1,$A51&gt;=talent_start),IF(H50&gt;0,H50*job_fill,H50*job_return)*job_family,0)</f>
        <v/>
      </c>
      <c r="AK51" s="47">
        <f>K51*gw_conv_family</f>
        <v/>
      </c>
      <c r="AL51" s="47">
        <f>AG51+AI51+AJ51+AK51+AR51</f>
        <v/>
      </c>
      <c r="AM51" s="47">
        <f>AM50*(1-skill_ret)+AD51</f>
        <v/>
      </c>
      <c r="AN51" s="64">
        <f>AM51/B51</f>
        <v/>
      </c>
      <c r="AO51" s="64">
        <f>(skill_rel-1+skill_spill)*AM50/B50-AT51</f>
        <v/>
      </c>
      <c r="AP51" s="64">
        <f>talent_champ*AM50/(skill_base_share*B50)</f>
        <v/>
      </c>
      <c r="AQ51" s="45" t="n">
        <v>484000</v>
      </c>
      <c r="AR51" s="47">
        <f>IF(AND(div_on=1,$A51&gt;=div_start),AQ51*MIN(div_max,div_rate*U51)*(1-div_comp*S51),0)</f>
        <v/>
      </c>
      <c r="AS51" s="47">
        <f>AS50*(1-div_assim)+AR51</f>
        <v/>
      </c>
      <c r="AT51" s="64">
        <f>(1-div_rel)*AS50/Economy!B50</f>
        <v/>
      </c>
      <c r="AU51" s="47">
        <f>AU50*(1-skill_ret)+AE51</f>
        <v/>
      </c>
      <c r="AV51" s="47">
        <f>AV50*(1+union_nat)+AR51</f>
        <v/>
      </c>
      <c r="AW51" s="47">
        <f>AW50*(1+union_nat)+AE51*family_mult</f>
        <v/>
      </c>
      <c r="AX51" s="67">
        <f>V51-(AV51+AW51)/1000000</f>
        <v/>
      </c>
      <c r="AY51" s="47">
        <f>L51*gw_union</f>
        <v/>
      </c>
      <c r="AZ51" s="46" t="n">
        <v>1.099</v>
      </c>
      <c r="BA51" s="47">
        <f>Economy!Q51*AZ51/lf_rate</f>
        <v/>
      </c>
      <c r="BB51" s="64">
        <f>bd_growth*AU50/W50</f>
        <v/>
      </c>
      <c r="BC51" s="64">
        <f>tg_k*MIN(1,Economy!O50/BK50)</f>
        <v/>
      </c>
      <c r="BD51" s="64">
        <f>emu_g*S51</f>
        <v/>
      </c>
      <c r="BE51" s="65">
        <f>BE50*(1-BB51-BC51+BD51)</f>
        <v/>
      </c>
      <c r="BF51" s="46" t="n">
        <v>1</v>
      </c>
      <c r="BG51" s="53">
        <f>AU51*BA51*BE51*(skill_rel-1+skill_spill)/1000000</f>
        <v/>
      </c>
      <c r="BH51" s="53">
        <f>union_disp*(Champions!AP51+Champions!AZ51)*(1-IF(union_resp=2,mkt_cut*S51,0))</f>
        <v/>
      </c>
      <c r="BI51" s="53">
        <f>AY51*BA51*BE51/1000000</f>
        <v/>
      </c>
      <c r="BJ51" s="47">
        <f>V51*Economy!Q51*AZ51</f>
        <v/>
      </c>
      <c r="BK51" s="47">
        <f>MAX(0.3*BJ51,AX51*Economy!Q51*AZ51*BE51*BF51-BG51-BH51-BI51)</f>
        <v/>
      </c>
      <c r="BL51" s="63">
        <f>1-BK51/BJ51</f>
        <v/>
      </c>
      <c r="BM51" s="47">
        <f>MAX(0,BH51-BH50)*1000000/BA51</f>
        <v/>
      </c>
      <c r="BN51" s="47">
        <f>BN50*(1-IF(AND($A51&gt;=1930,$A51&lt;=1932),0,union_reabsorb))+BM51</f>
        <v/>
      </c>
      <c r="BO51" s="59" t="n">
        <v>0.066</v>
      </c>
      <c r="BP51" s="63">
        <f>BO51+BN51/(AX51*1000000*lf_rate)</f>
        <v/>
      </c>
    </row>
    <row r="52">
      <c r="A52" s="58" t="n">
        <v>1892</v>
      </c>
      <c r="B52" s="47">
        <f>Economy!B52*lf_rate</f>
        <v/>
      </c>
      <c r="C52" s="47">
        <f>Economy!O52*1000000/(B52+L52)</f>
        <v/>
      </c>
      <c r="D52" s="47">
        <f>Champions!AP52*1000000/(C52*champ_prem)</f>
        <v/>
      </c>
      <c r="E52" s="47">
        <f>D52*job_mult</f>
        <v/>
      </c>
      <c r="F52" s="47">
        <f>D52+E52</f>
        <v/>
      </c>
      <c r="G52" s="63">
        <f>F52/B52</f>
        <v/>
      </c>
      <c r="H52" s="47">
        <f>F52-F51</f>
        <v/>
      </c>
      <c r="I52" s="63">
        <f>MAX(0.005,pac_u_base*IF(Paths!AC52=1,pac_u_war,1)+(okun*(1-Economy!G52)*(B52+L52)-MAX(0,L51-L52))/B52)</f>
        <v/>
      </c>
      <c r="J52" s="47">
        <f>IF(AND(gw_on=1,$A52&gt;=gw_start),MIN(gw_cap*B51,gw_cover*F51+gw_gen*B51),0)</f>
        <v/>
      </c>
      <c r="K52" s="47">
        <f>L51*gw_conv</f>
        <v/>
      </c>
      <c r="L52" s="47">
        <f>MAX(0,L51-K52+gw_adj*(J52-L51))*MAX(0,1-gw_slump*(1-Economy!G52))</f>
        <v/>
      </c>
      <c r="M52" s="47">
        <f>MAX(0,L52-L51+L51/gw_term)</f>
        <v/>
      </c>
      <c r="N52" s="63">
        <f>L52/B52</f>
        <v/>
      </c>
      <c r="O52" s="53">
        <f>Economy!L52</f>
        <v/>
      </c>
      <c r="P52" s="53">
        <f>O52*gw_wage_share</f>
        <v/>
      </c>
      <c r="Q52" s="53">
        <f>P52*gw_levy</f>
        <v/>
      </c>
      <c r="R52" s="53">
        <f>P52*gw_remit</f>
        <v/>
      </c>
      <c r="S52" s="63">
        <f>IF(union_resp&gt;=1,MIN(1,MAX(0,($A52-resp_start)/(resp_full-resp_start))),0)</f>
        <v/>
      </c>
      <c r="T52" s="67">
        <f>Economy!R51</f>
        <v/>
      </c>
      <c r="U52" s="67">
        <f>MAX(0,T52-gap_base)</f>
        <v/>
      </c>
      <c r="V52" s="68" t="n">
        <v>51.88</v>
      </c>
      <c r="W52" s="47">
        <f>V52*1000000*lf_rate*union_skill_share</f>
        <v/>
      </c>
      <c r="X52" s="45" t="n">
        <v>84000</v>
      </c>
      <c r="Y52" s="47">
        <f>IF(AND(mig_endo=1,$A52&gt;=talent_start),talent_rate_u*W52*U52*(1-(1-bd_keep)*S52),0)</f>
        <v/>
      </c>
      <c r="Z52" s="47">
        <f>IF(AND(mig_endo=1,$A52&gt;=talent_start),X52*MIN(0.5,talent_share_o*U52)*(1-eu_comp*S52),0)</f>
        <v/>
      </c>
      <c r="AA52" s="45" t="n">
        <v>13000</v>
      </c>
      <c r="AB52" s="47">
        <f>IF(AND(mig_endo=1,$A52&gt;=talent_start),AA52*MIN(0.5,talent_share_a*U52),0)</f>
        <v/>
      </c>
      <c r="AC52" s="47">
        <f>entry_cap*People!B52</f>
        <v/>
      </c>
      <c r="AD52" s="47">
        <f>MIN(AC52,Y52+Z52+AB52)</f>
        <v/>
      </c>
      <c r="AE52" s="47">
        <f>IF(Y52+Z52+AB52&gt;0,AD52*Y52/(Y52+Z52+AB52),0)</f>
        <v/>
      </c>
      <c r="AF52" s="47">
        <f>IF(Y52+Z52+AB52&gt;0,AD52*AB52/(Y52+Z52+AB52),0)</f>
        <v/>
      </c>
      <c r="AG52" s="47">
        <f>AD52*family_mult</f>
        <v/>
      </c>
      <c r="AH52" s="47">
        <f>AH51*(1+Paths!C52)+AG52</f>
        <v/>
      </c>
      <c r="AI52" s="47">
        <f>IF(AND(mig_endo=1,$A52&gt;=talent_start),chain_rate*AH51,0)</f>
        <v/>
      </c>
      <c r="AJ52" s="47">
        <f>IF(AND(mig_endo=1,$A52&gt;=talent_start),IF(H51&gt;0,H51*job_fill,H51*job_return)*job_family,0)</f>
        <v/>
      </c>
      <c r="AK52" s="47">
        <f>K52*gw_conv_family</f>
        <v/>
      </c>
      <c r="AL52" s="47">
        <f>AG52+AI52+AJ52+AK52+AR52</f>
        <v/>
      </c>
      <c r="AM52" s="47">
        <f>AM51*(1-skill_ret)+AD52</f>
        <v/>
      </c>
      <c r="AN52" s="64">
        <f>AM52/B52</f>
        <v/>
      </c>
      <c r="AO52" s="64">
        <f>(skill_rel-1+skill_spill)*AM51/B51-AT52</f>
        <v/>
      </c>
      <c r="AP52" s="64">
        <f>talent_champ*AM51/(skill_base_share*B51)</f>
        <v/>
      </c>
      <c r="AQ52" s="45" t="n">
        <v>462000</v>
      </c>
      <c r="AR52" s="47">
        <f>IF(AND(div_on=1,$A52&gt;=div_start),AQ52*MIN(div_max,div_rate*U52)*(1-div_comp*S52),0)</f>
        <v/>
      </c>
      <c r="AS52" s="47">
        <f>AS51*(1-div_assim)+AR52</f>
        <v/>
      </c>
      <c r="AT52" s="64">
        <f>(1-div_rel)*AS51/Economy!B51</f>
        <v/>
      </c>
      <c r="AU52" s="47">
        <f>AU51*(1-skill_ret)+AE52</f>
        <v/>
      </c>
      <c r="AV52" s="47">
        <f>AV51*(1+union_nat)+AR52</f>
        <v/>
      </c>
      <c r="AW52" s="47">
        <f>AW51*(1+union_nat)+AE52*family_mult</f>
        <v/>
      </c>
      <c r="AX52" s="67">
        <f>V52-(AV52+AW52)/1000000</f>
        <v/>
      </c>
      <c r="AY52" s="47">
        <f>L52*gw_union</f>
        <v/>
      </c>
      <c r="AZ52" s="46" t="n">
        <v>1.098</v>
      </c>
      <c r="BA52" s="47">
        <f>Economy!Q52*AZ52/lf_rate</f>
        <v/>
      </c>
      <c r="BB52" s="64">
        <f>bd_growth*AU51/W51</f>
        <v/>
      </c>
      <c r="BC52" s="64">
        <f>tg_k*MIN(1,Economy!O51/BK51)</f>
        <v/>
      </c>
      <c r="BD52" s="64">
        <f>emu_g*S52</f>
        <v/>
      </c>
      <c r="BE52" s="65">
        <f>BE51*(1-BB52-BC52+BD52)</f>
        <v/>
      </c>
      <c r="BF52" s="46" t="n">
        <v>1</v>
      </c>
      <c r="BG52" s="53">
        <f>AU52*BA52*BE52*(skill_rel-1+skill_spill)/1000000</f>
        <v/>
      </c>
      <c r="BH52" s="53">
        <f>union_disp*(Champions!AP52+Champions!AZ52)*(1-IF(union_resp=2,mkt_cut*S52,0))</f>
        <v/>
      </c>
      <c r="BI52" s="53">
        <f>AY52*BA52*BE52/1000000</f>
        <v/>
      </c>
      <c r="BJ52" s="47">
        <f>V52*Economy!Q52*AZ52</f>
        <v/>
      </c>
      <c r="BK52" s="47">
        <f>MAX(0.3*BJ52,AX52*Economy!Q52*AZ52*BE52*BF52-BG52-BH52-BI52)</f>
        <v/>
      </c>
      <c r="BL52" s="63">
        <f>1-BK52/BJ52</f>
        <v/>
      </c>
      <c r="BM52" s="47">
        <f>MAX(0,BH52-BH51)*1000000/BA52</f>
        <v/>
      </c>
      <c r="BN52" s="47">
        <f>BN51*(1-IF(AND($A52&gt;=1930,$A52&lt;=1932),0,union_reabsorb))+BM52</f>
        <v/>
      </c>
      <c r="BO52" s="59" t="n">
        <v>0.091</v>
      </c>
      <c r="BP52" s="63">
        <f>BO52+BN52/(AX52*1000000*lf_rate)</f>
        <v/>
      </c>
    </row>
    <row r="53">
      <c r="A53" s="58" t="n">
        <v>1893</v>
      </c>
      <c r="B53" s="47">
        <f>Economy!B53*lf_rate</f>
        <v/>
      </c>
      <c r="C53" s="47">
        <f>Economy!O53*1000000/(B53+L53)</f>
        <v/>
      </c>
      <c r="D53" s="47">
        <f>Champions!AP53*1000000/(C53*champ_prem)</f>
        <v/>
      </c>
      <c r="E53" s="47">
        <f>D53*job_mult</f>
        <v/>
      </c>
      <c r="F53" s="47">
        <f>D53+E53</f>
        <v/>
      </c>
      <c r="G53" s="63">
        <f>F53/B53</f>
        <v/>
      </c>
      <c r="H53" s="47">
        <f>F53-F52</f>
        <v/>
      </c>
      <c r="I53" s="63">
        <f>MAX(0.005,pac_u_base*IF(Paths!AC53=1,pac_u_war,1)+(okun*(1-Economy!G53)*(B53+L53)-MAX(0,L52-L53))/B53)</f>
        <v/>
      </c>
      <c r="J53" s="47">
        <f>IF(AND(gw_on=1,$A53&gt;=gw_start),MIN(gw_cap*B52,gw_cover*F52+gw_gen*B52),0)</f>
        <v/>
      </c>
      <c r="K53" s="47">
        <f>L52*gw_conv</f>
        <v/>
      </c>
      <c r="L53" s="47">
        <f>MAX(0,L52-K53+gw_adj*(J53-L52))*MAX(0,1-gw_slump*(1-Economy!G53))</f>
        <v/>
      </c>
      <c r="M53" s="47">
        <f>MAX(0,L53-L52+L52/gw_term)</f>
        <v/>
      </c>
      <c r="N53" s="63">
        <f>L53/B53</f>
        <v/>
      </c>
      <c r="O53" s="53">
        <f>Economy!L53</f>
        <v/>
      </c>
      <c r="P53" s="53">
        <f>O53*gw_wage_share</f>
        <v/>
      </c>
      <c r="Q53" s="53">
        <f>P53*gw_levy</f>
        <v/>
      </c>
      <c r="R53" s="53">
        <f>P53*gw_remit</f>
        <v/>
      </c>
      <c r="S53" s="63">
        <f>IF(union_resp&gt;=1,MIN(1,MAX(0,($A53-resp_start)/(resp_full-resp_start))),0)</f>
        <v/>
      </c>
      <c r="T53" s="67">
        <f>Economy!R52</f>
        <v/>
      </c>
      <c r="U53" s="67">
        <f>MAX(0,T53-gap_base)</f>
        <v/>
      </c>
      <c r="V53" s="68" t="n">
        <v>52.82</v>
      </c>
      <c r="W53" s="47">
        <f>V53*1000000*lf_rate*union_skill_share</f>
        <v/>
      </c>
      <c r="X53" s="45" t="n">
        <v>86000</v>
      </c>
      <c r="Y53" s="47">
        <f>IF(AND(mig_endo=1,$A53&gt;=talent_start),talent_rate_u*W53*U53*(1-(1-bd_keep)*S53),0)</f>
        <v/>
      </c>
      <c r="Z53" s="47">
        <f>IF(AND(mig_endo=1,$A53&gt;=talent_start),X53*MIN(0.5,talent_share_o*U53)*(1-eu_comp*S53),0)</f>
        <v/>
      </c>
      <c r="AA53" s="45" t="n">
        <v>14000</v>
      </c>
      <c r="AB53" s="47">
        <f>IF(AND(mig_endo=1,$A53&gt;=talent_start),AA53*MIN(0.5,talent_share_a*U53),0)</f>
        <v/>
      </c>
      <c r="AC53" s="47">
        <f>entry_cap*People!B53</f>
        <v/>
      </c>
      <c r="AD53" s="47">
        <f>MIN(AC53,Y53+Z53+AB53)</f>
        <v/>
      </c>
      <c r="AE53" s="47">
        <f>IF(Y53+Z53+AB53&gt;0,AD53*Y53/(Y53+Z53+AB53),0)</f>
        <v/>
      </c>
      <c r="AF53" s="47">
        <f>IF(Y53+Z53+AB53&gt;0,AD53*AB53/(Y53+Z53+AB53),0)</f>
        <v/>
      </c>
      <c r="AG53" s="47">
        <f>AD53*family_mult</f>
        <v/>
      </c>
      <c r="AH53" s="47">
        <f>AH52*(1+Paths!C53)+AG53</f>
        <v/>
      </c>
      <c r="AI53" s="47">
        <f>IF(AND(mig_endo=1,$A53&gt;=talent_start),chain_rate*AH52,0)</f>
        <v/>
      </c>
      <c r="AJ53" s="47">
        <f>IF(AND(mig_endo=1,$A53&gt;=talent_start),IF(H52&gt;0,H52*job_fill,H52*job_return)*job_family,0)</f>
        <v/>
      </c>
      <c r="AK53" s="47">
        <f>K53*gw_conv_family</f>
        <v/>
      </c>
      <c r="AL53" s="47">
        <f>AG53+AI53+AJ53+AK53+AR53</f>
        <v/>
      </c>
      <c r="AM53" s="47">
        <f>AM52*(1-skill_ret)+AD53</f>
        <v/>
      </c>
      <c r="AN53" s="64">
        <f>AM53/B53</f>
        <v/>
      </c>
      <c r="AO53" s="64">
        <f>(skill_rel-1+skill_spill)*AM52/B52-AT53</f>
        <v/>
      </c>
      <c r="AP53" s="64">
        <f>talent_champ*AM52/(skill_base_share*B52)</f>
        <v/>
      </c>
      <c r="AQ53" s="45" t="n">
        <v>440000</v>
      </c>
      <c r="AR53" s="47">
        <f>IF(AND(div_on=1,$A53&gt;=div_start),AQ53*MIN(div_max,div_rate*U53)*(1-div_comp*S53),0)</f>
        <v/>
      </c>
      <c r="AS53" s="47">
        <f>AS52*(1-div_assim)+AR53</f>
        <v/>
      </c>
      <c r="AT53" s="64">
        <f>(1-div_rel)*AS52/Economy!B52</f>
        <v/>
      </c>
      <c r="AU53" s="47">
        <f>AU52*(1-skill_ret)+AE53</f>
        <v/>
      </c>
      <c r="AV53" s="47">
        <f>AV52*(1+union_nat)+AR53</f>
        <v/>
      </c>
      <c r="AW53" s="47">
        <f>AW52*(1+union_nat)+AE53*family_mult</f>
        <v/>
      </c>
      <c r="AX53" s="67">
        <f>V53-(AV53+AW53)/1000000</f>
        <v/>
      </c>
      <c r="AY53" s="47">
        <f>L53*gw_union</f>
        <v/>
      </c>
      <c r="AZ53" s="46" t="n">
        <v>1.097</v>
      </c>
      <c r="BA53" s="47">
        <f>Economy!Q53*AZ53/lf_rate</f>
        <v/>
      </c>
      <c r="BB53" s="64">
        <f>bd_growth*AU52/W52</f>
        <v/>
      </c>
      <c r="BC53" s="64">
        <f>tg_k*MIN(1,Economy!O52/BK52)</f>
        <v/>
      </c>
      <c r="BD53" s="64">
        <f>emu_g*S53</f>
        <v/>
      </c>
      <c r="BE53" s="65">
        <f>BE52*(1-BB53-BC53+BD53)</f>
        <v/>
      </c>
      <c r="BF53" s="46" t="n">
        <v>1</v>
      </c>
      <c r="BG53" s="53">
        <f>AU53*BA53*BE53*(skill_rel-1+skill_spill)/1000000</f>
        <v/>
      </c>
      <c r="BH53" s="53">
        <f>union_disp*(Champions!AP53+Champions!AZ53)*(1-IF(union_resp=2,mkt_cut*S53,0))</f>
        <v/>
      </c>
      <c r="BI53" s="53">
        <f>AY53*BA53*BE53/1000000</f>
        <v/>
      </c>
      <c r="BJ53" s="47">
        <f>V53*Economy!Q53*AZ53</f>
        <v/>
      </c>
      <c r="BK53" s="47">
        <f>MAX(0.3*BJ53,AX53*Economy!Q53*AZ53*BE53*BF53-BG53-BH53-BI53)</f>
        <v/>
      </c>
      <c r="BL53" s="63">
        <f>1-BK53/BJ53</f>
        <v/>
      </c>
      <c r="BM53" s="47">
        <f>MAX(0,BH53-BH52)*1000000/BA53</f>
        <v/>
      </c>
      <c r="BN53" s="47">
        <f>BN52*(1-IF(AND($A53&gt;=1930,$A53&lt;=1932),0,union_reabsorb))+BM53</f>
        <v/>
      </c>
      <c r="BO53" s="59" t="n">
        <v>0.117</v>
      </c>
      <c r="BP53" s="63">
        <f>BO53+BN53/(AX53*1000000*lf_rate)</f>
        <v/>
      </c>
    </row>
    <row r="54">
      <c r="A54" s="58" t="n">
        <v>1894</v>
      </c>
      <c r="B54" s="47">
        <f>Economy!B54*lf_rate</f>
        <v/>
      </c>
      <c r="C54" s="47">
        <f>Economy!O54*1000000/(B54+L54)</f>
        <v/>
      </c>
      <c r="D54" s="47">
        <f>Champions!AP54*1000000/(C54*champ_prem)</f>
        <v/>
      </c>
      <c r="E54" s="47">
        <f>D54*job_mult</f>
        <v/>
      </c>
      <c r="F54" s="47">
        <f>D54+E54</f>
        <v/>
      </c>
      <c r="G54" s="63">
        <f>F54/B54</f>
        <v/>
      </c>
      <c r="H54" s="47">
        <f>F54-F53</f>
        <v/>
      </c>
      <c r="I54" s="63">
        <f>MAX(0.005,pac_u_base*IF(Paths!AC54=1,pac_u_war,1)+(okun*(1-Economy!G54)*(B54+L54)-MAX(0,L53-L54))/B54)</f>
        <v/>
      </c>
      <c r="J54" s="47">
        <f>IF(AND(gw_on=1,$A54&gt;=gw_start),MIN(gw_cap*B53,gw_cover*F53+gw_gen*B53),0)</f>
        <v/>
      </c>
      <c r="K54" s="47">
        <f>L53*gw_conv</f>
        <v/>
      </c>
      <c r="L54" s="47">
        <f>MAX(0,L53-K54+gw_adj*(J54-L53))*MAX(0,1-gw_slump*(1-Economy!G54))</f>
        <v/>
      </c>
      <c r="M54" s="47">
        <f>MAX(0,L54-L53+L53/gw_term)</f>
        <v/>
      </c>
      <c r="N54" s="63">
        <f>L54/B54</f>
        <v/>
      </c>
      <c r="O54" s="53">
        <f>Economy!L54</f>
        <v/>
      </c>
      <c r="P54" s="53">
        <f>O54*gw_wage_share</f>
        <v/>
      </c>
      <c r="Q54" s="53">
        <f>P54*gw_levy</f>
        <v/>
      </c>
      <c r="R54" s="53">
        <f>P54*gw_remit</f>
        <v/>
      </c>
      <c r="S54" s="63">
        <f>IF(union_resp&gt;=1,MIN(1,MAX(0,($A54-resp_start)/(resp_full-resp_start))),0)</f>
        <v/>
      </c>
      <c r="T54" s="67">
        <f>Economy!R53</f>
        <v/>
      </c>
      <c r="U54" s="67">
        <f>MAX(0,T54-gap_base)</f>
        <v/>
      </c>
      <c r="V54" s="68" t="n">
        <v>53.76</v>
      </c>
      <c r="W54" s="47">
        <f>V54*1000000*lf_rate*union_skill_share</f>
        <v/>
      </c>
      <c r="X54" s="45" t="n">
        <v>88000</v>
      </c>
      <c r="Y54" s="47">
        <f>IF(AND(mig_endo=1,$A54&gt;=talent_start),talent_rate_u*W54*U54*(1-(1-bd_keep)*S54),0)</f>
        <v/>
      </c>
      <c r="Z54" s="47">
        <f>IF(AND(mig_endo=1,$A54&gt;=talent_start),X54*MIN(0.5,talent_share_o*U54)*(1-eu_comp*S54),0)</f>
        <v/>
      </c>
      <c r="AA54" s="45" t="n">
        <v>14000</v>
      </c>
      <c r="AB54" s="47">
        <f>IF(AND(mig_endo=1,$A54&gt;=talent_start),AA54*MIN(0.5,talent_share_a*U54),0)</f>
        <v/>
      </c>
      <c r="AC54" s="47">
        <f>entry_cap*People!B54</f>
        <v/>
      </c>
      <c r="AD54" s="47">
        <f>MIN(AC54,Y54+Z54+AB54)</f>
        <v/>
      </c>
      <c r="AE54" s="47">
        <f>IF(Y54+Z54+AB54&gt;0,AD54*Y54/(Y54+Z54+AB54),0)</f>
        <v/>
      </c>
      <c r="AF54" s="47">
        <f>IF(Y54+Z54+AB54&gt;0,AD54*AB54/(Y54+Z54+AB54),0)</f>
        <v/>
      </c>
      <c r="AG54" s="47">
        <f>AD54*family_mult</f>
        <v/>
      </c>
      <c r="AH54" s="47">
        <f>AH53*(1+Paths!C54)+AG54</f>
        <v/>
      </c>
      <c r="AI54" s="47">
        <f>IF(AND(mig_endo=1,$A54&gt;=talent_start),chain_rate*AH53,0)</f>
        <v/>
      </c>
      <c r="AJ54" s="47">
        <f>IF(AND(mig_endo=1,$A54&gt;=talent_start),IF(H53&gt;0,H53*job_fill,H53*job_return)*job_family,0)</f>
        <v/>
      </c>
      <c r="AK54" s="47">
        <f>K54*gw_conv_family</f>
        <v/>
      </c>
      <c r="AL54" s="47">
        <f>AG54+AI54+AJ54+AK54+AR54</f>
        <v/>
      </c>
      <c r="AM54" s="47">
        <f>AM53*(1-skill_ret)+AD54</f>
        <v/>
      </c>
      <c r="AN54" s="64">
        <f>AM54/B54</f>
        <v/>
      </c>
      <c r="AO54" s="64">
        <f>(skill_rel-1+skill_spill)*AM53/B53-AT54</f>
        <v/>
      </c>
      <c r="AP54" s="64">
        <f>talent_champ*AM53/(skill_base_share*B53)</f>
        <v/>
      </c>
      <c r="AQ54" s="45" t="n">
        <v>407000</v>
      </c>
      <c r="AR54" s="47">
        <f>IF(AND(div_on=1,$A54&gt;=div_start),AQ54*MIN(div_max,div_rate*U54)*(1-div_comp*S54),0)</f>
        <v/>
      </c>
      <c r="AS54" s="47">
        <f>AS53*(1-div_assim)+AR54</f>
        <v/>
      </c>
      <c r="AT54" s="64">
        <f>(1-div_rel)*AS53/Economy!B53</f>
        <v/>
      </c>
      <c r="AU54" s="47">
        <f>AU53*(1-skill_ret)+AE54</f>
        <v/>
      </c>
      <c r="AV54" s="47">
        <f>AV53*(1+union_nat)+AR54</f>
        <v/>
      </c>
      <c r="AW54" s="47">
        <f>AW53*(1+union_nat)+AE54*family_mult</f>
        <v/>
      </c>
      <c r="AX54" s="67">
        <f>V54-(AV54+AW54)/1000000</f>
        <v/>
      </c>
      <c r="AY54" s="47">
        <f>L54*gw_union</f>
        <v/>
      </c>
      <c r="AZ54" s="46" t="n">
        <v>1.097</v>
      </c>
      <c r="BA54" s="47">
        <f>Economy!Q54*AZ54/lf_rate</f>
        <v/>
      </c>
      <c r="BB54" s="64">
        <f>bd_growth*AU53/W53</f>
        <v/>
      </c>
      <c r="BC54" s="64">
        <f>tg_k*MIN(1,Economy!O53/BK53)</f>
        <v/>
      </c>
      <c r="BD54" s="64">
        <f>emu_g*S54</f>
        <v/>
      </c>
      <c r="BE54" s="65">
        <f>BE53*(1-BB54-BC54+BD54)</f>
        <v/>
      </c>
      <c r="BF54" s="46" t="n">
        <v>1</v>
      </c>
      <c r="BG54" s="53">
        <f>AU54*BA54*BE54*(skill_rel-1+skill_spill)/1000000</f>
        <v/>
      </c>
      <c r="BH54" s="53">
        <f>union_disp*(Champions!AP54+Champions!AZ54)*(1-IF(union_resp=2,mkt_cut*S54,0))</f>
        <v/>
      </c>
      <c r="BI54" s="53">
        <f>AY54*BA54*BE54/1000000</f>
        <v/>
      </c>
      <c r="BJ54" s="47">
        <f>V54*Economy!Q54*AZ54</f>
        <v/>
      </c>
      <c r="BK54" s="47">
        <f>MAX(0.3*BJ54,AX54*Economy!Q54*AZ54*BE54*BF54-BG54-BH54-BI54)</f>
        <v/>
      </c>
      <c r="BL54" s="63">
        <f>1-BK54/BJ54</f>
        <v/>
      </c>
      <c r="BM54" s="47">
        <f>MAX(0,BH54-BH53)*1000000/BA54</f>
        <v/>
      </c>
      <c r="BN54" s="47">
        <f>BN53*(1-IF(AND($A54&gt;=1930,$A54&lt;=1932),0,union_reabsorb))+BM54</f>
        <v/>
      </c>
      <c r="BO54" s="59" t="n">
        <v>0.184</v>
      </c>
      <c r="BP54" s="63">
        <f>BO54+BN54/(AX54*1000000*lf_rate)</f>
        <v/>
      </c>
    </row>
    <row r="55">
      <c r="A55" s="58" t="n">
        <v>1895</v>
      </c>
      <c r="B55" s="47">
        <f>Economy!B55*lf_rate</f>
        <v/>
      </c>
      <c r="C55" s="47">
        <f>Economy!O55*1000000/(B55+L55)</f>
        <v/>
      </c>
      <c r="D55" s="47">
        <f>Champions!AP55*1000000/(C55*champ_prem)</f>
        <v/>
      </c>
      <c r="E55" s="47">
        <f>D55*job_mult</f>
        <v/>
      </c>
      <c r="F55" s="47">
        <f>D55+E55</f>
        <v/>
      </c>
      <c r="G55" s="63">
        <f>F55/B55</f>
        <v/>
      </c>
      <c r="H55" s="47">
        <f>F55-F54</f>
        <v/>
      </c>
      <c r="I55" s="63">
        <f>MAX(0.005,pac_u_base*IF(Paths!AC55=1,pac_u_war,1)+(okun*(1-Economy!G55)*(B55+L55)-MAX(0,L54-L55))/B55)</f>
        <v/>
      </c>
      <c r="J55" s="47">
        <f>IF(AND(gw_on=1,$A55&gt;=gw_start),MIN(gw_cap*B54,gw_cover*F54+gw_gen*B54),0)</f>
        <v/>
      </c>
      <c r="K55" s="47">
        <f>L54*gw_conv</f>
        <v/>
      </c>
      <c r="L55" s="47">
        <f>MAX(0,L54-K55+gw_adj*(J55-L54))*MAX(0,1-gw_slump*(1-Economy!G55))</f>
        <v/>
      </c>
      <c r="M55" s="47">
        <f>MAX(0,L55-L54+L54/gw_term)</f>
        <v/>
      </c>
      <c r="N55" s="63">
        <f>L55/B55</f>
        <v/>
      </c>
      <c r="O55" s="53">
        <f>Economy!L55</f>
        <v/>
      </c>
      <c r="P55" s="53">
        <f>O55*gw_wage_share</f>
        <v/>
      </c>
      <c r="Q55" s="53">
        <f>P55*gw_levy</f>
        <v/>
      </c>
      <c r="R55" s="53">
        <f>P55*gw_remit</f>
        <v/>
      </c>
      <c r="S55" s="63">
        <f>IF(union_resp&gt;=1,MIN(1,MAX(0,($A55-resp_start)/(resp_full-resp_start))),0)</f>
        <v/>
      </c>
      <c r="T55" s="67">
        <f>Economy!R54</f>
        <v/>
      </c>
      <c r="U55" s="67">
        <f>MAX(0,T55-gap_base)</f>
        <v/>
      </c>
      <c r="V55" s="68" t="n">
        <v>54.7</v>
      </c>
      <c r="W55" s="47">
        <f>V55*1000000*lf_rate*union_skill_share</f>
        <v/>
      </c>
      <c r="X55" s="45" t="n">
        <v>90000</v>
      </c>
      <c r="Y55" s="47">
        <f>IF(AND(mig_endo=1,$A55&gt;=talent_start),talent_rate_u*W55*U55*(1-(1-bd_keep)*S55),0)</f>
        <v/>
      </c>
      <c r="Z55" s="47">
        <f>IF(AND(mig_endo=1,$A55&gt;=talent_start),X55*MIN(0.5,talent_share_o*U55)*(1-eu_comp*S55),0)</f>
        <v/>
      </c>
      <c r="AA55" s="45" t="n">
        <v>15000</v>
      </c>
      <c r="AB55" s="47">
        <f>IF(AND(mig_endo=1,$A55&gt;=talent_start),AA55*MIN(0.5,talent_share_a*U55),0)</f>
        <v/>
      </c>
      <c r="AC55" s="47">
        <f>entry_cap*People!B55</f>
        <v/>
      </c>
      <c r="AD55" s="47">
        <f>MIN(AC55,Y55+Z55+AB55)</f>
        <v/>
      </c>
      <c r="AE55" s="47">
        <f>IF(Y55+Z55+AB55&gt;0,AD55*Y55/(Y55+Z55+AB55),0)</f>
        <v/>
      </c>
      <c r="AF55" s="47">
        <f>IF(Y55+Z55+AB55&gt;0,AD55*AB55/(Y55+Z55+AB55),0)</f>
        <v/>
      </c>
      <c r="AG55" s="47">
        <f>AD55*family_mult</f>
        <v/>
      </c>
      <c r="AH55" s="47">
        <f>AH54*(1+Paths!C55)+AG55</f>
        <v/>
      </c>
      <c r="AI55" s="47">
        <f>IF(AND(mig_endo=1,$A55&gt;=talent_start),chain_rate*AH54,0)</f>
        <v/>
      </c>
      <c r="AJ55" s="47">
        <f>IF(AND(mig_endo=1,$A55&gt;=talent_start),IF(H54&gt;0,H54*job_fill,H54*job_return)*job_family,0)</f>
        <v/>
      </c>
      <c r="AK55" s="47">
        <f>K55*gw_conv_family</f>
        <v/>
      </c>
      <c r="AL55" s="47">
        <f>AG55+AI55+AJ55+AK55+AR55</f>
        <v/>
      </c>
      <c r="AM55" s="47">
        <f>AM54*(1-skill_ret)+AD55</f>
        <v/>
      </c>
      <c r="AN55" s="64">
        <f>AM55/B55</f>
        <v/>
      </c>
      <c r="AO55" s="64">
        <f>(skill_rel-1+skill_spill)*AM54/B54-AT55</f>
        <v/>
      </c>
      <c r="AP55" s="64">
        <f>talent_champ*AM54/(skill_base_share*B54)</f>
        <v/>
      </c>
      <c r="AQ55" s="45" t="n">
        <v>373000</v>
      </c>
      <c r="AR55" s="47">
        <f>IF(AND(div_on=1,$A55&gt;=div_start),AQ55*MIN(div_max,div_rate*U55)*(1-div_comp*S55),0)</f>
        <v/>
      </c>
      <c r="AS55" s="47">
        <f>AS54*(1-div_assim)+AR55</f>
        <v/>
      </c>
      <c r="AT55" s="64">
        <f>(1-div_rel)*AS54/Economy!B54</f>
        <v/>
      </c>
      <c r="AU55" s="47">
        <f>AU54*(1-skill_ret)+AE55</f>
        <v/>
      </c>
      <c r="AV55" s="47">
        <f>AV54*(1+union_nat)+AR55</f>
        <v/>
      </c>
      <c r="AW55" s="47">
        <f>AW54*(1+union_nat)+AE55*family_mult</f>
        <v/>
      </c>
      <c r="AX55" s="67">
        <f>V55-(AV55+AW55)/1000000</f>
        <v/>
      </c>
      <c r="AY55" s="47">
        <f>L55*gw_union</f>
        <v/>
      </c>
      <c r="AZ55" s="46" t="n">
        <v>1.096</v>
      </c>
      <c r="BA55" s="47">
        <f>Economy!Q55*AZ55/lf_rate</f>
        <v/>
      </c>
      <c r="BB55" s="64">
        <f>bd_growth*AU54/W54</f>
        <v/>
      </c>
      <c r="BC55" s="64">
        <f>tg_k*MIN(1,Economy!O54/BK54)</f>
        <v/>
      </c>
      <c r="BD55" s="64">
        <f>emu_g*S55</f>
        <v/>
      </c>
      <c r="BE55" s="65">
        <f>BE54*(1-BB55-BC55+BD55)</f>
        <v/>
      </c>
      <c r="BF55" s="46" t="n">
        <v>1</v>
      </c>
      <c r="BG55" s="53">
        <f>AU55*BA55*BE55*(skill_rel-1+skill_spill)/1000000</f>
        <v/>
      </c>
      <c r="BH55" s="53">
        <f>union_disp*(Champions!AP55+Champions!AZ55)*(1-IF(union_resp=2,mkt_cut*S55,0))</f>
        <v/>
      </c>
      <c r="BI55" s="53">
        <f>AY55*BA55*BE55/1000000</f>
        <v/>
      </c>
      <c r="BJ55" s="47">
        <f>V55*Economy!Q55*AZ55</f>
        <v/>
      </c>
      <c r="BK55" s="47">
        <f>MAX(0.3*BJ55,AX55*Economy!Q55*AZ55*BE55*BF55-BG55-BH55-BI55)</f>
        <v/>
      </c>
      <c r="BL55" s="63">
        <f>1-BK55/BJ55</f>
        <v/>
      </c>
      <c r="BM55" s="47">
        <f>MAX(0,BH55-BH54)*1000000/BA55</f>
        <v/>
      </c>
      <c r="BN55" s="47">
        <f>BN54*(1-IF(AND($A55&gt;=1930,$A55&lt;=1932),0,union_reabsorb))+BM55</f>
        <v/>
      </c>
      <c r="BO55" s="59" t="n">
        <v>0.137</v>
      </c>
      <c r="BP55" s="63">
        <f>BO55+BN55/(AX55*1000000*lf_rate)</f>
        <v/>
      </c>
    </row>
    <row r="56">
      <c r="A56" s="58" t="n">
        <v>1896</v>
      </c>
      <c r="B56" s="47">
        <f>Economy!B56*lf_rate</f>
        <v/>
      </c>
      <c r="C56" s="47">
        <f>Economy!O56*1000000/(B56+L56)</f>
        <v/>
      </c>
      <c r="D56" s="47">
        <f>Champions!AP56*1000000/(C56*champ_prem)</f>
        <v/>
      </c>
      <c r="E56" s="47">
        <f>D56*job_mult</f>
        <v/>
      </c>
      <c r="F56" s="47">
        <f>D56+E56</f>
        <v/>
      </c>
      <c r="G56" s="63">
        <f>F56/B56</f>
        <v/>
      </c>
      <c r="H56" s="47">
        <f>F56-F55</f>
        <v/>
      </c>
      <c r="I56" s="63">
        <f>MAX(0.005,pac_u_base*IF(Paths!AC56=1,pac_u_war,1)+(okun*(1-Economy!G56)*(B56+L56)-MAX(0,L55-L56))/B56)</f>
        <v/>
      </c>
      <c r="J56" s="47">
        <f>IF(AND(gw_on=1,$A56&gt;=gw_start),MIN(gw_cap*B55,gw_cover*F55+gw_gen*B55),0)</f>
        <v/>
      </c>
      <c r="K56" s="47">
        <f>L55*gw_conv</f>
        <v/>
      </c>
      <c r="L56" s="47">
        <f>MAX(0,L55-K56+gw_adj*(J56-L55))*MAX(0,1-gw_slump*(1-Economy!G56))</f>
        <v/>
      </c>
      <c r="M56" s="47">
        <f>MAX(0,L56-L55+L55/gw_term)</f>
        <v/>
      </c>
      <c r="N56" s="63">
        <f>L56/B56</f>
        <v/>
      </c>
      <c r="O56" s="53">
        <f>Economy!L56</f>
        <v/>
      </c>
      <c r="P56" s="53">
        <f>O56*gw_wage_share</f>
        <v/>
      </c>
      <c r="Q56" s="53">
        <f>P56*gw_levy</f>
        <v/>
      </c>
      <c r="R56" s="53">
        <f>P56*gw_remit</f>
        <v/>
      </c>
      <c r="S56" s="63">
        <f>IF(union_resp&gt;=1,MIN(1,MAX(0,($A56-resp_start)/(resp_full-resp_start))),0)</f>
        <v/>
      </c>
      <c r="T56" s="67">
        <f>Economy!R55</f>
        <v/>
      </c>
      <c r="U56" s="67">
        <f>MAX(0,T56-gap_base)</f>
        <v/>
      </c>
      <c r="V56" s="68" t="n">
        <v>55.64</v>
      </c>
      <c r="W56" s="47">
        <f>V56*1000000*lf_rate*union_skill_share</f>
        <v/>
      </c>
      <c r="X56" s="45" t="n">
        <v>92000</v>
      </c>
      <c r="Y56" s="47">
        <f>IF(AND(mig_endo=1,$A56&gt;=talent_start),talent_rate_u*W56*U56*(1-(1-bd_keep)*S56),0)</f>
        <v/>
      </c>
      <c r="Z56" s="47">
        <f>IF(AND(mig_endo=1,$A56&gt;=talent_start),X56*MIN(0.5,talent_share_o*U56)*(1-eu_comp*S56),0)</f>
        <v/>
      </c>
      <c r="AA56" s="45" t="n">
        <v>16000</v>
      </c>
      <c r="AB56" s="47">
        <f>IF(AND(mig_endo=1,$A56&gt;=talent_start),AA56*MIN(0.5,talent_share_a*U56),0)</f>
        <v/>
      </c>
      <c r="AC56" s="47">
        <f>entry_cap*People!B56</f>
        <v/>
      </c>
      <c r="AD56" s="47">
        <f>MIN(AC56,Y56+Z56+AB56)</f>
        <v/>
      </c>
      <c r="AE56" s="47">
        <f>IF(Y56+Z56+AB56&gt;0,AD56*Y56/(Y56+Z56+AB56),0)</f>
        <v/>
      </c>
      <c r="AF56" s="47">
        <f>IF(Y56+Z56+AB56&gt;0,AD56*AB56/(Y56+Z56+AB56),0)</f>
        <v/>
      </c>
      <c r="AG56" s="47">
        <f>AD56*family_mult</f>
        <v/>
      </c>
      <c r="AH56" s="47">
        <f>AH55*(1+Paths!C56)+AG56</f>
        <v/>
      </c>
      <c r="AI56" s="47">
        <f>IF(AND(mig_endo=1,$A56&gt;=talent_start),chain_rate*AH55,0)</f>
        <v/>
      </c>
      <c r="AJ56" s="47">
        <f>IF(AND(mig_endo=1,$A56&gt;=talent_start),IF(H55&gt;0,H55*job_fill,H55*job_return)*job_family,0)</f>
        <v/>
      </c>
      <c r="AK56" s="47">
        <f>K56*gw_conv_family</f>
        <v/>
      </c>
      <c r="AL56" s="47">
        <f>AG56+AI56+AJ56+AK56+AR56</f>
        <v/>
      </c>
      <c r="AM56" s="47">
        <f>AM55*(1-skill_ret)+AD56</f>
        <v/>
      </c>
      <c r="AN56" s="64">
        <f>AM56/B56</f>
        <v/>
      </c>
      <c r="AO56" s="64">
        <f>(skill_rel-1+skill_spill)*AM55/B55-AT56</f>
        <v/>
      </c>
      <c r="AP56" s="64">
        <f>talent_champ*AM55/(skill_base_share*B55)</f>
        <v/>
      </c>
      <c r="AQ56" s="45" t="n">
        <v>340000</v>
      </c>
      <c r="AR56" s="47">
        <f>IF(AND(div_on=1,$A56&gt;=div_start),AQ56*MIN(div_max,div_rate*U56)*(1-div_comp*S56),0)</f>
        <v/>
      </c>
      <c r="AS56" s="47">
        <f>AS55*(1-div_assim)+AR56</f>
        <v/>
      </c>
      <c r="AT56" s="64">
        <f>(1-div_rel)*AS55/Economy!B55</f>
        <v/>
      </c>
      <c r="AU56" s="47">
        <f>AU55*(1-skill_ret)+AE56</f>
        <v/>
      </c>
      <c r="AV56" s="47">
        <f>AV55*(1+union_nat)+AR56</f>
        <v/>
      </c>
      <c r="AW56" s="47">
        <f>AW55*(1+union_nat)+AE56*family_mult</f>
        <v/>
      </c>
      <c r="AX56" s="67">
        <f>V56-(AV56+AW56)/1000000</f>
        <v/>
      </c>
      <c r="AY56" s="47">
        <f>L56*gw_union</f>
        <v/>
      </c>
      <c r="AZ56" s="46" t="n">
        <v>1.095</v>
      </c>
      <c r="BA56" s="47">
        <f>Economy!Q56*AZ56/lf_rate</f>
        <v/>
      </c>
      <c r="BB56" s="64">
        <f>bd_growth*AU55/W55</f>
        <v/>
      </c>
      <c r="BC56" s="64">
        <f>tg_k*MIN(1,Economy!O55/BK55)</f>
        <v/>
      </c>
      <c r="BD56" s="64">
        <f>emu_g*S56</f>
        <v/>
      </c>
      <c r="BE56" s="65">
        <f>BE55*(1-BB56-BC56+BD56)</f>
        <v/>
      </c>
      <c r="BF56" s="46" t="n">
        <v>1</v>
      </c>
      <c r="BG56" s="53">
        <f>AU56*BA56*BE56*(skill_rel-1+skill_spill)/1000000</f>
        <v/>
      </c>
      <c r="BH56" s="53">
        <f>union_disp*(Champions!AP56+Champions!AZ56)*(1-IF(union_resp=2,mkt_cut*S56,0))</f>
        <v/>
      </c>
      <c r="BI56" s="53">
        <f>AY56*BA56*BE56/1000000</f>
        <v/>
      </c>
      <c r="BJ56" s="47">
        <f>V56*Economy!Q56*AZ56</f>
        <v/>
      </c>
      <c r="BK56" s="47">
        <f>MAX(0.3*BJ56,AX56*Economy!Q56*AZ56*BE56*BF56-BG56-BH56-BI56)</f>
        <v/>
      </c>
      <c r="BL56" s="63">
        <f>1-BK56/BJ56</f>
        <v/>
      </c>
      <c r="BM56" s="47">
        <f>MAX(0,BH56-BH55)*1000000/BA56</f>
        <v/>
      </c>
      <c r="BN56" s="47">
        <f>BN55*(1-IF(AND($A56&gt;=1930,$A56&lt;=1932),0,union_reabsorb))+BM56</f>
        <v/>
      </c>
      <c r="BO56" s="59" t="n">
        <v>0.145</v>
      </c>
      <c r="BP56" s="63">
        <f>BO56+BN56/(AX56*1000000*lf_rate)</f>
        <v/>
      </c>
    </row>
    <row r="57">
      <c r="A57" s="58" t="n">
        <v>1897</v>
      </c>
      <c r="B57" s="47">
        <f>Economy!B57*lf_rate</f>
        <v/>
      </c>
      <c r="C57" s="47">
        <f>Economy!O57*1000000/(B57+L57)</f>
        <v/>
      </c>
      <c r="D57" s="47">
        <f>Champions!AP57*1000000/(C57*champ_prem)</f>
        <v/>
      </c>
      <c r="E57" s="47">
        <f>D57*job_mult</f>
        <v/>
      </c>
      <c r="F57" s="47">
        <f>D57+E57</f>
        <v/>
      </c>
      <c r="G57" s="63">
        <f>F57/B57</f>
        <v/>
      </c>
      <c r="H57" s="47">
        <f>F57-F56</f>
        <v/>
      </c>
      <c r="I57" s="63">
        <f>MAX(0.005,pac_u_base*IF(Paths!AC57=1,pac_u_war,1)+(okun*(1-Economy!G57)*(B57+L57)-MAX(0,L56-L57))/B57)</f>
        <v/>
      </c>
      <c r="J57" s="47">
        <f>IF(AND(gw_on=1,$A57&gt;=gw_start),MIN(gw_cap*B56,gw_cover*F56+gw_gen*B56),0)</f>
        <v/>
      </c>
      <c r="K57" s="47">
        <f>L56*gw_conv</f>
        <v/>
      </c>
      <c r="L57" s="47">
        <f>MAX(0,L56-K57+gw_adj*(J57-L56))*MAX(0,1-gw_slump*(1-Economy!G57))</f>
        <v/>
      </c>
      <c r="M57" s="47">
        <f>MAX(0,L57-L56+L56/gw_term)</f>
        <v/>
      </c>
      <c r="N57" s="63">
        <f>L57/B57</f>
        <v/>
      </c>
      <c r="O57" s="53">
        <f>Economy!L57</f>
        <v/>
      </c>
      <c r="P57" s="53">
        <f>O57*gw_wage_share</f>
        <v/>
      </c>
      <c r="Q57" s="53">
        <f>P57*gw_levy</f>
        <v/>
      </c>
      <c r="R57" s="53">
        <f>P57*gw_remit</f>
        <v/>
      </c>
      <c r="S57" s="63">
        <f>IF(union_resp&gt;=1,MIN(1,MAX(0,($A57-resp_start)/(resp_full-resp_start))),0)</f>
        <v/>
      </c>
      <c r="T57" s="67">
        <f>Economy!R56</f>
        <v/>
      </c>
      <c r="U57" s="67">
        <f>MAX(0,T57-gap_base)</f>
        <v/>
      </c>
      <c r="V57" s="68" t="n">
        <v>56.58</v>
      </c>
      <c r="W57" s="47">
        <f>V57*1000000*lf_rate*union_skill_share</f>
        <v/>
      </c>
      <c r="X57" s="45" t="n">
        <v>94000</v>
      </c>
      <c r="Y57" s="47">
        <f>IF(AND(mig_endo=1,$A57&gt;=talent_start),talent_rate_u*W57*U57*(1-(1-bd_keep)*S57),0)</f>
        <v/>
      </c>
      <c r="Z57" s="47">
        <f>IF(AND(mig_endo=1,$A57&gt;=talent_start),X57*MIN(0.5,talent_share_o*U57)*(1-eu_comp*S57),0)</f>
        <v/>
      </c>
      <c r="AA57" s="45" t="n">
        <v>18000</v>
      </c>
      <c r="AB57" s="47">
        <f>IF(AND(mig_endo=1,$A57&gt;=talent_start),AA57*MIN(0.5,talent_share_a*U57),0)</f>
        <v/>
      </c>
      <c r="AC57" s="47">
        <f>entry_cap*People!B57</f>
        <v/>
      </c>
      <c r="AD57" s="47">
        <f>MIN(AC57,Y57+Z57+AB57)</f>
        <v/>
      </c>
      <c r="AE57" s="47">
        <f>IF(Y57+Z57+AB57&gt;0,AD57*Y57/(Y57+Z57+AB57),0)</f>
        <v/>
      </c>
      <c r="AF57" s="47">
        <f>IF(Y57+Z57+AB57&gt;0,AD57*AB57/(Y57+Z57+AB57),0)</f>
        <v/>
      </c>
      <c r="AG57" s="47">
        <f>AD57*family_mult</f>
        <v/>
      </c>
      <c r="AH57" s="47">
        <f>AH56*(1+Paths!C57)+AG57</f>
        <v/>
      </c>
      <c r="AI57" s="47">
        <f>IF(AND(mig_endo=1,$A57&gt;=talent_start),chain_rate*AH56,0)</f>
        <v/>
      </c>
      <c r="AJ57" s="47">
        <f>IF(AND(mig_endo=1,$A57&gt;=talent_start),IF(H56&gt;0,H56*job_fill,H56*job_return)*job_family,0)</f>
        <v/>
      </c>
      <c r="AK57" s="47">
        <f>K57*gw_conv_family</f>
        <v/>
      </c>
      <c r="AL57" s="47">
        <f>AG57+AI57+AJ57+AK57+AR57</f>
        <v/>
      </c>
      <c r="AM57" s="47">
        <f>AM56*(1-skill_ret)+AD57</f>
        <v/>
      </c>
      <c r="AN57" s="64">
        <f>AM57/B57</f>
        <v/>
      </c>
      <c r="AO57" s="64">
        <f>(skill_rel-1+skill_spill)*AM56/B56-AT57</f>
        <v/>
      </c>
      <c r="AP57" s="64">
        <f>talent_champ*AM56/(skill_base_share*B56)</f>
        <v/>
      </c>
      <c r="AQ57" s="45" t="n">
        <v>330000</v>
      </c>
      <c r="AR57" s="47">
        <f>IF(AND(div_on=1,$A57&gt;=div_start),AQ57*MIN(div_max,div_rate*U57)*(1-div_comp*S57),0)</f>
        <v/>
      </c>
      <c r="AS57" s="47">
        <f>AS56*(1-div_assim)+AR57</f>
        <v/>
      </c>
      <c r="AT57" s="64">
        <f>(1-div_rel)*AS56/Economy!B56</f>
        <v/>
      </c>
      <c r="AU57" s="47">
        <f>AU56*(1-skill_ret)+AE57</f>
        <v/>
      </c>
      <c r="AV57" s="47">
        <f>AV56*(1+union_nat)+AR57</f>
        <v/>
      </c>
      <c r="AW57" s="47">
        <f>AW56*(1+union_nat)+AE57*family_mult</f>
        <v/>
      </c>
      <c r="AX57" s="67">
        <f>V57-(AV57+AW57)/1000000</f>
        <v/>
      </c>
      <c r="AY57" s="47">
        <f>L57*gw_union</f>
        <v/>
      </c>
      <c r="AZ57" s="46" t="n">
        <v>1.094</v>
      </c>
      <c r="BA57" s="47">
        <f>Economy!Q57*AZ57/lf_rate</f>
        <v/>
      </c>
      <c r="BB57" s="64">
        <f>bd_growth*AU56/W56</f>
        <v/>
      </c>
      <c r="BC57" s="64">
        <f>tg_k*MIN(1,Economy!O56/BK56)</f>
        <v/>
      </c>
      <c r="BD57" s="64">
        <f>emu_g*S57</f>
        <v/>
      </c>
      <c r="BE57" s="65">
        <f>BE56*(1-BB57-BC57+BD57)</f>
        <v/>
      </c>
      <c r="BF57" s="46" t="n">
        <v>1</v>
      </c>
      <c r="BG57" s="53">
        <f>AU57*BA57*BE57*(skill_rel-1+skill_spill)/1000000</f>
        <v/>
      </c>
      <c r="BH57" s="53">
        <f>union_disp*(Champions!AP57+Champions!AZ57)*(1-IF(union_resp=2,mkt_cut*S57,0))</f>
        <v/>
      </c>
      <c r="BI57" s="53">
        <f>AY57*BA57*BE57/1000000</f>
        <v/>
      </c>
      <c r="BJ57" s="47">
        <f>V57*Economy!Q57*AZ57</f>
        <v/>
      </c>
      <c r="BK57" s="47">
        <f>MAX(0.3*BJ57,AX57*Economy!Q57*AZ57*BE57*BF57-BG57-BH57-BI57)</f>
        <v/>
      </c>
      <c r="BL57" s="63">
        <f>1-BK57/BJ57</f>
        <v/>
      </c>
      <c r="BM57" s="47">
        <f>MAX(0,BH57-BH56)*1000000/BA57</f>
        <v/>
      </c>
      <c r="BN57" s="47">
        <f>BN56*(1-IF(AND($A57&gt;=1930,$A57&lt;=1932),0,union_reabsorb))+BM57</f>
        <v/>
      </c>
      <c r="BO57" s="59" t="n">
        <v>0.145</v>
      </c>
      <c r="BP57" s="63">
        <f>BO57+BN57/(AX57*1000000*lf_rate)</f>
        <v/>
      </c>
    </row>
    <row r="58">
      <c r="A58" s="58" t="n">
        <v>1898</v>
      </c>
      <c r="B58" s="47">
        <f>Economy!B58*lf_rate</f>
        <v/>
      </c>
      <c r="C58" s="47">
        <f>Economy!O58*1000000/(B58+L58)</f>
        <v/>
      </c>
      <c r="D58" s="47">
        <f>Champions!AP58*1000000/(C58*champ_prem)</f>
        <v/>
      </c>
      <c r="E58" s="47">
        <f>D58*job_mult</f>
        <v/>
      </c>
      <c r="F58" s="47">
        <f>D58+E58</f>
        <v/>
      </c>
      <c r="G58" s="63">
        <f>F58/B58</f>
        <v/>
      </c>
      <c r="H58" s="47">
        <f>F58-F57</f>
        <v/>
      </c>
      <c r="I58" s="63">
        <f>MAX(0.005,pac_u_base*IF(Paths!AC58=1,pac_u_war,1)+(okun*(1-Economy!G58)*(B58+L58)-MAX(0,L57-L58))/B58)</f>
        <v/>
      </c>
      <c r="J58" s="47">
        <f>IF(AND(gw_on=1,$A58&gt;=gw_start),MIN(gw_cap*B57,gw_cover*F57+gw_gen*B57),0)</f>
        <v/>
      </c>
      <c r="K58" s="47">
        <f>L57*gw_conv</f>
        <v/>
      </c>
      <c r="L58" s="47">
        <f>MAX(0,L57-K58+gw_adj*(J58-L57))*MAX(0,1-gw_slump*(1-Economy!G58))</f>
        <v/>
      </c>
      <c r="M58" s="47">
        <f>MAX(0,L58-L57+L57/gw_term)</f>
        <v/>
      </c>
      <c r="N58" s="63">
        <f>L58/B58</f>
        <v/>
      </c>
      <c r="O58" s="53">
        <f>Economy!L58</f>
        <v/>
      </c>
      <c r="P58" s="53">
        <f>O58*gw_wage_share</f>
        <v/>
      </c>
      <c r="Q58" s="53">
        <f>P58*gw_levy</f>
        <v/>
      </c>
      <c r="R58" s="53">
        <f>P58*gw_remit</f>
        <v/>
      </c>
      <c r="S58" s="63">
        <f>IF(union_resp&gt;=1,MIN(1,MAX(0,($A58-resp_start)/(resp_full-resp_start))),0)</f>
        <v/>
      </c>
      <c r="T58" s="67">
        <f>Economy!R57</f>
        <v/>
      </c>
      <c r="U58" s="67">
        <f>MAX(0,T58-gap_base)</f>
        <v/>
      </c>
      <c r="V58" s="68" t="n">
        <v>57.52</v>
      </c>
      <c r="W58" s="47">
        <f>V58*1000000*lf_rate*union_skill_share</f>
        <v/>
      </c>
      <c r="X58" s="45" t="n">
        <v>96000</v>
      </c>
      <c r="Y58" s="47">
        <f>IF(AND(mig_endo=1,$A58&gt;=talent_start),talent_rate_u*W58*U58*(1-(1-bd_keep)*S58),0)</f>
        <v/>
      </c>
      <c r="Z58" s="47">
        <f>IF(AND(mig_endo=1,$A58&gt;=talent_start),X58*MIN(0.5,talent_share_o*U58)*(1-eu_comp*S58),0)</f>
        <v/>
      </c>
      <c r="AA58" s="45" t="n">
        <v>20000</v>
      </c>
      <c r="AB58" s="47">
        <f>IF(AND(mig_endo=1,$A58&gt;=talent_start),AA58*MIN(0.5,talent_share_a*U58),0)</f>
        <v/>
      </c>
      <c r="AC58" s="47">
        <f>entry_cap*People!B58</f>
        <v/>
      </c>
      <c r="AD58" s="47">
        <f>MIN(AC58,Y58+Z58+AB58)</f>
        <v/>
      </c>
      <c r="AE58" s="47">
        <f>IF(Y58+Z58+AB58&gt;0,AD58*Y58/(Y58+Z58+AB58),0)</f>
        <v/>
      </c>
      <c r="AF58" s="47">
        <f>IF(Y58+Z58+AB58&gt;0,AD58*AB58/(Y58+Z58+AB58),0)</f>
        <v/>
      </c>
      <c r="AG58" s="47">
        <f>AD58*family_mult</f>
        <v/>
      </c>
      <c r="AH58" s="47">
        <f>AH57*(1+Paths!C58)+AG58</f>
        <v/>
      </c>
      <c r="AI58" s="47">
        <f>IF(AND(mig_endo=1,$A58&gt;=talent_start),chain_rate*AH57,0)</f>
        <v/>
      </c>
      <c r="AJ58" s="47">
        <f>IF(AND(mig_endo=1,$A58&gt;=talent_start),IF(H57&gt;0,H57*job_fill,H57*job_return)*job_family,0)</f>
        <v/>
      </c>
      <c r="AK58" s="47">
        <f>K58*gw_conv_family</f>
        <v/>
      </c>
      <c r="AL58" s="47">
        <f>AG58+AI58+AJ58+AK58+AR58</f>
        <v/>
      </c>
      <c r="AM58" s="47">
        <f>AM57*(1-skill_ret)+AD58</f>
        <v/>
      </c>
      <c r="AN58" s="64">
        <f>AM58/B58</f>
        <v/>
      </c>
      <c r="AO58" s="64">
        <f>(skill_rel-1+skill_spill)*AM57/B57-AT58</f>
        <v/>
      </c>
      <c r="AP58" s="64">
        <f>talent_champ*AM57/(skill_base_share*B57)</f>
        <v/>
      </c>
      <c r="AQ58" s="45" t="n">
        <v>320000</v>
      </c>
      <c r="AR58" s="47">
        <f>IF(AND(div_on=1,$A58&gt;=div_start),AQ58*MIN(div_max,div_rate*U58)*(1-div_comp*S58),0)</f>
        <v/>
      </c>
      <c r="AS58" s="47">
        <f>AS57*(1-div_assim)+AR58</f>
        <v/>
      </c>
      <c r="AT58" s="64">
        <f>(1-div_rel)*AS57/Economy!B57</f>
        <v/>
      </c>
      <c r="AU58" s="47">
        <f>AU57*(1-skill_ret)+AE58</f>
        <v/>
      </c>
      <c r="AV58" s="47">
        <f>AV57*(1+union_nat)+AR58</f>
        <v/>
      </c>
      <c r="AW58" s="47">
        <f>AW57*(1+union_nat)+AE58*family_mult</f>
        <v/>
      </c>
      <c r="AX58" s="67">
        <f>V58-(AV58+AW58)/1000000</f>
        <v/>
      </c>
      <c r="AY58" s="47">
        <f>L58*gw_union</f>
        <v/>
      </c>
      <c r="AZ58" s="46" t="n">
        <v>1.094</v>
      </c>
      <c r="BA58" s="47">
        <f>Economy!Q58*AZ58/lf_rate</f>
        <v/>
      </c>
      <c r="BB58" s="64">
        <f>bd_growth*AU57/W57</f>
        <v/>
      </c>
      <c r="BC58" s="64">
        <f>tg_k*MIN(1,Economy!O57/BK57)</f>
        <v/>
      </c>
      <c r="BD58" s="64">
        <f>emu_g*S58</f>
        <v/>
      </c>
      <c r="BE58" s="65">
        <f>BE57*(1-BB58-BC58+BD58)</f>
        <v/>
      </c>
      <c r="BF58" s="46" t="n">
        <v>1</v>
      </c>
      <c r="BG58" s="53">
        <f>AU58*BA58*BE58*(skill_rel-1+skill_spill)/1000000</f>
        <v/>
      </c>
      <c r="BH58" s="53">
        <f>union_disp*(Champions!AP58+Champions!AZ58)*(1-IF(union_resp=2,mkt_cut*S58,0))</f>
        <v/>
      </c>
      <c r="BI58" s="53">
        <f>AY58*BA58*BE58/1000000</f>
        <v/>
      </c>
      <c r="BJ58" s="47">
        <f>V58*Economy!Q58*AZ58</f>
        <v/>
      </c>
      <c r="BK58" s="47">
        <f>MAX(0.3*BJ58,AX58*Economy!Q58*AZ58*BE58*BF58-BG58-BH58-BI58)</f>
        <v/>
      </c>
      <c r="BL58" s="63">
        <f>1-BK58/BJ58</f>
        <v/>
      </c>
      <c r="BM58" s="47">
        <f>MAX(0,BH58-BH57)*1000000/BA58</f>
        <v/>
      </c>
      <c r="BN58" s="47">
        <f>BN57*(1-IF(AND($A58&gt;=1930,$A58&lt;=1932),0,union_reabsorb))+BM58</f>
        <v/>
      </c>
      <c r="BO58" s="59" t="n">
        <v>0.124</v>
      </c>
      <c r="BP58" s="63">
        <f>BO58+BN58/(AX58*1000000*lf_rate)</f>
        <v/>
      </c>
    </row>
    <row r="59">
      <c r="A59" s="58" t="n">
        <v>1899</v>
      </c>
      <c r="B59" s="47">
        <f>Economy!B59*lf_rate</f>
        <v/>
      </c>
      <c r="C59" s="47">
        <f>Economy!O59*1000000/(B59+L59)</f>
        <v/>
      </c>
      <c r="D59" s="47">
        <f>Champions!AP59*1000000/(C59*champ_prem)</f>
        <v/>
      </c>
      <c r="E59" s="47">
        <f>D59*job_mult</f>
        <v/>
      </c>
      <c r="F59" s="47">
        <f>D59+E59</f>
        <v/>
      </c>
      <c r="G59" s="63">
        <f>F59/B59</f>
        <v/>
      </c>
      <c r="H59" s="47">
        <f>F59-F58</f>
        <v/>
      </c>
      <c r="I59" s="63">
        <f>MAX(0.005,pac_u_base*IF(Paths!AC59=1,pac_u_war,1)+(okun*(1-Economy!G59)*(B59+L59)-MAX(0,L58-L59))/B59)</f>
        <v/>
      </c>
      <c r="J59" s="47">
        <f>IF(AND(gw_on=1,$A59&gt;=gw_start),MIN(gw_cap*B58,gw_cover*F58+gw_gen*B58),0)</f>
        <v/>
      </c>
      <c r="K59" s="47">
        <f>L58*gw_conv</f>
        <v/>
      </c>
      <c r="L59" s="47">
        <f>MAX(0,L58-K59+gw_adj*(J59-L58))*MAX(0,1-gw_slump*(1-Economy!G59))</f>
        <v/>
      </c>
      <c r="M59" s="47">
        <f>MAX(0,L59-L58+L58/gw_term)</f>
        <v/>
      </c>
      <c r="N59" s="63">
        <f>L59/B59</f>
        <v/>
      </c>
      <c r="O59" s="53">
        <f>Economy!L59</f>
        <v/>
      </c>
      <c r="P59" s="53">
        <f>O59*gw_wage_share</f>
        <v/>
      </c>
      <c r="Q59" s="53">
        <f>P59*gw_levy</f>
        <v/>
      </c>
      <c r="R59" s="53">
        <f>P59*gw_remit</f>
        <v/>
      </c>
      <c r="S59" s="63">
        <f>IF(union_resp&gt;=1,MIN(1,MAX(0,($A59-resp_start)/(resp_full-resp_start))),0)</f>
        <v/>
      </c>
      <c r="T59" s="67">
        <f>Economy!R58</f>
        <v/>
      </c>
      <c r="U59" s="67">
        <f>MAX(0,T59-gap_base)</f>
        <v/>
      </c>
      <c r="V59" s="68" t="n">
        <v>58.46</v>
      </c>
      <c r="W59" s="47">
        <f>V59*1000000*lf_rate*union_skill_share</f>
        <v/>
      </c>
      <c r="X59" s="45" t="n">
        <v>98000</v>
      </c>
      <c r="Y59" s="47">
        <f>IF(AND(mig_endo=1,$A59&gt;=talent_start),talent_rate_u*W59*U59*(1-(1-bd_keep)*S59),0)</f>
        <v/>
      </c>
      <c r="Z59" s="47">
        <f>IF(AND(mig_endo=1,$A59&gt;=talent_start),X59*MIN(0.5,talent_share_o*U59)*(1-eu_comp*S59),0)</f>
        <v/>
      </c>
      <c r="AA59" s="45" t="n">
        <v>21000</v>
      </c>
      <c r="AB59" s="47">
        <f>IF(AND(mig_endo=1,$A59&gt;=talent_start),AA59*MIN(0.5,talent_share_a*U59),0)</f>
        <v/>
      </c>
      <c r="AC59" s="47">
        <f>entry_cap*People!B59</f>
        <v/>
      </c>
      <c r="AD59" s="47">
        <f>MIN(AC59,Y59+Z59+AB59)</f>
        <v/>
      </c>
      <c r="AE59" s="47">
        <f>IF(Y59+Z59+AB59&gt;0,AD59*Y59/(Y59+Z59+AB59),0)</f>
        <v/>
      </c>
      <c r="AF59" s="47">
        <f>IF(Y59+Z59+AB59&gt;0,AD59*AB59/(Y59+Z59+AB59),0)</f>
        <v/>
      </c>
      <c r="AG59" s="47">
        <f>AD59*family_mult</f>
        <v/>
      </c>
      <c r="AH59" s="47">
        <f>AH58*(1+Paths!C59)+AG59</f>
        <v/>
      </c>
      <c r="AI59" s="47">
        <f>IF(AND(mig_endo=1,$A59&gt;=talent_start),chain_rate*AH58,0)</f>
        <v/>
      </c>
      <c r="AJ59" s="47">
        <f>IF(AND(mig_endo=1,$A59&gt;=talent_start),IF(H58&gt;0,H58*job_fill,H58*job_return)*job_family,0)</f>
        <v/>
      </c>
      <c r="AK59" s="47">
        <f>K59*gw_conv_family</f>
        <v/>
      </c>
      <c r="AL59" s="47">
        <f>AG59+AI59+AJ59+AK59+AR59</f>
        <v/>
      </c>
      <c r="AM59" s="47">
        <f>AM58*(1-skill_ret)+AD59</f>
        <v/>
      </c>
      <c r="AN59" s="64">
        <f>AM59/B59</f>
        <v/>
      </c>
      <c r="AO59" s="64">
        <f>(skill_rel-1+skill_spill)*AM58/B58-AT59</f>
        <v/>
      </c>
      <c r="AP59" s="64">
        <f>talent_champ*AM58/(skill_base_share*B58)</f>
        <v/>
      </c>
      <c r="AQ59" s="45" t="n">
        <v>310000</v>
      </c>
      <c r="AR59" s="47">
        <f>IF(AND(div_on=1,$A59&gt;=div_start),AQ59*MIN(div_max,div_rate*U59)*(1-div_comp*S59),0)</f>
        <v/>
      </c>
      <c r="AS59" s="47">
        <f>AS58*(1-div_assim)+AR59</f>
        <v/>
      </c>
      <c r="AT59" s="64">
        <f>(1-div_rel)*AS58/Economy!B58</f>
        <v/>
      </c>
      <c r="AU59" s="47">
        <f>AU58*(1-skill_ret)+AE59</f>
        <v/>
      </c>
      <c r="AV59" s="47">
        <f>AV58*(1+union_nat)+AR59</f>
        <v/>
      </c>
      <c r="AW59" s="47">
        <f>AW58*(1+union_nat)+AE59*family_mult</f>
        <v/>
      </c>
      <c r="AX59" s="67">
        <f>V59-(AV59+AW59)/1000000</f>
        <v/>
      </c>
      <c r="AY59" s="47">
        <f>L59*gw_union</f>
        <v/>
      </c>
      <c r="AZ59" s="46" t="n">
        <v>1.093</v>
      </c>
      <c r="BA59" s="47">
        <f>Economy!Q59*AZ59/lf_rate</f>
        <v/>
      </c>
      <c r="BB59" s="64">
        <f>bd_growth*AU58/W58</f>
        <v/>
      </c>
      <c r="BC59" s="64">
        <f>tg_k*MIN(1,Economy!O58/BK58)</f>
        <v/>
      </c>
      <c r="BD59" s="64">
        <f>emu_g*S59</f>
        <v/>
      </c>
      <c r="BE59" s="65">
        <f>BE58*(1-BB59-BC59+BD59)</f>
        <v/>
      </c>
      <c r="BF59" s="46" t="n">
        <v>1</v>
      </c>
      <c r="BG59" s="53">
        <f>AU59*BA59*BE59*(skill_rel-1+skill_spill)/1000000</f>
        <v/>
      </c>
      <c r="BH59" s="53">
        <f>union_disp*(Champions!AP59+Champions!AZ59)*(1-IF(union_resp=2,mkt_cut*S59,0))</f>
        <v/>
      </c>
      <c r="BI59" s="53">
        <f>AY59*BA59*BE59/1000000</f>
        <v/>
      </c>
      <c r="BJ59" s="47">
        <f>V59*Economy!Q59*AZ59</f>
        <v/>
      </c>
      <c r="BK59" s="47">
        <f>MAX(0.3*BJ59,AX59*Economy!Q59*AZ59*BE59*BF59-BG59-BH59-BI59)</f>
        <v/>
      </c>
      <c r="BL59" s="63">
        <f>1-BK59/BJ59</f>
        <v/>
      </c>
      <c r="BM59" s="47">
        <f>MAX(0,BH59-BH58)*1000000/BA59</f>
        <v/>
      </c>
      <c r="BN59" s="47">
        <f>BN58*(1-IF(AND($A59&gt;=1930,$A59&lt;=1932),0,union_reabsorb))+BM59</f>
        <v/>
      </c>
      <c r="BO59" s="59" t="n">
        <v>0.065</v>
      </c>
      <c r="BP59" s="63">
        <f>BO59+BN59/(AX59*1000000*lf_rate)</f>
        <v/>
      </c>
    </row>
    <row r="60">
      <c r="A60" s="58" t="n">
        <v>1900</v>
      </c>
      <c r="B60" s="47">
        <f>Economy!B60*lf_rate</f>
        <v/>
      </c>
      <c r="C60" s="47">
        <f>Economy!O60*1000000/(B60+L60)</f>
        <v/>
      </c>
      <c r="D60" s="47">
        <f>Champions!AP60*1000000/(C60*champ_prem)</f>
        <v/>
      </c>
      <c r="E60" s="47">
        <f>D60*job_mult</f>
        <v/>
      </c>
      <c r="F60" s="47">
        <f>D60+E60</f>
        <v/>
      </c>
      <c r="G60" s="63">
        <f>F60/B60</f>
        <v/>
      </c>
      <c r="H60" s="47">
        <f>F60-F59</f>
        <v/>
      </c>
      <c r="I60" s="63">
        <f>MAX(0.005,pac_u_base*IF(Paths!AC60=1,pac_u_war,1)+(okun*(1-Economy!G60)*(B60+L60)-MAX(0,L59-L60))/B60)</f>
        <v/>
      </c>
      <c r="J60" s="47">
        <f>IF(AND(gw_on=1,$A60&gt;=gw_start),MIN(gw_cap*B59,gw_cover*F59+gw_gen*B59),0)</f>
        <v/>
      </c>
      <c r="K60" s="47">
        <f>L59*gw_conv</f>
        <v/>
      </c>
      <c r="L60" s="47">
        <f>MAX(0,L59-K60+gw_adj*(J60-L59))*MAX(0,1-gw_slump*(1-Economy!G60))</f>
        <v/>
      </c>
      <c r="M60" s="47">
        <f>MAX(0,L60-L59+L59/gw_term)</f>
        <v/>
      </c>
      <c r="N60" s="63">
        <f>L60/B60</f>
        <v/>
      </c>
      <c r="O60" s="53">
        <f>Economy!L60</f>
        <v/>
      </c>
      <c r="P60" s="53">
        <f>O60*gw_wage_share</f>
        <v/>
      </c>
      <c r="Q60" s="53">
        <f>P60*gw_levy</f>
        <v/>
      </c>
      <c r="R60" s="53">
        <f>P60*gw_remit</f>
        <v/>
      </c>
      <c r="S60" s="63">
        <f>IF(union_resp&gt;=1,MIN(1,MAX(0,($A60-resp_start)/(resp_full-resp_start))),0)</f>
        <v/>
      </c>
      <c r="T60" s="67">
        <f>Economy!R59</f>
        <v/>
      </c>
      <c r="U60" s="67">
        <f>MAX(0,T60-gap_base)</f>
        <v/>
      </c>
      <c r="V60" s="68" t="n">
        <v>59.4</v>
      </c>
      <c r="W60" s="47">
        <f>V60*1000000*lf_rate*union_skill_share</f>
        <v/>
      </c>
      <c r="X60" s="45" t="n">
        <v>100000</v>
      </c>
      <c r="Y60" s="47">
        <f>IF(AND(mig_endo=1,$A60&gt;=talent_start),talent_rate_u*W60*U60*(1-(1-bd_keep)*S60),0)</f>
        <v/>
      </c>
      <c r="Z60" s="47">
        <f>IF(AND(mig_endo=1,$A60&gt;=talent_start),X60*MIN(0.5,talent_share_o*U60)*(1-eu_comp*S60),0)</f>
        <v/>
      </c>
      <c r="AA60" s="45" t="n">
        <v>22000</v>
      </c>
      <c r="AB60" s="47">
        <f>IF(AND(mig_endo=1,$A60&gt;=talent_start),AA60*MIN(0.5,talent_share_a*U60),0)</f>
        <v/>
      </c>
      <c r="AC60" s="47">
        <f>entry_cap*People!B60</f>
        <v/>
      </c>
      <c r="AD60" s="47">
        <f>MIN(AC60,Y60+Z60+AB60)</f>
        <v/>
      </c>
      <c r="AE60" s="47">
        <f>IF(Y60+Z60+AB60&gt;0,AD60*Y60/(Y60+Z60+AB60),0)</f>
        <v/>
      </c>
      <c r="AF60" s="47">
        <f>IF(Y60+Z60+AB60&gt;0,AD60*AB60/(Y60+Z60+AB60),0)</f>
        <v/>
      </c>
      <c r="AG60" s="47">
        <f>AD60*family_mult</f>
        <v/>
      </c>
      <c r="AH60" s="47">
        <f>AH59*(1+Paths!C60)+AG60</f>
        <v/>
      </c>
      <c r="AI60" s="47">
        <f>IF(AND(mig_endo=1,$A60&gt;=talent_start),chain_rate*AH59,0)</f>
        <v/>
      </c>
      <c r="AJ60" s="47">
        <f>IF(AND(mig_endo=1,$A60&gt;=talent_start),IF(H59&gt;0,H59*job_fill,H59*job_return)*job_family,0)</f>
        <v/>
      </c>
      <c r="AK60" s="47">
        <f>K60*gw_conv_family</f>
        <v/>
      </c>
      <c r="AL60" s="47">
        <f>AG60+AI60+AJ60+AK60+AR60</f>
        <v/>
      </c>
      <c r="AM60" s="47">
        <f>AM59*(1-skill_ret)+AD60</f>
        <v/>
      </c>
      <c r="AN60" s="64">
        <f>AM60/B60</f>
        <v/>
      </c>
      <c r="AO60" s="64">
        <f>(skill_rel-1+skill_spill)*AM59/B59-AT60</f>
        <v/>
      </c>
      <c r="AP60" s="64">
        <f>talent_champ*AM59/(skill_base_share*B59)</f>
        <v/>
      </c>
      <c r="AQ60" s="45" t="n">
        <v>448000</v>
      </c>
      <c r="AR60" s="47">
        <f>IF(AND(div_on=1,$A60&gt;=div_start),AQ60*MIN(div_max,div_rate*U60)*(1-div_comp*S60),0)</f>
        <v/>
      </c>
      <c r="AS60" s="47">
        <f>AS59*(1-div_assim)+AR60</f>
        <v/>
      </c>
      <c r="AT60" s="64">
        <f>(1-div_rel)*AS59/Economy!B59</f>
        <v/>
      </c>
      <c r="AU60" s="47">
        <f>AU59*(1-skill_ret)+AE60</f>
        <v/>
      </c>
      <c r="AV60" s="47">
        <f>AV59*(1+union_nat)+AR60</f>
        <v/>
      </c>
      <c r="AW60" s="47">
        <f>AW59*(1+union_nat)+AE60*family_mult</f>
        <v/>
      </c>
      <c r="AX60" s="67">
        <f>V60-(AV60+AW60)/1000000</f>
        <v/>
      </c>
      <c r="AY60" s="47">
        <f>L60*gw_union</f>
        <v/>
      </c>
      <c r="AZ60" s="46" t="n">
        <v>1.092</v>
      </c>
      <c r="BA60" s="47">
        <f>Economy!Q60*AZ60/lf_rate</f>
        <v/>
      </c>
      <c r="BB60" s="64">
        <f>bd_growth*AU59/W59</f>
        <v/>
      </c>
      <c r="BC60" s="64">
        <f>tg_k*MIN(1,Economy!O59/BK59)</f>
        <v/>
      </c>
      <c r="BD60" s="64">
        <f>emu_g*S60</f>
        <v/>
      </c>
      <c r="BE60" s="65">
        <f>BE59*(1-BB60-BC60+BD60)</f>
        <v/>
      </c>
      <c r="BF60" s="46" t="n">
        <v>1</v>
      </c>
      <c r="BG60" s="53">
        <f>AU60*BA60*BE60*(skill_rel-1+skill_spill)/1000000</f>
        <v/>
      </c>
      <c r="BH60" s="53">
        <f>union_disp*(Champions!AP60+Champions!AZ60)*(1-IF(union_resp=2,mkt_cut*S60,0))</f>
        <v/>
      </c>
      <c r="BI60" s="53">
        <f>AY60*BA60*BE60/1000000</f>
        <v/>
      </c>
      <c r="BJ60" s="47">
        <f>V60*Economy!Q60*AZ60</f>
        <v/>
      </c>
      <c r="BK60" s="47">
        <f>MAX(0.3*BJ60,AX60*Economy!Q60*AZ60*BE60*BF60-BG60-BH60-BI60)</f>
        <v/>
      </c>
      <c r="BL60" s="63">
        <f>1-BK60/BJ60</f>
        <v/>
      </c>
      <c r="BM60" s="47">
        <f>MAX(0,BH60-BH59)*1000000/BA60</f>
        <v/>
      </c>
      <c r="BN60" s="47">
        <f>BN59*(1-IF(AND($A60&gt;=1930,$A60&lt;=1932),0,union_reabsorb))+BM60</f>
        <v/>
      </c>
      <c r="BO60" s="59" t="n">
        <v>0.05</v>
      </c>
      <c r="BP60" s="63">
        <f>BO60+BN60/(AX60*1000000*lf_rate)</f>
        <v/>
      </c>
    </row>
    <row r="61">
      <c r="A61" s="58" t="n">
        <v>1901</v>
      </c>
      <c r="B61" s="47">
        <f>Economy!B61*lf_rate</f>
        <v/>
      </c>
      <c r="C61" s="47">
        <f>Economy!O61*1000000/(B61+L61)</f>
        <v/>
      </c>
      <c r="D61" s="47">
        <f>Champions!AP61*1000000/(C61*champ_prem)</f>
        <v/>
      </c>
      <c r="E61" s="47">
        <f>D61*job_mult</f>
        <v/>
      </c>
      <c r="F61" s="47">
        <f>D61+E61</f>
        <v/>
      </c>
      <c r="G61" s="63">
        <f>F61/B61</f>
        <v/>
      </c>
      <c r="H61" s="47">
        <f>F61-F60</f>
        <v/>
      </c>
      <c r="I61" s="63">
        <f>MAX(0.005,pac_u_base*IF(Paths!AC61=1,pac_u_war,1)+(okun*(1-Economy!G61)*(B61+L61)-MAX(0,L60-L61))/B61)</f>
        <v/>
      </c>
      <c r="J61" s="47">
        <f>IF(AND(gw_on=1,$A61&gt;=gw_start),MIN(gw_cap*B60,gw_cover*F60+gw_gen*B60),0)</f>
        <v/>
      </c>
      <c r="K61" s="47">
        <f>L60*gw_conv</f>
        <v/>
      </c>
      <c r="L61" s="47">
        <f>MAX(0,L60-K61+gw_adj*(J61-L60))*MAX(0,1-gw_slump*(1-Economy!G61))</f>
        <v/>
      </c>
      <c r="M61" s="47">
        <f>MAX(0,L61-L60+L60/gw_term)</f>
        <v/>
      </c>
      <c r="N61" s="63">
        <f>L61/B61</f>
        <v/>
      </c>
      <c r="O61" s="53">
        <f>Economy!L61</f>
        <v/>
      </c>
      <c r="P61" s="53">
        <f>O61*gw_wage_share</f>
        <v/>
      </c>
      <c r="Q61" s="53">
        <f>P61*gw_levy</f>
        <v/>
      </c>
      <c r="R61" s="53">
        <f>P61*gw_remit</f>
        <v/>
      </c>
      <c r="S61" s="63">
        <f>IF(union_resp&gt;=1,MIN(1,MAX(0,($A61-resp_start)/(resp_full-resp_start))),0)</f>
        <v/>
      </c>
      <c r="T61" s="67">
        <f>Economy!R60</f>
        <v/>
      </c>
      <c r="U61" s="67">
        <f>MAX(0,T61-gap_base)</f>
        <v/>
      </c>
      <c r="V61" s="68" t="n">
        <v>60.68</v>
      </c>
      <c r="W61" s="47">
        <f>V61*1000000*lf_rate*union_skill_share</f>
        <v/>
      </c>
      <c r="X61" s="45" t="n">
        <v>105000</v>
      </c>
      <c r="Y61" s="47">
        <f>IF(AND(mig_endo=1,$A61&gt;=talent_start),talent_rate_u*W61*U61*(1-(1-bd_keep)*S61),0)</f>
        <v/>
      </c>
      <c r="Z61" s="47">
        <f>IF(AND(mig_endo=1,$A61&gt;=talent_start),X61*MIN(0.5,talent_share_o*U61)*(1-eu_comp*S61),0)</f>
        <v/>
      </c>
      <c r="AA61" s="45" t="n">
        <v>24000</v>
      </c>
      <c r="AB61" s="47">
        <f>IF(AND(mig_endo=1,$A61&gt;=talent_start),AA61*MIN(0.5,talent_share_a*U61),0)</f>
        <v/>
      </c>
      <c r="AC61" s="47">
        <f>entry_cap*People!B61</f>
        <v/>
      </c>
      <c r="AD61" s="47">
        <f>MIN(AC61,Y61+Z61+AB61)</f>
        <v/>
      </c>
      <c r="AE61" s="47">
        <f>IF(Y61+Z61+AB61&gt;0,AD61*Y61/(Y61+Z61+AB61),0)</f>
        <v/>
      </c>
      <c r="AF61" s="47">
        <f>IF(Y61+Z61+AB61&gt;0,AD61*AB61/(Y61+Z61+AB61),0)</f>
        <v/>
      </c>
      <c r="AG61" s="47">
        <f>AD61*family_mult</f>
        <v/>
      </c>
      <c r="AH61" s="47">
        <f>AH60*(1+Paths!C61)+AG61</f>
        <v/>
      </c>
      <c r="AI61" s="47">
        <f>IF(AND(mig_endo=1,$A61&gt;=talent_start),chain_rate*AH60,0)</f>
        <v/>
      </c>
      <c r="AJ61" s="47">
        <f>IF(AND(mig_endo=1,$A61&gt;=talent_start),IF(H60&gt;0,H60*job_fill,H60*job_return)*job_family,0)</f>
        <v/>
      </c>
      <c r="AK61" s="47">
        <f>K61*gw_conv_family</f>
        <v/>
      </c>
      <c r="AL61" s="47">
        <f>AG61+AI61+AJ61+AK61+AR61</f>
        <v/>
      </c>
      <c r="AM61" s="47">
        <f>AM60*(1-skill_ret)+AD61</f>
        <v/>
      </c>
      <c r="AN61" s="64">
        <f>AM61/B61</f>
        <v/>
      </c>
      <c r="AO61" s="64">
        <f>(skill_rel-1+skill_spill)*AM60/B60-AT61</f>
        <v/>
      </c>
      <c r="AP61" s="64">
        <f>talent_champ*AM60/(skill_base_share*B60)</f>
        <v/>
      </c>
      <c r="AQ61" s="45" t="n">
        <v>585000</v>
      </c>
      <c r="AR61" s="47">
        <f>IF(AND(div_on=1,$A61&gt;=div_start),AQ61*MIN(div_max,div_rate*U61)*(1-div_comp*S61),0)</f>
        <v/>
      </c>
      <c r="AS61" s="47">
        <f>AS60*(1-div_assim)+AR61</f>
        <v/>
      </c>
      <c r="AT61" s="64">
        <f>(1-div_rel)*AS60/Economy!B60</f>
        <v/>
      </c>
      <c r="AU61" s="47">
        <f>AU60*(1-skill_ret)+AE61</f>
        <v/>
      </c>
      <c r="AV61" s="47">
        <f>AV60*(1+union_nat)+AR61</f>
        <v/>
      </c>
      <c r="AW61" s="47">
        <f>AW60*(1+union_nat)+AE61*family_mult</f>
        <v/>
      </c>
      <c r="AX61" s="67">
        <f>V61-(AV61+AW61)/1000000</f>
        <v/>
      </c>
      <c r="AY61" s="47">
        <f>L61*gw_union</f>
        <v/>
      </c>
      <c r="AZ61" s="46" t="n">
        <v>1.089</v>
      </c>
      <c r="BA61" s="47">
        <f>Economy!Q61*AZ61/lf_rate</f>
        <v/>
      </c>
      <c r="BB61" s="64">
        <f>bd_growth*AU60/W60</f>
        <v/>
      </c>
      <c r="BC61" s="64">
        <f>tg_k*MIN(1,Economy!O60/BK60)</f>
        <v/>
      </c>
      <c r="BD61" s="64">
        <f>emu_g*S61</f>
        <v/>
      </c>
      <c r="BE61" s="65">
        <f>BE60*(1-BB61-BC61+BD61)</f>
        <v/>
      </c>
      <c r="BF61" s="46" t="n">
        <v>1</v>
      </c>
      <c r="BG61" s="53">
        <f>AU61*BA61*BE61*(skill_rel-1+skill_spill)/1000000</f>
        <v/>
      </c>
      <c r="BH61" s="53">
        <f>union_disp*(Champions!AP61+Champions!AZ61)*(1-IF(union_resp=2,mkt_cut*S61,0))</f>
        <v/>
      </c>
      <c r="BI61" s="53">
        <f>AY61*BA61*BE61/1000000</f>
        <v/>
      </c>
      <c r="BJ61" s="47">
        <f>V61*Economy!Q61*AZ61</f>
        <v/>
      </c>
      <c r="BK61" s="47">
        <f>MAX(0.3*BJ61,AX61*Economy!Q61*AZ61*BE61*BF61-BG61-BH61-BI61)</f>
        <v/>
      </c>
      <c r="BL61" s="63">
        <f>1-BK61/BJ61</f>
        <v/>
      </c>
      <c r="BM61" s="47">
        <f>MAX(0,BH61-BH60)*1000000/BA61</f>
        <v/>
      </c>
      <c r="BN61" s="47">
        <f>BN60*(1-IF(AND($A61&gt;=1930,$A61&lt;=1932),0,union_reabsorb))+BM61</f>
        <v/>
      </c>
      <c r="BO61" s="59" t="n">
        <v>0.045</v>
      </c>
      <c r="BP61" s="63">
        <f>BO61+BN61/(AX61*1000000*lf_rate)</f>
        <v/>
      </c>
    </row>
    <row r="62">
      <c r="A62" s="58" t="n">
        <v>1902</v>
      </c>
      <c r="B62" s="47">
        <f>Economy!B62*lf_rate</f>
        <v/>
      </c>
      <c r="C62" s="47">
        <f>Economy!O62*1000000/(B62+L62)</f>
        <v/>
      </c>
      <c r="D62" s="47">
        <f>Champions!AP62*1000000/(C62*champ_prem)</f>
        <v/>
      </c>
      <c r="E62" s="47">
        <f>D62*job_mult</f>
        <v/>
      </c>
      <c r="F62" s="47">
        <f>D62+E62</f>
        <v/>
      </c>
      <c r="G62" s="63">
        <f>F62/B62</f>
        <v/>
      </c>
      <c r="H62" s="47">
        <f>F62-F61</f>
        <v/>
      </c>
      <c r="I62" s="63">
        <f>MAX(0.005,pac_u_base*IF(Paths!AC62=1,pac_u_war,1)+(okun*(1-Economy!G62)*(B62+L62)-MAX(0,L61-L62))/B62)</f>
        <v/>
      </c>
      <c r="J62" s="47">
        <f>IF(AND(gw_on=1,$A62&gt;=gw_start),MIN(gw_cap*B61,gw_cover*F61+gw_gen*B61),0)</f>
        <v/>
      </c>
      <c r="K62" s="47">
        <f>L61*gw_conv</f>
        <v/>
      </c>
      <c r="L62" s="47">
        <f>MAX(0,L61-K62+gw_adj*(J62-L61))*MAX(0,1-gw_slump*(1-Economy!G62))</f>
        <v/>
      </c>
      <c r="M62" s="47">
        <f>MAX(0,L62-L61+L61/gw_term)</f>
        <v/>
      </c>
      <c r="N62" s="63">
        <f>L62/B62</f>
        <v/>
      </c>
      <c r="O62" s="53">
        <f>Economy!L62</f>
        <v/>
      </c>
      <c r="P62" s="53">
        <f>O62*gw_wage_share</f>
        <v/>
      </c>
      <c r="Q62" s="53">
        <f>P62*gw_levy</f>
        <v/>
      </c>
      <c r="R62" s="53">
        <f>P62*gw_remit</f>
        <v/>
      </c>
      <c r="S62" s="63">
        <f>IF(union_resp&gt;=1,MIN(1,MAX(0,($A62-resp_start)/(resp_full-resp_start))),0)</f>
        <v/>
      </c>
      <c r="T62" s="67">
        <f>Economy!R61</f>
        <v/>
      </c>
      <c r="U62" s="67">
        <f>MAX(0,T62-gap_base)</f>
        <v/>
      </c>
      <c r="V62" s="68" t="n">
        <v>61.97</v>
      </c>
      <c r="W62" s="47">
        <f>V62*1000000*lf_rate*union_skill_share</f>
        <v/>
      </c>
      <c r="X62" s="45" t="n">
        <v>109000</v>
      </c>
      <c r="Y62" s="47">
        <f>IF(AND(mig_endo=1,$A62&gt;=talent_start),talent_rate_u*W62*U62*(1-(1-bd_keep)*S62),0)</f>
        <v/>
      </c>
      <c r="Z62" s="47">
        <f>IF(AND(mig_endo=1,$A62&gt;=talent_start),X62*MIN(0.5,talent_share_o*U62)*(1-eu_comp*S62),0)</f>
        <v/>
      </c>
      <c r="AA62" s="45" t="n">
        <v>26000</v>
      </c>
      <c r="AB62" s="47">
        <f>IF(AND(mig_endo=1,$A62&gt;=talent_start),AA62*MIN(0.5,talent_share_a*U62),0)</f>
        <v/>
      </c>
      <c r="AC62" s="47">
        <f>entry_cap*People!B62</f>
        <v/>
      </c>
      <c r="AD62" s="47">
        <f>MIN(AC62,Y62+Z62+AB62)</f>
        <v/>
      </c>
      <c r="AE62" s="47">
        <f>IF(Y62+Z62+AB62&gt;0,AD62*Y62/(Y62+Z62+AB62),0)</f>
        <v/>
      </c>
      <c r="AF62" s="47">
        <f>IF(Y62+Z62+AB62&gt;0,AD62*AB62/(Y62+Z62+AB62),0)</f>
        <v/>
      </c>
      <c r="AG62" s="47">
        <f>AD62*family_mult</f>
        <v/>
      </c>
      <c r="AH62" s="47">
        <f>AH61*(1+Paths!C62)+AG62</f>
        <v/>
      </c>
      <c r="AI62" s="47">
        <f>IF(AND(mig_endo=1,$A62&gt;=talent_start),chain_rate*AH61,0)</f>
        <v/>
      </c>
      <c r="AJ62" s="47">
        <f>IF(AND(mig_endo=1,$A62&gt;=talent_start),IF(H61&gt;0,H61*job_fill,H61*job_return)*job_family,0)</f>
        <v/>
      </c>
      <c r="AK62" s="47">
        <f>K62*gw_conv_family</f>
        <v/>
      </c>
      <c r="AL62" s="47">
        <f>AG62+AI62+AJ62+AK62+AR62</f>
        <v/>
      </c>
      <c r="AM62" s="47">
        <f>AM61*(1-skill_ret)+AD62</f>
        <v/>
      </c>
      <c r="AN62" s="64">
        <f>AM62/B62</f>
        <v/>
      </c>
      <c r="AO62" s="64">
        <f>(skill_rel-1+skill_spill)*AM61/B61-AT62</f>
        <v/>
      </c>
      <c r="AP62" s="64">
        <f>talent_champ*AM61/(skill_base_share*B61)</f>
        <v/>
      </c>
      <c r="AQ62" s="45" t="n">
        <v>722000</v>
      </c>
      <c r="AR62" s="47">
        <f>IF(AND(div_on=1,$A62&gt;=div_start),AQ62*MIN(div_max,div_rate*U62)*(1-div_comp*S62),0)</f>
        <v/>
      </c>
      <c r="AS62" s="47">
        <f>AS61*(1-div_assim)+AR62</f>
        <v/>
      </c>
      <c r="AT62" s="64">
        <f>(1-div_rel)*AS61/Economy!B61</f>
        <v/>
      </c>
      <c r="AU62" s="47">
        <f>AU61*(1-skill_ret)+AE62</f>
        <v/>
      </c>
      <c r="AV62" s="47">
        <f>AV61*(1+union_nat)+AR62</f>
        <v/>
      </c>
      <c r="AW62" s="47">
        <f>AW61*(1+union_nat)+AE62*family_mult</f>
        <v/>
      </c>
      <c r="AX62" s="67">
        <f>V62-(AV62+AW62)/1000000</f>
        <v/>
      </c>
      <c r="AY62" s="47">
        <f>L62*gw_union</f>
        <v/>
      </c>
      <c r="AZ62" s="46" t="n">
        <v>1.086</v>
      </c>
      <c r="BA62" s="47">
        <f>Economy!Q62*AZ62/lf_rate</f>
        <v/>
      </c>
      <c r="BB62" s="64">
        <f>bd_growth*AU61/W61</f>
        <v/>
      </c>
      <c r="BC62" s="64">
        <f>tg_k*MIN(1,Economy!O61/BK61)</f>
        <v/>
      </c>
      <c r="BD62" s="64">
        <f>emu_g*S62</f>
        <v/>
      </c>
      <c r="BE62" s="65">
        <f>BE61*(1-BB62-BC62+BD62)</f>
        <v/>
      </c>
      <c r="BF62" s="46" t="n">
        <v>1</v>
      </c>
      <c r="BG62" s="53">
        <f>AU62*BA62*BE62*(skill_rel-1+skill_spill)/1000000</f>
        <v/>
      </c>
      <c r="BH62" s="53">
        <f>union_disp*(Champions!AP62+Champions!AZ62)*(1-IF(union_resp=2,mkt_cut*S62,0))</f>
        <v/>
      </c>
      <c r="BI62" s="53">
        <f>AY62*BA62*BE62/1000000</f>
        <v/>
      </c>
      <c r="BJ62" s="47">
        <f>V62*Economy!Q62*AZ62</f>
        <v/>
      </c>
      <c r="BK62" s="47">
        <f>MAX(0.3*BJ62,AX62*Economy!Q62*AZ62*BE62*BF62-BG62-BH62-BI62)</f>
        <v/>
      </c>
      <c r="BL62" s="63">
        <f>1-BK62/BJ62</f>
        <v/>
      </c>
      <c r="BM62" s="47">
        <f>MAX(0,BH62-BH61)*1000000/BA62</f>
        <v/>
      </c>
      <c r="BN62" s="47">
        <f>BN61*(1-IF(AND($A62&gt;=1930,$A62&lt;=1932),0,union_reabsorb))+BM62</f>
        <v/>
      </c>
      <c r="BO62" s="59" t="n">
        <v>0.039</v>
      </c>
      <c r="BP62" s="63">
        <f>BO62+BN62/(AX62*1000000*lf_rate)</f>
        <v/>
      </c>
    </row>
    <row r="63">
      <c r="A63" s="58" t="n">
        <v>1903</v>
      </c>
      <c r="B63" s="47">
        <f>Economy!B63*lf_rate</f>
        <v/>
      </c>
      <c r="C63" s="47">
        <f>Economy!O63*1000000/(B63+L63)</f>
        <v/>
      </c>
      <c r="D63" s="47">
        <f>Champions!AP63*1000000/(C63*champ_prem)</f>
        <v/>
      </c>
      <c r="E63" s="47">
        <f>D63*job_mult</f>
        <v/>
      </c>
      <c r="F63" s="47">
        <f>D63+E63</f>
        <v/>
      </c>
      <c r="G63" s="63">
        <f>F63/B63</f>
        <v/>
      </c>
      <c r="H63" s="47">
        <f>F63-F62</f>
        <v/>
      </c>
      <c r="I63" s="63">
        <f>MAX(0.005,pac_u_base*IF(Paths!AC63=1,pac_u_war,1)+(okun*(1-Economy!G63)*(B63+L63)-MAX(0,L62-L63))/B63)</f>
        <v/>
      </c>
      <c r="J63" s="47">
        <f>IF(AND(gw_on=1,$A63&gt;=gw_start),MIN(gw_cap*B62,gw_cover*F62+gw_gen*B62),0)</f>
        <v/>
      </c>
      <c r="K63" s="47">
        <f>L62*gw_conv</f>
        <v/>
      </c>
      <c r="L63" s="47">
        <f>MAX(0,L62-K63+gw_adj*(J63-L62))*MAX(0,1-gw_slump*(1-Economy!G63))</f>
        <v/>
      </c>
      <c r="M63" s="47">
        <f>MAX(0,L63-L62+L62/gw_term)</f>
        <v/>
      </c>
      <c r="N63" s="63">
        <f>L63/B63</f>
        <v/>
      </c>
      <c r="O63" s="53">
        <f>Economy!L63</f>
        <v/>
      </c>
      <c r="P63" s="53">
        <f>O63*gw_wage_share</f>
        <v/>
      </c>
      <c r="Q63" s="53">
        <f>P63*gw_levy</f>
        <v/>
      </c>
      <c r="R63" s="53">
        <f>P63*gw_remit</f>
        <v/>
      </c>
      <c r="S63" s="63">
        <f>IF(union_resp&gt;=1,MIN(1,MAX(0,($A63-resp_start)/(resp_full-resp_start))),0)</f>
        <v/>
      </c>
      <c r="T63" s="67">
        <f>Economy!R62</f>
        <v/>
      </c>
      <c r="U63" s="67">
        <f>MAX(0,T63-gap_base)</f>
        <v/>
      </c>
      <c r="V63" s="68" t="n">
        <v>63.25</v>
      </c>
      <c r="W63" s="47">
        <f>V63*1000000*lf_rate*union_skill_share</f>
        <v/>
      </c>
      <c r="X63" s="45" t="n">
        <v>114000</v>
      </c>
      <c r="Y63" s="47">
        <f>IF(AND(mig_endo=1,$A63&gt;=talent_start),talent_rate_u*W63*U63*(1-(1-bd_keep)*S63),0)</f>
        <v/>
      </c>
      <c r="Z63" s="47">
        <f>IF(AND(mig_endo=1,$A63&gt;=talent_start),X63*MIN(0.5,talent_share_o*U63)*(1-eu_comp*S63),0)</f>
        <v/>
      </c>
      <c r="AA63" s="45" t="n">
        <v>27000</v>
      </c>
      <c r="AB63" s="47">
        <f>IF(AND(mig_endo=1,$A63&gt;=talent_start),AA63*MIN(0.5,talent_share_a*U63),0)</f>
        <v/>
      </c>
      <c r="AC63" s="47">
        <f>entry_cap*People!B63</f>
        <v/>
      </c>
      <c r="AD63" s="47">
        <f>MIN(AC63,Y63+Z63+AB63)</f>
        <v/>
      </c>
      <c r="AE63" s="47">
        <f>IF(Y63+Z63+AB63&gt;0,AD63*Y63/(Y63+Z63+AB63),0)</f>
        <v/>
      </c>
      <c r="AF63" s="47">
        <f>IF(Y63+Z63+AB63&gt;0,AD63*AB63/(Y63+Z63+AB63),0)</f>
        <v/>
      </c>
      <c r="AG63" s="47">
        <f>AD63*family_mult</f>
        <v/>
      </c>
      <c r="AH63" s="47">
        <f>AH62*(1+Paths!C63)+AG63</f>
        <v/>
      </c>
      <c r="AI63" s="47">
        <f>IF(AND(mig_endo=1,$A63&gt;=talent_start),chain_rate*AH62,0)</f>
        <v/>
      </c>
      <c r="AJ63" s="47">
        <f>IF(AND(mig_endo=1,$A63&gt;=talent_start),IF(H62&gt;0,H62*job_fill,H62*job_return)*job_family,0)</f>
        <v/>
      </c>
      <c r="AK63" s="47">
        <f>K63*gw_conv_family</f>
        <v/>
      </c>
      <c r="AL63" s="47">
        <f>AG63+AI63+AJ63+AK63+AR63</f>
        <v/>
      </c>
      <c r="AM63" s="47">
        <f>AM62*(1-skill_ret)+AD63</f>
        <v/>
      </c>
      <c r="AN63" s="64">
        <f>AM63/B63</f>
        <v/>
      </c>
      <c r="AO63" s="64">
        <f>(skill_rel-1+skill_spill)*AM62/B62-AT63</f>
        <v/>
      </c>
      <c r="AP63" s="64">
        <f>talent_champ*AM62/(skill_base_share*B62)</f>
        <v/>
      </c>
      <c r="AQ63" s="45" t="n">
        <v>860000</v>
      </c>
      <c r="AR63" s="47">
        <f>IF(AND(div_on=1,$A63&gt;=div_start),AQ63*MIN(div_max,div_rate*U63)*(1-div_comp*S63),0)</f>
        <v/>
      </c>
      <c r="AS63" s="47">
        <f>AS62*(1-div_assim)+AR63</f>
        <v/>
      </c>
      <c r="AT63" s="64">
        <f>(1-div_rel)*AS62/Economy!B62</f>
        <v/>
      </c>
      <c r="AU63" s="47">
        <f>AU62*(1-skill_ret)+AE63</f>
        <v/>
      </c>
      <c r="AV63" s="47">
        <f>AV62*(1+union_nat)+AR63</f>
        <v/>
      </c>
      <c r="AW63" s="47">
        <f>AW62*(1+union_nat)+AE63*family_mult</f>
        <v/>
      </c>
      <c r="AX63" s="67">
        <f>V63-(AV63+AW63)/1000000</f>
        <v/>
      </c>
      <c r="AY63" s="47">
        <f>L63*gw_union</f>
        <v/>
      </c>
      <c r="AZ63" s="46" t="n">
        <v>1.083</v>
      </c>
      <c r="BA63" s="47">
        <f>Economy!Q63*AZ63/lf_rate</f>
        <v/>
      </c>
      <c r="BB63" s="64">
        <f>bd_growth*AU62/W62</f>
        <v/>
      </c>
      <c r="BC63" s="64">
        <f>tg_k*MIN(1,Economy!O62/BK62)</f>
        <v/>
      </c>
      <c r="BD63" s="64">
        <f>emu_g*S63</f>
        <v/>
      </c>
      <c r="BE63" s="65">
        <f>BE62*(1-BB63-BC63+BD63)</f>
        <v/>
      </c>
      <c r="BF63" s="46" t="n">
        <v>1</v>
      </c>
      <c r="BG63" s="53">
        <f>AU63*BA63*BE63*(skill_rel-1+skill_spill)/1000000</f>
        <v/>
      </c>
      <c r="BH63" s="53">
        <f>union_disp*(Champions!AP63+Champions!AZ63)*(1-IF(union_resp=2,mkt_cut*S63,0))</f>
        <v/>
      </c>
      <c r="BI63" s="53">
        <f>AY63*BA63*BE63/1000000</f>
        <v/>
      </c>
      <c r="BJ63" s="47">
        <f>V63*Economy!Q63*AZ63</f>
        <v/>
      </c>
      <c r="BK63" s="47">
        <f>MAX(0.3*BJ63,AX63*Economy!Q63*AZ63*BE63*BF63-BG63-BH63-BI63)</f>
        <v/>
      </c>
      <c r="BL63" s="63">
        <f>1-BK63/BJ63</f>
        <v/>
      </c>
      <c r="BM63" s="47">
        <f>MAX(0,BH63-BH62)*1000000/BA63</f>
        <v/>
      </c>
      <c r="BN63" s="47">
        <f>BN62*(1-IF(AND($A63&gt;=1930,$A63&lt;=1932),0,union_reabsorb))+BM63</f>
        <v/>
      </c>
      <c r="BO63" s="59" t="n">
        <v>0.034</v>
      </c>
      <c r="BP63" s="63">
        <f>BO63+BN63/(AX63*1000000*lf_rate)</f>
        <v/>
      </c>
    </row>
    <row r="64">
      <c r="A64" s="58" t="n">
        <v>1904</v>
      </c>
      <c r="B64" s="47">
        <f>Economy!B64*lf_rate</f>
        <v/>
      </c>
      <c r="C64" s="47">
        <f>Economy!O64*1000000/(B64+L64)</f>
        <v/>
      </c>
      <c r="D64" s="47">
        <f>Champions!AP64*1000000/(C64*champ_prem)</f>
        <v/>
      </c>
      <c r="E64" s="47">
        <f>D64*job_mult</f>
        <v/>
      </c>
      <c r="F64" s="47">
        <f>D64+E64</f>
        <v/>
      </c>
      <c r="G64" s="63">
        <f>F64/B64</f>
        <v/>
      </c>
      <c r="H64" s="47">
        <f>F64-F63</f>
        <v/>
      </c>
      <c r="I64" s="63">
        <f>MAX(0.005,pac_u_base*IF(Paths!AC64=1,pac_u_war,1)+(okun*(1-Economy!G64)*(B64+L64)-MAX(0,L63-L64))/B64)</f>
        <v/>
      </c>
      <c r="J64" s="47">
        <f>IF(AND(gw_on=1,$A64&gt;=gw_start),MIN(gw_cap*B63,gw_cover*F63+gw_gen*B63),0)</f>
        <v/>
      </c>
      <c r="K64" s="47">
        <f>L63*gw_conv</f>
        <v/>
      </c>
      <c r="L64" s="47">
        <f>MAX(0,L63-K64+gw_adj*(J64-L63))*MAX(0,1-gw_slump*(1-Economy!G64))</f>
        <v/>
      </c>
      <c r="M64" s="47">
        <f>MAX(0,L64-L63+L63/gw_term)</f>
        <v/>
      </c>
      <c r="N64" s="63">
        <f>L64/B64</f>
        <v/>
      </c>
      <c r="O64" s="53">
        <f>Economy!L64</f>
        <v/>
      </c>
      <c r="P64" s="53">
        <f>O64*gw_wage_share</f>
        <v/>
      </c>
      <c r="Q64" s="53">
        <f>P64*gw_levy</f>
        <v/>
      </c>
      <c r="R64" s="53">
        <f>P64*gw_remit</f>
        <v/>
      </c>
      <c r="S64" s="63">
        <f>IF(union_resp&gt;=1,MIN(1,MAX(0,($A64-resp_start)/(resp_full-resp_start))),0)</f>
        <v/>
      </c>
      <c r="T64" s="67">
        <f>Economy!R63</f>
        <v/>
      </c>
      <c r="U64" s="67">
        <f>MAX(0,T64-gap_base)</f>
        <v/>
      </c>
      <c r="V64" s="68" t="n">
        <v>64.54000000000001</v>
      </c>
      <c r="W64" s="47">
        <f>V64*1000000*lf_rate*union_skill_share</f>
        <v/>
      </c>
      <c r="X64" s="45" t="n">
        <v>118000</v>
      </c>
      <c r="Y64" s="47">
        <f>IF(AND(mig_endo=1,$A64&gt;=talent_start),talent_rate_u*W64*U64*(1-(1-bd_keep)*S64),0)</f>
        <v/>
      </c>
      <c r="Z64" s="47">
        <f>IF(AND(mig_endo=1,$A64&gt;=talent_start),X64*MIN(0.5,talent_share_o*U64)*(1-eu_comp*S64),0)</f>
        <v/>
      </c>
      <c r="AA64" s="45" t="n">
        <v>28000</v>
      </c>
      <c r="AB64" s="47">
        <f>IF(AND(mig_endo=1,$A64&gt;=talent_start),AA64*MIN(0.5,talent_share_a*U64),0)</f>
        <v/>
      </c>
      <c r="AC64" s="47">
        <f>entry_cap*People!B64</f>
        <v/>
      </c>
      <c r="AD64" s="47">
        <f>MIN(AC64,Y64+Z64+AB64)</f>
        <v/>
      </c>
      <c r="AE64" s="47">
        <f>IF(Y64+Z64+AB64&gt;0,AD64*Y64/(Y64+Z64+AB64),0)</f>
        <v/>
      </c>
      <c r="AF64" s="47">
        <f>IF(Y64+Z64+AB64&gt;0,AD64*AB64/(Y64+Z64+AB64),0)</f>
        <v/>
      </c>
      <c r="AG64" s="47">
        <f>AD64*family_mult</f>
        <v/>
      </c>
      <c r="AH64" s="47">
        <f>AH63*(1+Paths!C64)+AG64</f>
        <v/>
      </c>
      <c r="AI64" s="47">
        <f>IF(AND(mig_endo=1,$A64&gt;=talent_start),chain_rate*AH63,0)</f>
        <v/>
      </c>
      <c r="AJ64" s="47">
        <f>IF(AND(mig_endo=1,$A64&gt;=talent_start),IF(H63&gt;0,H63*job_fill,H63*job_return)*job_family,0)</f>
        <v/>
      </c>
      <c r="AK64" s="47">
        <f>K64*gw_conv_family</f>
        <v/>
      </c>
      <c r="AL64" s="47">
        <f>AG64+AI64+AJ64+AK64+AR64</f>
        <v/>
      </c>
      <c r="AM64" s="47">
        <f>AM63*(1-skill_ret)+AD64</f>
        <v/>
      </c>
      <c r="AN64" s="64">
        <f>AM64/B64</f>
        <v/>
      </c>
      <c r="AO64" s="64">
        <f>(skill_rel-1+skill_spill)*AM63/B63-AT64</f>
        <v/>
      </c>
      <c r="AP64" s="64">
        <f>talent_champ*AM63/(skill_base_share*B63)</f>
        <v/>
      </c>
      <c r="AQ64" s="45" t="n">
        <v>968000</v>
      </c>
      <c r="AR64" s="47">
        <f>IF(AND(div_on=1,$A64&gt;=div_start),AQ64*MIN(div_max,div_rate*U64)*(1-div_comp*S64),0)</f>
        <v/>
      </c>
      <c r="AS64" s="47">
        <f>AS63*(1-div_assim)+AR64</f>
        <v/>
      </c>
      <c r="AT64" s="64">
        <f>(1-div_rel)*AS63/Economy!B63</f>
        <v/>
      </c>
      <c r="AU64" s="47">
        <f>AU63*(1-skill_ret)+AE64</f>
        <v/>
      </c>
      <c r="AV64" s="47">
        <f>AV63*(1+union_nat)+AR64</f>
        <v/>
      </c>
      <c r="AW64" s="47">
        <f>AW63*(1+union_nat)+AE64*family_mult</f>
        <v/>
      </c>
      <c r="AX64" s="67">
        <f>V64-(AV64+AW64)/1000000</f>
        <v/>
      </c>
      <c r="AY64" s="47">
        <f>L64*gw_union</f>
        <v/>
      </c>
      <c r="AZ64" s="46" t="n">
        <v>1.079</v>
      </c>
      <c r="BA64" s="47">
        <f>Economy!Q64*AZ64/lf_rate</f>
        <v/>
      </c>
      <c r="BB64" s="64">
        <f>bd_growth*AU63/W63</f>
        <v/>
      </c>
      <c r="BC64" s="64">
        <f>tg_k*MIN(1,Economy!O63/BK63)</f>
        <v/>
      </c>
      <c r="BD64" s="64">
        <f>emu_g*S64</f>
        <v/>
      </c>
      <c r="BE64" s="65">
        <f>BE63*(1-BB64-BC64+BD64)</f>
        <v/>
      </c>
      <c r="BF64" s="46" t="n">
        <v>1</v>
      </c>
      <c r="BG64" s="53">
        <f>AU64*BA64*BE64*(skill_rel-1+skill_spill)/1000000</f>
        <v/>
      </c>
      <c r="BH64" s="53">
        <f>union_disp*(Champions!AP64+Champions!AZ64)*(1-IF(union_resp=2,mkt_cut*S64,0))</f>
        <v/>
      </c>
      <c r="BI64" s="53">
        <f>AY64*BA64*BE64/1000000</f>
        <v/>
      </c>
      <c r="BJ64" s="47">
        <f>V64*Economy!Q64*AZ64</f>
        <v/>
      </c>
      <c r="BK64" s="47">
        <f>MAX(0.3*BJ64,AX64*Economy!Q64*AZ64*BE64*BF64-BG64-BH64-BI64)</f>
        <v/>
      </c>
      <c r="BL64" s="63">
        <f>1-BK64/BJ64</f>
        <v/>
      </c>
      <c r="BM64" s="47">
        <f>MAX(0,BH64-BH63)*1000000/BA64</f>
        <v/>
      </c>
      <c r="BN64" s="47">
        <f>BN63*(1-IF(AND($A64&gt;=1930,$A64&lt;=1932),0,union_reabsorb))+BM64</f>
        <v/>
      </c>
      <c r="BO64" s="59" t="n">
        <v>0.028</v>
      </c>
      <c r="BP64" s="63">
        <f>BO64+BN64/(AX64*1000000*lf_rate)</f>
        <v/>
      </c>
    </row>
    <row r="65">
      <c r="A65" s="58" t="n">
        <v>1905</v>
      </c>
      <c r="B65" s="47">
        <f>Economy!B65*lf_rate</f>
        <v/>
      </c>
      <c r="C65" s="47">
        <f>Economy!O65*1000000/(B65+L65)</f>
        <v/>
      </c>
      <c r="D65" s="47">
        <f>Champions!AP65*1000000/(C65*champ_prem)</f>
        <v/>
      </c>
      <c r="E65" s="47">
        <f>D65*job_mult</f>
        <v/>
      </c>
      <c r="F65" s="47">
        <f>D65+E65</f>
        <v/>
      </c>
      <c r="G65" s="63">
        <f>F65/B65</f>
        <v/>
      </c>
      <c r="H65" s="47">
        <f>F65-F64</f>
        <v/>
      </c>
      <c r="I65" s="63">
        <f>MAX(0.005,pac_u_base*IF(Paths!AC65=1,pac_u_war,1)+(okun*(1-Economy!G65)*(B65+L65)-MAX(0,L64-L65))/B65)</f>
        <v/>
      </c>
      <c r="J65" s="47">
        <f>IF(AND(gw_on=1,$A65&gt;=gw_start),MIN(gw_cap*B64,gw_cover*F64+gw_gen*B64),0)</f>
        <v/>
      </c>
      <c r="K65" s="47">
        <f>L64*gw_conv</f>
        <v/>
      </c>
      <c r="L65" s="47">
        <f>MAX(0,L64-K65+gw_adj*(J65-L64))*MAX(0,1-gw_slump*(1-Economy!G65))</f>
        <v/>
      </c>
      <c r="M65" s="47">
        <f>MAX(0,L65-L64+L64/gw_term)</f>
        <v/>
      </c>
      <c r="N65" s="63">
        <f>L65/B65</f>
        <v/>
      </c>
      <c r="O65" s="53">
        <f>Economy!L65</f>
        <v/>
      </c>
      <c r="P65" s="53">
        <f>O65*gw_wage_share</f>
        <v/>
      </c>
      <c r="Q65" s="53">
        <f>P65*gw_levy</f>
        <v/>
      </c>
      <c r="R65" s="53">
        <f>P65*gw_remit</f>
        <v/>
      </c>
      <c r="S65" s="63">
        <f>IF(union_resp&gt;=1,MIN(1,MAX(0,($A65-resp_start)/(resp_full-resp_start))),0)</f>
        <v/>
      </c>
      <c r="T65" s="67">
        <f>Economy!R64</f>
        <v/>
      </c>
      <c r="U65" s="67">
        <f>MAX(0,T65-gap_base)</f>
        <v/>
      </c>
      <c r="V65" s="68" t="n">
        <v>65.81999999999999</v>
      </c>
      <c r="W65" s="47">
        <f>V65*1000000*lf_rate*union_skill_share</f>
        <v/>
      </c>
      <c r="X65" s="45" t="n">
        <v>123000</v>
      </c>
      <c r="Y65" s="47">
        <f>IF(AND(mig_endo=1,$A65&gt;=talent_start),talent_rate_u*W65*U65*(1-(1-bd_keep)*S65),0)</f>
        <v/>
      </c>
      <c r="Z65" s="47">
        <f>IF(AND(mig_endo=1,$A65&gt;=talent_start),X65*MIN(0.5,talent_share_o*U65)*(1-eu_comp*S65),0)</f>
        <v/>
      </c>
      <c r="AA65" s="45" t="n">
        <v>30000</v>
      </c>
      <c r="AB65" s="47">
        <f>IF(AND(mig_endo=1,$A65&gt;=talent_start),AA65*MIN(0.5,talent_share_a*U65),0)</f>
        <v/>
      </c>
      <c r="AC65" s="47">
        <f>entry_cap*People!B65</f>
        <v/>
      </c>
      <c r="AD65" s="47">
        <f>MIN(AC65,Y65+Z65+AB65)</f>
        <v/>
      </c>
      <c r="AE65" s="47">
        <f>IF(Y65+Z65+AB65&gt;0,AD65*Y65/(Y65+Z65+AB65),0)</f>
        <v/>
      </c>
      <c r="AF65" s="47">
        <f>IF(Y65+Z65+AB65&gt;0,AD65*AB65/(Y65+Z65+AB65),0)</f>
        <v/>
      </c>
      <c r="AG65" s="47">
        <f>AD65*family_mult</f>
        <v/>
      </c>
      <c r="AH65" s="47">
        <f>AH64*(1+Paths!C65)+AG65</f>
        <v/>
      </c>
      <c r="AI65" s="47">
        <f>IF(AND(mig_endo=1,$A65&gt;=talent_start),chain_rate*AH64,0)</f>
        <v/>
      </c>
      <c r="AJ65" s="47">
        <f>IF(AND(mig_endo=1,$A65&gt;=talent_start),IF(H64&gt;0,H64*job_fill,H64*job_return)*job_family,0)</f>
        <v/>
      </c>
      <c r="AK65" s="47">
        <f>K65*gw_conv_family</f>
        <v/>
      </c>
      <c r="AL65" s="47">
        <f>AG65+AI65+AJ65+AK65+AR65</f>
        <v/>
      </c>
      <c r="AM65" s="47">
        <f>AM64*(1-skill_ret)+AD65</f>
        <v/>
      </c>
      <c r="AN65" s="64">
        <f>AM65/B65</f>
        <v/>
      </c>
      <c r="AO65" s="64">
        <f>(skill_rel-1+skill_spill)*AM64/B64-AT65</f>
        <v/>
      </c>
      <c r="AP65" s="64">
        <f>talent_champ*AM64/(skill_base_share*B64)</f>
        <v/>
      </c>
      <c r="AQ65" s="45" t="n">
        <v>1075000</v>
      </c>
      <c r="AR65" s="47">
        <f>IF(AND(div_on=1,$A65&gt;=div_start),AQ65*MIN(div_max,div_rate*U65)*(1-div_comp*S65),0)</f>
        <v/>
      </c>
      <c r="AS65" s="47">
        <f>AS64*(1-div_assim)+AR65</f>
        <v/>
      </c>
      <c r="AT65" s="64">
        <f>(1-div_rel)*AS64/Economy!B64</f>
        <v/>
      </c>
      <c r="AU65" s="47">
        <f>AU64*(1-skill_ret)+AE65</f>
        <v/>
      </c>
      <c r="AV65" s="47">
        <f>AV64*(1+union_nat)+AR65</f>
        <v/>
      </c>
      <c r="AW65" s="47">
        <f>AW64*(1+union_nat)+AE65*family_mult</f>
        <v/>
      </c>
      <c r="AX65" s="67">
        <f>V65-(AV65+AW65)/1000000</f>
        <v/>
      </c>
      <c r="AY65" s="47">
        <f>L65*gw_union</f>
        <v/>
      </c>
      <c r="AZ65" s="46" t="n">
        <v>1.076</v>
      </c>
      <c r="BA65" s="47">
        <f>Economy!Q65*AZ65/lf_rate</f>
        <v/>
      </c>
      <c r="BB65" s="64">
        <f>bd_growth*AU64/W64</f>
        <v/>
      </c>
      <c r="BC65" s="64">
        <f>tg_k*MIN(1,Economy!O64/BK64)</f>
        <v/>
      </c>
      <c r="BD65" s="64">
        <f>emu_g*S65</f>
        <v/>
      </c>
      <c r="BE65" s="65">
        <f>BE64*(1-BB65-BC65+BD65)</f>
        <v/>
      </c>
      <c r="BF65" s="46" t="n">
        <v>1</v>
      </c>
      <c r="BG65" s="53">
        <f>AU65*BA65*BE65*(skill_rel-1+skill_spill)/1000000</f>
        <v/>
      </c>
      <c r="BH65" s="53">
        <f>union_disp*(Champions!AP65+Champions!AZ65)*(1-IF(union_resp=2,mkt_cut*S65,0))</f>
        <v/>
      </c>
      <c r="BI65" s="53">
        <f>AY65*BA65*BE65/1000000</f>
        <v/>
      </c>
      <c r="BJ65" s="47">
        <f>V65*Economy!Q65*AZ65</f>
        <v/>
      </c>
      <c r="BK65" s="47">
        <f>MAX(0.3*BJ65,AX65*Economy!Q65*AZ65*BE65*BF65-BG65-BH65-BI65)</f>
        <v/>
      </c>
      <c r="BL65" s="63">
        <f>1-BK65/BJ65</f>
        <v/>
      </c>
      <c r="BM65" s="47">
        <f>MAX(0,BH65-BH64)*1000000/BA65</f>
        <v/>
      </c>
      <c r="BN65" s="47">
        <f>BN64*(1-IF(AND($A65&gt;=1930,$A65&lt;=1932),0,union_reabsorb))+BM65</f>
        <v/>
      </c>
      <c r="BO65" s="59" t="n">
        <v>0.023</v>
      </c>
      <c r="BP65" s="63">
        <f>BO65+BN65/(AX65*1000000*lf_rate)</f>
        <v/>
      </c>
    </row>
    <row r="66">
      <c r="A66" s="58" t="n">
        <v>1906</v>
      </c>
      <c r="B66" s="47">
        <f>Economy!B66*lf_rate</f>
        <v/>
      </c>
      <c r="C66" s="47">
        <f>Economy!O66*1000000/(B66+L66)</f>
        <v/>
      </c>
      <c r="D66" s="47">
        <f>Champions!AP66*1000000/(C66*champ_prem)</f>
        <v/>
      </c>
      <c r="E66" s="47">
        <f>D66*job_mult</f>
        <v/>
      </c>
      <c r="F66" s="47">
        <f>D66+E66</f>
        <v/>
      </c>
      <c r="G66" s="63">
        <f>F66/B66</f>
        <v/>
      </c>
      <c r="H66" s="47">
        <f>F66-F65</f>
        <v/>
      </c>
      <c r="I66" s="63">
        <f>MAX(0.005,pac_u_base*IF(Paths!AC66=1,pac_u_war,1)+(okun*(1-Economy!G66)*(B66+L66)-MAX(0,L65-L66))/B66)</f>
        <v/>
      </c>
      <c r="J66" s="47">
        <f>IF(AND(gw_on=1,$A66&gt;=gw_start),MIN(gw_cap*B65,gw_cover*F65+gw_gen*B65),0)</f>
        <v/>
      </c>
      <c r="K66" s="47">
        <f>L65*gw_conv</f>
        <v/>
      </c>
      <c r="L66" s="47">
        <f>MAX(0,L65-K66+gw_adj*(J66-L65))*MAX(0,1-gw_slump*(1-Economy!G66))</f>
        <v/>
      </c>
      <c r="M66" s="47">
        <f>MAX(0,L66-L65+L65/gw_term)</f>
        <v/>
      </c>
      <c r="N66" s="63">
        <f>L66/B66</f>
        <v/>
      </c>
      <c r="O66" s="53">
        <f>Economy!L66</f>
        <v/>
      </c>
      <c r="P66" s="53">
        <f>O66*gw_wage_share</f>
        <v/>
      </c>
      <c r="Q66" s="53">
        <f>P66*gw_levy</f>
        <v/>
      </c>
      <c r="R66" s="53">
        <f>P66*gw_remit</f>
        <v/>
      </c>
      <c r="S66" s="63">
        <f>IF(union_resp&gt;=1,MIN(1,MAX(0,($A66-resp_start)/(resp_full-resp_start))),0)</f>
        <v/>
      </c>
      <c r="T66" s="67">
        <f>Economy!R65</f>
        <v/>
      </c>
      <c r="U66" s="67">
        <f>MAX(0,T66-gap_base)</f>
        <v/>
      </c>
      <c r="V66" s="68" t="n">
        <v>67.11</v>
      </c>
      <c r="W66" s="47">
        <f>V66*1000000*lf_rate*union_skill_share</f>
        <v/>
      </c>
      <c r="X66" s="45" t="n">
        <v>128000</v>
      </c>
      <c r="Y66" s="47">
        <f>IF(AND(mig_endo=1,$A66&gt;=talent_start),talent_rate_u*W66*U66*(1-(1-bd_keep)*S66),0)</f>
        <v/>
      </c>
      <c r="Z66" s="47">
        <f>IF(AND(mig_endo=1,$A66&gt;=talent_start),X66*MIN(0.5,talent_share_o*U66)*(1-eu_comp*S66),0)</f>
        <v/>
      </c>
      <c r="AA66" s="45" t="n">
        <v>32000</v>
      </c>
      <c r="AB66" s="47">
        <f>IF(AND(mig_endo=1,$A66&gt;=talent_start),AA66*MIN(0.5,talent_share_a*U66),0)</f>
        <v/>
      </c>
      <c r="AC66" s="47">
        <f>entry_cap*People!B66</f>
        <v/>
      </c>
      <c r="AD66" s="47">
        <f>MIN(AC66,Y66+Z66+AB66)</f>
        <v/>
      </c>
      <c r="AE66" s="47">
        <f>IF(Y66+Z66+AB66&gt;0,AD66*Y66/(Y66+Z66+AB66),0)</f>
        <v/>
      </c>
      <c r="AF66" s="47">
        <f>IF(Y66+Z66+AB66&gt;0,AD66*AB66/(Y66+Z66+AB66),0)</f>
        <v/>
      </c>
      <c r="AG66" s="47">
        <f>AD66*family_mult</f>
        <v/>
      </c>
      <c r="AH66" s="47">
        <f>AH65*(1+Paths!C66)+AG66</f>
        <v/>
      </c>
      <c r="AI66" s="47">
        <f>IF(AND(mig_endo=1,$A66&gt;=talent_start),chain_rate*AH65,0)</f>
        <v/>
      </c>
      <c r="AJ66" s="47">
        <f>IF(AND(mig_endo=1,$A66&gt;=talent_start),IF(H65&gt;0,H65*job_fill,H65*job_return)*job_family,0)</f>
        <v/>
      </c>
      <c r="AK66" s="47">
        <f>K66*gw_conv_family</f>
        <v/>
      </c>
      <c r="AL66" s="47">
        <f>AG66+AI66+AJ66+AK66+AR66</f>
        <v/>
      </c>
      <c r="AM66" s="47">
        <f>AM65*(1-skill_ret)+AD66</f>
        <v/>
      </c>
      <c r="AN66" s="64">
        <f>AM66/B66</f>
        <v/>
      </c>
      <c r="AO66" s="64">
        <f>(skill_rel-1+skill_spill)*AM65/B65-AT66</f>
        <v/>
      </c>
      <c r="AP66" s="64">
        <f>talent_champ*AM65/(skill_base_share*B65)</f>
        <v/>
      </c>
      <c r="AQ66" s="45" t="n">
        <v>1182000</v>
      </c>
      <c r="AR66" s="47">
        <f>IF(AND(div_on=1,$A66&gt;=div_start),AQ66*MIN(div_max,div_rate*U66)*(1-div_comp*S66),0)</f>
        <v/>
      </c>
      <c r="AS66" s="47">
        <f>AS65*(1-div_assim)+AR66</f>
        <v/>
      </c>
      <c r="AT66" s="64">
        <f>(1-div_rel)*AS65/Economy!B65</f>
        <v/>
      </c>
      <c r="AU66" s="47">
        <f>AU65*(1-skill_ret)+AE66</f>
        <v/>
      </c>
      <c r="AV66" s="47">
        <f>AV65*(1+union_nat)+AR66</f>
        <v/>
      </c>
      <c r="AW66" s="47">
        <f>AW65*(1+union_nat)+AE66*family_mult</f>
        <v/>
      </c>
      <c r="AX66" s="67">
        <f>V66-(AV66+AW66)/1000000</f>
        <v/>
      </c>
      <c r="AY66" s="47">
        <f>L66*gw_union</f>
        <v/>
      </c>
      <c r="AZ66" s="46" t="n">
        <v>1.073</v>
      </c>
      <c r="BA66" s="47">
        <f>Economy!Q66*AZ66/lf_rate</f>
        <v/>
      </c>
      <c r="BB66" s="64">
        <f>bd_growth*AU65/W65</f>
        <v/>
      </c>
      <c r="BC66" s="64">
        <f>tg_k*MIN(1,Economy!O65/BK65)</f>
        <v/>
      </c>
      <c r="BD66" s="64">
        <f>emu_g*S66</f>
        <v/>
      </c>
      <c r="BE66" s="65">
        <f>BE65*(1-BB66-BC66+BD66)</f>
        <v/>
      </c>
      <c r="BF66" s="46" t="n">
        <v>1</v>
      </c>
      <c r="BG66" s="53">
        <f>AU66*BA66*BE66*(skill_rel-1+skill_spill)/1000000</f>
        <v/>
      </c>
      <c r="BH66" s="53">
        <f>union_disp*(Champions!AP66+Champions!AZ66)*(1-IF(union_resp=2,mkt_cut*S66,0))</f>
        <v/>
      </c>
      <c r="BI66" s="53">
        <f>AY66*BA66*BE66/1000000</f>
        <v/>
      </c>
      <c r="BJ66" s="47">
        <f>V66*Economy!Q66*AZ66</f>
        <v/>
      </c>
      <c r="BK66" s="47">
        <f>MAX(0.3*BJ66,AX66*Economy!Q66*AZ66*BE66*BF66-BG66-BH66-BI66)</f>
        <v/>
      </c>
      <c r="BL66" s="63">
        <f>1-BK66/BJ66</f>
        <v/>
      </c>
      <c r="BM66" s="47">
        <f>MAX(0,BH66-BH65)*1000000/BA66</f>
        <v/>
      </c>
      <c r="BN66" s="47">
        <f>BN65*(1-IF(AND($A66&gt;=1930,$A66&lt;=1932),0,union_reabsorb))+BM66</f>
        <v/>
      </c>
      <c r="BO66" s="59" t="n">
        <v>0.017</v>
      </c>
      <c r="BP66" s="63">
        <f>BO66+BN66/(AX66*1000000*lf_rate)</f>
        <v/>
      </c>
    </row>
    <row r="67">
      <c r="A67" s="58" t="n">
        <v>1907</v>
      </c>
      <c r="B67" s="47">
        <f>Economy!B67*lf_rate</f>
        <v/>
      </c>
      <c r="C67" s="47">
        <f>Economy!O67*1000000/(B67+L67)</f>
        <v/>
      </c>
      <c r="D67" s="47">
        <f>Champions!AP67*1000000/(C67*champ_prem)</f>
        <v/>
      </c>
      <c r="E67" s="47">
        <f>D67*job_mult</f>
        <v/>
      </c>
      <c r="F67" s="47">
        <f>D67+E67</f>
        <v/>
      </c>
      <c r="G67" s="63">
        <f>F67/B67</f>
        <v/>
      </c>
      <c r="H67" s="47">
        <f>F67-F66</f>
        <v/>
      </c>
      <c r="I67" s="63">
        <f>MAX(0.005,pac_u_base*IF(Paths!AC67=1,pac_u_war,1)+(okun*(1-Economy!G67)*(B67+L67)-MAX(0,L66-L67))/B67)</f>
        <v/>
      </c>
      <c r="J67" s="47">
        <f>IF(AND(gw_on=1,$A67&gt;=gw_start),MIN(gw_cap*B66,gw_cover*F66+gw_gen*B66),0)</f>
        <v/>
      </c>
      <c r="K67" s="47">
        <f>L66*gw_conv</f>
        <v/>
      </c>
      <c r="L67" s="47">
        <f>MAX(0,L66-K67+gw_adj*(J67-L66))*MAX(0,1-gw_slump*(1-Economy!G67))</f>
        <v/>
      </c>
      <c r="M67" s="47">
        <f>MAX(0,L67-L66+L66/gw_term)</f>
        <v/>
      </c>
      <c r="N67" s="63">
        <f>L67/B67</f>
        <v/>
      </c>
      <c r="O67" s="53">
        <f>Economy!L67</f>
        <v/>
      </c>
      <c r="P67" s="53">
        <f>O67*gw_wage_share</f>
        <v/>
      </c>
      <c r="Q67" s="53">
        <f>P67*gw_levy</f>
        <v/>
      </c>
      <c r="R67" s="53">
        <f>P67*gw_remit</f>
        <v/>
      </c>
      <c r="S67" s="63">
        <f>IF(union_resp&gt;=1,MIN(1,MAX(0,($A67-resp_start)/(resp_full-resp_start))),0)</f>
        <v/>
      </c>
      <c r="T67" s="67">
        <f>Economy!R66</f>
        <v/>
      </c>
      <c r="U67" s="67">
        <f>MAX(0,T67-gap_base)</f>
        <v/>
      </c>
      <c r="V67" s="68" t="n">
        <v>68.39</v>
      </c>
      <c r="W67" s="47">
        <f>V67*1000000*lf_rate*union_skill_share</f>
        <v/>
      </c>
      <c r="X67" s="45" t="n">
        <v>132000</v>
      </c>
      <c r="Y67" s="47">
        <f>IF(AND(mig_endo=1,$A67&gt;=talent_start),talent_rate_u*W67*U67*(1-(1-bd_keep)*S67),0)</f>
        <v/>
      </c>
      <c r="Z67" s="47">
        <f>IF(AND(mig_endo=1,$A67&gt;=talent_start),X67*MIN(0.5,talent_share_o*U67)*(1-eu_comp*S67),0)</f>
        <v/>
      </c>
      <c r="AA67" s="45" t="n">
        <v>35000</v>
      </c>
      <c r="AB67" s="47">
        <f>IF(AND(mig_endo=1,$A67&gt;=talent_start),AA67*MIN(0.5,talent_share_a*U67),0)</f>
        <v/>
      </c>
      <c r="AC67" s="47">
        <f>entry_cap*People!B67</f>
        <v/>
      </c>
      <c r="AD67" s="47">
        <f>MIN(AC67,Y67+Z67+AB67)</f>
        <v/>
      </c>
      <c r="AE67" s="47">
        <f>IF(Y67+Z67+AB67&gt;0,AD67*Y67/(Y67+Z67+AB67),0)</f>
        <v/>
      </c>
      <c r="AF67" s="47">
        <f>IF(Y67+Z67+AB67&gt;0,AD67*AB67/(Y67+Z67+AB67),0)</f>
        <v/>
      </c>
      <c r="AG67" s="47">
        <f>AD67*family_mult</f>
        <v/>
      </c>
      <c r="AH67" s="47">
        <f>AH66*(1+Paths!C67)+AG67</f>
        <v/>
      </c>
      <c r="AI67" s="47">
        <f>IF(AND(mig_endo=1,$A67&gt;=talent_start),chain_rate*AH66,0)</f>
        <v/>
      </c>
      <c r="AJ67" s="47">
        <f>IF(AND(mig_endo=1,$A67&gt;=talent_start),IF(H66&gt;0,H66*job_fill,H66*job_return)*job_family,0)</f>
        <v/>
      </c>
      <c r="AK67" s="47">
        <f>K67*gw_conv_family</f>
        <v/>
      </c>
      <c r="AL67" s="47">
        <f>AG67+AI67+AJ67+AK67+AR67</f>
        <v/>
      </c>
      <c r="AM67" s="47">
        <f>AM66*(1-skill_ret)+AD67</f>
        <v/>
      </c>
      <c r="AN67" s="64">
        <f>AM67/B67</f>
        <v/>
      </c>
      <c r="AO67" s="64">
        <f>(skill_rel-1+skill_spill)*AM66/B66-AT67</f>
        <v/>
      </c>
      <c r="AP67" s="64">
        <f>talent_champ*AM66/(skill_base_share*B66)</f>
        <v/>
      </c>
      <c r="AQ67" s="45" t="n">
        <v>1290000</v>
      </c>
      <c r="AR67" s="47">
        <f>IF(AND(div_on=1,$A67&gt;=div_start),AQ67*MIN(div_max,div_rate*U67)*(1-div_comp*S67),0)</f>
        <v/>
      </c>
      <c r="AS67" s="47">
        <f>AS66*(1-div_assim)+AR67</f>
        <v/>
      </c>
      <c r="AT67" s="64">
        <f>(1-div_rel)*AS66/Economy!B66</f>
        <v/>
      </c>
      <c r="AU67" s="47">
        <f>AU66*(1-skill_ret)+AE67</f>
        <v/>
      </c>
      <c r="AV67" s="47">
        <f>AV66*(1+union_nat)+AR67</f>
        <v/>
      </c>
      <c r="AW67" s="47">
        <f>AW66*(1+union_nat)+AE67*family_mult</f>
        <v/>
      </c>
      <c r="AX67" s="67">
        <f>V67-(AV67+AW67)/1000000</f>
        <v/>
      </c>
      <c r="AY67" s="47">
        <f>L67*gw_union</f>
        <v/>
      </c>
      <c r="AZ67" s="46" t="n">
        <v>1.07</v>
      </c>
      <c r="BA67" s="47">
        <f>Economy!Q67*AZ67/lf_rate</f>
        <v/>
      </c>
      <c r="BB67" s="64">
        <f>bd_growth*AU66/W66</f>
        <v/>
      </c>
      <c r="BC67" s="64">
        <f>tg_k*MIN(1,Economy!O66/BK66)</f>
        <v/>
      </c>
      <c r="BD67" s="64">
        <f>emu_g*S67</f>
        <v/>
      </c>
      <c r="BE67" s="65">
        <f>BE66*(1-BB67-BC67+BD67)</f>
        <v/>
      </c>
      <c r="BF67" s="46" t="n">
        <v>1</v>
      </c>
      <c r="BG67" s="53">
        <f>AU67*BA67*BE67*(skill_rel-1+skill_spill)/1000000</f>
        <v/>
      </c>
      <c r="BH67" s="53">
        <f>union_disp*(Champions!AP67+Champions!AZ67)*(1-IF(union_resp=2,mkt_cut*S67,0))</f>
        <v/>
      </c>
      <c r="BI67" s="53">
        <f>AY67*BA67*BE67/1000000</f>
        <v/>
      </c>
      <c r="BJ67" s="47">
        <f>V67*Economy!Q67*AZ67</f>
        <v/>
      </c>
      <c r="BK67" s="47">
        <f>MAX(0.3*BJ67,AX67*Economy!Q67*AZ67*BE67*BF67-BG67-BH67-BI67)</f>
        <v/>
      </c>
      <c r="BL67" s="63">
        <f>1-BK67/BJ67</f>
        <v/>
      </c>
      <c r="BM67" s="47">
        <f>MAX(0,BH67-BH66)*1000000/BA67</f>
        <v/>
      </c>
      <c r="BN67" s="47">
        <f>BN66*(1-IF(AND($A67&gt;=1930,$A67&lt;=1932),0,union_reabsorb))+BM67</f>
        <v/>
      </c>
      <c r="BO67" s="59" t="n">
        <v>0.028</v>
      </c>
      <c r="BP67" s="63">
        <f>BO67+BN67/(AX67*1000000*lf_rate)</f>
        <v/>
      </c>
    </row>
    <row r="68">
      <c r="A68" s="58" t="n">
        <v>1908</v>
      </c>
      <c r="B68" s="47">
        <f>Economy!B68*lf_rate</f>
        <v/>
      </c>
      <c r="C68" s="47">
        <f>Economy!O68*1000000/(B68+L68)</f>
        <v/>
      </c>
      <c r="D68" s="47">
        <f>Champions!AP68*1000000/(C68*champ_prem)</f>
        <v/>
      </c>
      <c r="E68" s="47">
        <f>D68*job_mult</f>
        <v/>
      </c>
      <c r="F68" s="47">
        <f>D68+E68</f>
        <v/>
      </c>
      <c r="G68" s="63">
        <f>F68/B68</f>
        <v/>
      </c>
      <c r="H68" s="47">
        <f>F68-F67</f>
        <v/>
      </c>
      <c r="I68" s="63">
        <f>MAX(0.005,pac_u_base*IF(Paths!AC68=1,pac_u_war,1)+(okun*(1-Economy!G68)*(B68+L68)-MAX(0,L67-L68))/B68)</f>
        <v/>
      </c>
      <c r="J68" s="47">
        <f>IF(AND(gw_on=1,$A68&gt;=gw_start),MIN(gw_cap*B67,gw_cover*F67+gw_gen*B67),0)</f>
        <v/>
      </c>
      <c r="K68" s="47">
        <f>L67*gw_conv</f>
        <v/>
      </c>
      <c r="L68" s="47">
        <f>MAX(0,L67-K68+gw_adj*(J68-L67))*MAX(0,1-gw_slump*(1-Economy!G68))</f>
        <v/>
      </c>
      <c r="M68" s="47">
        <f>MAX(0,L68-L67+L67/gw_term)</f>
        <v/>
      </c>
      <c r="N68" s="63">
        <f>L68/B68</f>
        <v/>
      </c>
      <c r="O68" s="53">
        <f>Economy!L68</f>
        <v/>
      </c>
      <c r="P68" s="53">
        <f>O68*gw_wage_share</f>
        <v/>
      </c>
      <c r="Q68" s="53">
        <f>P68*gw_levy</f>
        <v/>
      </c>
      <c r="R68" s="53">
        <f>P68*gw_remit</f>
        <v/>
      </c>
      <c r="S68" s="63">
        <f>IF(union_resp&gt;=1,MIN(1,MAX(0,($A68-resp_start)/(resp_full-resp_start))),0)</f>
        <v/>
      </c>
      <c r="T68" s="67">
        <f>Economy!R67</f>
        <v/>
      </c>
      <c r="U68" s="67">
        <f>MAX(0,T68-gap_base)</f>
        <v/>
      </c>
      <c r="V68" s="68" t="n">
        <v>69.68000000000001</v>
      </c>
      <c r="W68" s="47">
        <f>V68*1000000*lf_rate*union_skill_share</f>
        <v/>
      </c>
      <c r="X68" s="45" t="n">
        <v>137000</v>
      </c>
      <c r="Y68" s="47">
        <f>IF(AND(mig_endo=1,$A68&gt;=talent_start),talent_rate_u*W68*U68*(1-(1-bd_keep)*S68),0)</f>
        <v/>
      </c>
      <c r="Z68" s="47">
        <f>IF(AND(mig_endo=1,$A68&gt;=talent_start),X68*MIN(0.5,talent_share_o*U68)*(1-eu_comp*S68),0)</f>
        <v/>
      </c>
      <c r="AA68" s="45" t="n">
        <v>38000</v>
      </c>
      <c r="AB68" s="47">
        <f>IF(AND(mig_endo=1,$A68&gt;=talent_start),AA68*MIN(0.5,talent_share_a*U68),0)</f>
        <v/>
      </c>
      <c r="AC68" s="47">
        <f>entry_cap*People!B68</f>
        <v/>
      </c>
      <c r="AD68" s="47">
        <f>MIN(AC68,Y68+Z68+AB68)</f>
        <v/>
      </c>
      <c r="AE68" s="47">
        <f>IF(Y68+Z68+AB68&gt;0,AD68*Y68/(Y68+Z68+AB68),0)</f>
        <v/>
      </c>
      <c r="AF68" s="47">
        <f>IF(Y68+Z68+AB68&gt;0,AD68*AB68/(Y68+Z68+AB68),0)</f>
        <v/>
      </c>
      <c r="AG68" s="47">
        <f>AD68*family_mult</f>
        <v/>
      </c>
      <c r="AH68" s="47">
        <f>AH67*(1+Paths!C68)+AG68</f>
        <v/>
      </c>
      <c r="AI68" s="47">
        <f>IF(AND(mig_endo=1,$A68&gt;=talent_start),chain_rate*AH67,0)</f>
        <v/>
      </c>
      <c r="AJ68" s="47">
        <f>IF(AND(mig_endo=1,$A68&gt;=talent_start),IF(H67&gt;0,H67*job_fill,H67*job_return)*job_family,0)</f>
        <v/>
      </c>
      <c r="AK68" s="47">
        <f>K68*gw_conv_family</f>
        <v/>
      </c>
      <c r="AL68" s="47">
        <f>AG68+AI68+AJ68+AK68+AR68</f>
        <v/>
      </c>
      <c r="AM68" s="47">
        <f>AM67*(1-skill_ret)+AD68</f>
        <v/>
      </c>
      <c r="AN68" s="64">
        <f>AM68/B68</f>
        <v/>
      </c>
      <c r="AO68" s="64">
        <f>(skill_rel-1+skill_spill)*AM67/B67-AT68</f>
        <v/>
      </c>
      <c r="AP68" s="64">
        <f>talent_champ*AM67/(skill_base_share*B67)</f>
        <v/>
      </c>
      <c r="AQ68" s="45" t="n">
        <v>780000</v>
      </c>
      <c r="AR68" s="47">
        <f>IF(AND(div_on=1,$A68&gt;=div_start),AQ68*MIN(div_max,div_rate*U68)*(1-div_comp*S68),0)</f>
        <v/>
      </c>
      <c r="AS68" s="47">
        <f>AS67*(1-div_assim)+AR68</f>
        <v/>
      </c>
      <c r="AT68" s="64">
        <f>(1-div_rel)*AS67/Economy!B67</f>
        <v/>
      </c>
      <c r="AU68" s="47">
        <f>AU67*(1-skill_ret)+AE68</f>
        <v/>
      </c>
      <c r="AV68" s="47">
        <f>AV67*(1+union_nat)+AR68</f>
        <v/>
      </c>
      <c r="AW68" s="47">
        <f>AW67*(1+union_nat)+AE68*family_mult</f>
        <v/>
      </c>
      <c r="AX68" s="67">
        <f>V68-(AV68+AW68)/1000000</f>
        <v/>
      </c>
      <c r="AY68" s="47">
        <f>L68*gw_union</f>
        <v/>
      </c>
      <c r="AZ68" s="46" t="n">
        <v>1.067</v>
      </c>
      <c r="BA68" s="47">
        <f>Economy!Q68*AZ68/lf_rate</f>
        <v/>
      </c>
      <c r="BB68" s="64">
        <f>bd_growth*AU67/W67</f>
        <v/>
      </c>
      <c r="BC68" s="64">
        <f>tg_k*MIN(1,Economy!O67/BK67)</f>
        <v/>
      </c>
      <c r="BD68" s="64">
        <f>emu_g*S68</f>
        <v/>
      </c>
      <c r="BE68" s="65">
        <f>BE67*(1-BB68-BC68+BD68)</f>
        <v/>
      </c>
      <c r="BF68" s="46" t="n">
        <v>1</v>
      </c>
      <c r="BG68" s="53">
        <f>AU68*BA68*BE68*(skill_rel-1+skill_spill)/1000000</f>
        <v/>
      </c>
      <c r="BH68" s="53">
        <f>union_disp*(Champions!AP68+Champions!AZ68)*(1-IF(union_resp=2,mkt_cut*S68,0))</f>
        <v/>
      </c>
      <c r="BI68" s="53">
        <f>AY68*BA68*BE68/1000000</f>
        <v/>
      </c>
      <c r="BJ68" s="47">
        <f>V68*Economy!Q68*AZ68</f>
        <v/>
      </c>
      <c r="BK68" s="47">
        <f>MAX(0.3*BJ68,AX68*Economy!Q68*AZ68*BE68*BF68-BG68-BH68-BI68)</f>
        <v/>
      </c>
      <c r="BL68" s="63">
        <f>1-BK68/BJ68</f>
        <v/>
      </c>
      <c r="BM68" s="47">
        <f>MAX(0,BH68-BH67)*1000000/BA68</f>
        <v/>
      </c>
      <c r="BN68" s="47">
        <f>BN67*(1-IF(AND($A68&gt;=1930,$A68&lt;=1932),0,union_reabsorb))+BM68</f>
        <v/>
      </c>
      <c r="BO68" s="59" t="n">
        <v>0.08</v>
      </c>
      <c r="BP68" s="63">
        <f>BO68+BN68/(AX68*1000000*lf_rate)</f>
        <v/>
      </c>
    </row>
    <row r="69">
      <c r="A69" s="58" t="n">
        <v>1909</v>
      </c>
      <c r="B69" s="47">
        <f>Economy!B69*lf_rate</f>
        <v/>
      </c>
      <c r="C69" s="47">
        <f>Economy!O69*1000000/(B69+L69)</f>
        <v/>
      </c>
      <c r="D69" s="47">
        <f>Champions!AP69*1000000/(C69*champ_prem)</f>
        <v/>
      </c>
      <c r="E69" s="47">
        <f>D69*job_mult</f>
        <v/>
      </c>
      <c r="F69" s="47">
        <f>D69+E69</f>
        <v/>
      </c>
      <c r="G69" s="63">
        <f>F69/B69</f>
        <v/>
      </c>
      <c r="H69" s="47">
        <f>F69-F68</f>
        <v/>
      </c>
      <c r="I69" s="63">
        <f>MAX(0.005,pac_u_base*IF(Paths!AC69=1,pac_u_war,1)+(okun*(1-Economy!G69)*(B69+L69)-MAX(0,L68-L69))/B69)</f>
        <v/>
      </c>
      <c r="J69" s="47">
        <f>IF(AND(gw_on=1,$A69&gt;=gw_start),MIN(gw_cap*B68,gw_cover*F68+gw_gen*B68),0)</f>
        <v/>
      </c>
      <c r="K69" s="47">
        <f>L68*gw_conv</f>
        <v/>
      </c>
      <c r="L69" s="47">
        <f>MAX(0,L68-K69+gw_adj*(J69-L68))*MAX(0,1-gw_slump*(1-Economy!G69))</f>
        <v/>
      </c>
      <c r="M69" s="47">
        <f>MAX(0,L69-L68+L68/gw_term)</f>
        <v/>
      </c>
      <c r="N69" s="63">
        <f>L69/B69</f>
        <v/>
      </c>
      <c r="O69" s="53">
        <f>Economy!L69</f>
        <v/>
      </c>
      <c r="P69" s="53">
        <f>O69*gw_wage_share</f>
        <v/>
      </c>
      <c r="Q69" s="53">
        <f>P69*gw_levy</f>
        <v/>
      </c>
      <c r="R69" s="53">
        <f>P69*gw_remit</f>
        <v/>
      </c>
      <c r="S69" s="63">
        <f>IF(union_resp&gt;=1,MIN(1,MAX(0,($A69-resp_start)/(resp_full-resp_start))),0)</f>
        <v/>
      </c>
      <c r="T69" s="67">
        <f>Economy!R68</f>
        <v/>
      </c>
      <c r="U69" s="67">
        <f>MAX(0,T69-gap_base)</f>
        <v/>
      </c>
      <c r="V69" s="68" t="n">
        <v>70.95999999999999</v>
      </c>
      <c r="W69" s="47">
        <f>V69*1000000*lf_rate*union_skill_share</f>
        <v/>
      </c>
      <c r="X69" s="45" t="n">
        <v>142000</v>
      </c>
      <c r="Y69" s="47">
        <f>IF(AND(mig_endo=1,$A69&gt;=talent_start),talent_rate_u*W69*U69*(1-(1-bd_keep)*S69),0)</f>
        <v/>
      </c>
      <c r="Z69" s="47">
        <f>IF(AND(mig_endo=1,$A69&gt;=talent_start),X69*MIN(0.5,talent_share_o*U69)*(1-eu_comp*S69),0)</f>
        <v/>
      </c>
      <c r="AA69" s="45" t="n">
        <v>40000</v>
      </c>
      <c r="AB69" s="47">
        <f>IF(AND(mig_endo=1,$A69&gt;=talent_start),AA69*MIN(0.5,talent_share_a*U69),0)</f>
        <v/>
      </c>
      <c r="AC69" s="47">
        <f>entry_cap*People!B69</f>
        <v/>
      </c>
      <c r="AD69" s="47">
        <f>MIN(AC69,Y69+Z69+AB69)</f>
        <v/>
      </c>
      <c r="AE69" s="47">
        <f>IF(Y69+Z69+AB69&gt;0,AD69*Y69/(Y69+Z69+AB69),0)</f>
        <v/>
      </c>
      <c r="AF69" s="47">
        <f>IF(Y69+Z69+AB69&gt;0,AD69*AB69/(Y69+Z69+AB69),0)</f>
        <v/>
      </c>
      <c r="AG69" s="47">
        <f>AD69*family_mult</f>
        <v/>
      </c>
      <c r="AH69" s="47">
        <f>AH68*(1+Paths!C69)+AG69</f>
        <v/>
      </c>
      <c r="AI69" s="47">
        <f>IF(AND(mig_endo=1,$A69&gt;=talent_start),chain_rate*AH68,0)</f>
        <v/>
      </c>
      <c r="AJ69" s="47">
        <f>IF(AND(mig_endo=1,$A69&gt;=talent_start),IF(H68&gt;0,H68*job_fill,H68*job_return)*job_family,0)</f>
        <v/>
      </c>
      <c r="AK69" s="47">
        <f>K69*gw_conv_family</f>
        <v/>
      </c>
      <c r="AL69" s="47">
        <f>AG69+AI69+AJ69+AK69+AR69</f>
        <v/>
      </c>
      <c r="AM69" s="47">
        <f>AM68*(1-skill_ret)+AD69</f>
        <v/>
      </c>
      <c r="AN69" s="64">
        <f>AM69/B69</f>
        <v/>
      </c>
      <c r="AO69" s="64">
        <f>(skill_rel-1+skill_spill)*AM68/B68-AT69</f>
        <v/>
      </c>
      <c r="AP69" s="64">
        <f>talent_champ*AM68/(skill_base_share*B68)</f>
        <v/>
      </c>
      <c r="AQ69" s="45" t="n">
        <v>910000</v>
      </c>
      <c r="AR69" s="47">
        <f>IF(AND(div_on=1,$A69&gt;=div_start),AQ69*MIN(div_max,div_rate*U69)*(1-div_comp*S69),0)</f>
        <v/>
      </c>
      <c r="AS69" s="47">
        <f>AS68*(1-div_assim)+AR69</f>
        <v/>
      </c>
      <c r="AT69" s="64">
        <f>(1-div_rel)*AS68/Economy!B68</f>
        <v/>
      </c>
      <c r="AU69" s="47">
        <f>AU68*(1-skill_ret)+AE69</f>
        <v/>
      </c>
      <c r="AV69" s="47">
        <f>AV68*(1+union_nat)+AR69</f>
        <v/>
      </c>
      <c r="AW69" s="47">
        <f>AW68*(1+union_nat)+AE69*family_mult</f>
        <v/>
      </c>
      <c r="AX69" s="67">
        <f>V69-(AV69+AW69)/1000000</f>
        <v/>
      </c>
      <c r="AY69" s="47">
        <f>L69*gw_union</f>
        <v/>
      </c>
      <c r="AZ69" s="46" t="n">
        <v>1.064</v>
      </c>
      <c r="BA69" s="47">
        <f>Economy!Q69*AZ69/lf_rate</f>
        <v/>
      </c>
      <c r="BB69" s="64">
        <f>bd_growth*AU68/W68</f>
        <v/>
      </c>
      <c r="BC69" s="64">
        <f>tg_k*MIN(1,Economy!O68/BK68)</f>
        <v/>
      </c>
      <c r="BD69" s="64">
        <f>emu_g*S69</f>
        <v/>
      </c>
      <c r="BE69" s="65">
        <f>BE68*(1-BB69-BC69+BD69)</f>
        <v/>
      </c>
      <c r="BF69" s="46" t="n">
        <v>1</v>
      </c>
      <c r="BG69" s="53">
        <f>AU69*BA69*BE69*(skill_rel-1+skill_spill)/1000000</f>
        <v/>
      </c>
      <c r="BH69" s="53">
        <f>union_disp*(Champions!AP69+Champions!AZ69)*(1-IF(union_resp=2,mkt_cut*S69,0))</f>
        <v/>
      </c>
      <c r="BI69" s="53">
        <f>AY69*BA69*BE69/1000000</f>
        <v/>
      </c>
      <c r="BJ69" s="47">
        <f>V69*Economy!Q69*AZ69</f>
        <v/>
      </c>
      <c r="BK69" s="47">
        <f>MAX(0.3*BJ69,AX69*Economy!Q69*AZ69*BE69*BF69-BG69-BH69-BI69)</f>
        <v/>
      </c>
      <c r="BL69" s="63">
        <f>1-BK69/BJ69</f>
        <v/>
      </c>
      <c r="BM69" s="47">
        <f>MAX(0,BH69-BH68)*1000000/BA69</f>
        <v/>
      </c>
      <c r="BN69" s="47">
        <f>BN68*(1-IF(AND($A69&gt;=1930,$A69&lt;=1932),0,union_reabsorb))+BM69</f>
        <v/>
      </c>
      <c r="BO69" s="59" t="n">
        <v>0.051</v>
      </c>
      <c r="BP69" s="63">
        <f>BO69+BN69/(AX69*1000000*lf_rate)</f>
        <v/>
      </c>
    </row>
    <row r="70">
      <c r="A70" s="58" t="n">
        <v>1910</v>
      </c>
      <c r="B70" s="47">
        <f>Economy!B70*lf_rate</f>
        <v/>
      </c>
      <c r="C70" s="47">
        <f>Economy!O70*1000000/(B70+L70)</f>
        <v/>
      </c>
      <c r="D70" s="47">
        <f>Champions!AP70*1000000/(C70*champ_prem)</f>
        <v/>
      </c>
      <c r="E70" s="47">
        <f>D70*job_mult</f>
        <v/>
      </c>
      <c r="F70" s="47">
        <f>D70+E70</f>
        <v/>
      </c>
      <c r="G70" s="63">
        <f>F70/B70</f>
        <v/>
      </c>
      <c r="H70" s="47">
        <f>F70-F69</f>
        <v/>
      </c>
      <c r="I70" s="63">
        <f>MAX(0.005,pac_u_base*IF(Paths!AC70=1,pac_u_war,1)+(okun*(1-Economy!G70)*(B70+L70)-MAX(0,L69-L70))/B70)</f>
        <v/>
      </c>
      <c r="J70" s="47">
        <f>IF(AND(gw_on=1,$A70&gt;=gw_start),MIN(gw_cap*B69,gw_cover*F69+gw_gen*B69),0)</f>
        <v/>
      </c>
      <c r="K70" s="47">
        <f>L69*gw_conv</f>
        <v/>
      </c>
      <c r="L70" s="47">
        <f>MAX(0,L69-K70+gw_adj*(J70-L69))*MAX(0,1-gw_slump*(1-Economy!G70))</f>
        <v/>
      </c>
      <c r="M70" s="47">
        <f>MAX(0,L70-L69+L69/gw_term)</f>
        <v/>
      </c>
      <c r="N70" s="63">
        <f>L70/B70</f>
        <v/>
      </c>
      <c r="O70" s="53">
        <f>Economy!L70</f>
        <v/>
      </c>
      <c r="P70" s="53">
        <f>O70*gw_wage_share</f>
        <v/>
      </c>
      <c r="Q70" s="53">
        <f>P70*gw_levy</f>
        <v/>
      </c>
      <c r="R70" s="53">
        <f>P70*gw_remit</f>
        <v/>
      </c>
      <c r="S70" s="63">
        <f>IF(union_resp&gt;=1,MIN(1,MAX(0,($A70-resp_start)/(resp_full-resp_start))),0)</f>
        <v/>
      </c>
      <c r="T70" s="67">
        <f>Economy!R69</f>
        <v/>
      </c>
      <c r="U70" s="67">
        <f>MAX(0,T70-gap_base)</f>
        <v/>
      </c>
      <c r="V70" s="68" t="n">
        <v>72.25</v>
      </c>
      <c r="W70" s="47">
        <f>V70*1000000*lf_rate*union_skill_share</f>
        <v/>
      </c>
      <c r="X70" s="45" t="n">
        <v>146000</v>
      </c>
      <c r="Y70" s="47">
        <f>IF(AND(mig_endo=1,$A70&gt;=talent_start),talent_rate_u*W70*U70*(1-(1-bd_keep)*S70),0)</f>
        <v/>
      </c>
      <c r="Z70" s="47">
        <f>IF(AND(mig_endo=1,$A70&gt;=talent_start),X70*MIN(0.5,talent_share_o*U70)*(1-eu_comp*S70),0)</f>
        <v/>
      </c>
      <c r="AA70" s="45" t="n">
        <v>42000</v>
      </c>
      <c r="AB70" s="47">
        <f>IF(AND(mig_endo=1,$A70&gt;=talent_start),AA70*MIN(0.5,talent_share_a*U70),0)</f>
        <v/>
      </c>
      <c r="AC70" s="47">
        <f>entry_cap*People!B70</f>
        <v/>
      </c>
      <c r="AD70" s="47">
        <f>MIN(AC70,Y70+Z70+AB70)</f>
        <v/>
      </c>
      <c r="AE70" s="47">
        <f>IF(Y70+Z70+AB70&gt;0,AD70*Y70/(Y70+Z70+AB70),0)</f>
        <v/>
      </c>
      <c r="AF70" s="47">
        <f>IF(Y70+Z70+AB70&gt;0,AD70*AB70/(Y70+Z70+AB70),0)</f>
        <v/>
      </c>
      <c r="AG70" s="47">
        <f>AD70*family_mult</f>
        <v/>
      </c>
      <c r="AH70" s="47">
        <f>AH69*(1+Paths!C70)+AG70</f>
        <v/>
      </c>
      <c r="AI70" s="47">
        <f>IF(AND(mig_endo=1,$A70&gt;=talent_start),chain_rate*AH69,0)</f>
        <v/>
      </c>
      <c r="AJ70" s="47">
        <f>IF(AND(mig_endo=1,$A70&gt;=talent_start),IF(H69&gt;0,H69*job_fill,H69*job_return)*job_family,0)</f>
        <v/>
      </c>
      <c r="AK70" s="47">
        <f>K70*gw_conv_family</f>
        <v/>
      </c>
      <c r="AL70" s="47">
        <f>AG70+AI70+AJ70+AK70+AR70</f>
        <v/>
      </c>
      <c r="AM70" s="47">
        <f>AM69*(1-skill_ret)+AD70</f>
        <v/>
      </c>
      <c r="AN70" s="64">
        <f>AM70/B70</f>
        <v/>
      </c>
      <c r="AO70" s="64">
        <f>(skill_rel-1+skill_spill)*AM69/B69-AT70</f>
        <v/>
      </c>
      <c r="AP70" s="64">
        <f>talent_champ*AM69/(skill_base_share*B69)</f>
        <v/>
      </c>
      <c r="AQ70" s="45" t="n">
        <v>1040000</v>
      </c>
      <c r="AR70" s="47">
        <f>IF(AND(div_on=1,$A70&gt;=div_start),AQ70*MIN(div_max,div_rate*U70)*(1-div_comp*S70),0)</f>
        <v/>
      </c>
      <c r="AS70" s="47">
        <f>AS69*(1-div_assim)+AR70</f>
        <v/>
      </c>
      <c r="AT70" s="64">
        <f>(1-div_rel)*AS69/Economy!B69</f>
        <v/>
      </c>
      <c r="AU70" s="47">
        <f>AU69*(1-skill_ret)+AE70</f>
        <v/>
      </c>
      <c r="AV70" s="47">
        <f>AV69*(1+union_nat)+AR70</f>
        <v/>
      </c>
      <c r="AW70" s="47">
        <f>AW69*(1+union_nat)+AE70*family_mult</f>
        <v/>
      </c>
      <c r="AX70" s="67">
        <f>V70-(AV70+AW70)/1000000</f>
        <v/>
      </c>
      <c r="AY70" s="47">
        <f>L70*gw_union</f>
        <v/>
      </c>
      <c r="AZ70" s="46" t="n">
        <v>1.06</v>
      </c>
      <c r="BA70" s="47">
        <f>Economy!Q70*AZ70/lf_rate</f>
        <v/>
      </c>
      <c r="BB70" s="64">
        <f>bd_growth*AU69/W69</f>
        <v/>
      </c>
      <c r="BC70" s="64">
        <f>tg_k*MIN(1,Economy!O69/BK69)</f>
        <v/>
      </c>
      <c r="BD70" s="64">
        <f>emu_g*S70</f>
        <v/>
      </c>
      <c r="BE70" s="65">
        <f>BE69*(1-BB70-BC70+BD70)</f>
        <v/>
      </c>
      <c r="BF70" s="46" t="n">
        <v>1</v>
      </c>
      <c r="BG70" s="53">
        <f>AU70*BA70*BE70*(skill_rel-1+skill_spill)/1000000</f>
        <v/>
      </c>
      <c r="BH70" s="53">
        <f>union_disp*(Champions!AP70+Champions!AZ70)*(1-IF(union_resp=2,mkt_cut*S70,0))</f>
        <v/>
      </c>
      <c r="BI70" s="53">
        <f>AY70*BA70*BE70/1000000</f>
        <v/>
      </c>
      <c r="BJ70" s="47">
        <f>V70*Economy!Q70*AZ70</f>
        <v/>
      </c>
      <c r="BK70" s="47">
        <f>MAX(0.3*BJ70,AX70*Economy!Q70*AZ70*BE70*BF70-BG70-BH70-BI70)</f>
        <v/>
      </c>
      <c r="BL70" s="63">
        <f>1-BK70/BJ70</f>
        <v/>
      </c>
      <c r="BM70" s="47">
        <f>MAX(0,BH70-BH69)*1000000/BA70</f>
        <v/>
      </c>
      <c r="BN70" s="47">
        <f>BN69*(1-IF(AND($A70&gt;=1930,$A70&lt;=1932),0,union_reabsorb))+BM70</f>
        <v/>
      </c>
      <c r="BO70" s="59" t="n">
        <v>0.059</v>
      </c>
      <c r="BP70" s="63">
        <f>BO70+BN70/(AX70*1000000*lf_rate)</f>
        <v/>
      </c>
    </row>
    <row r="71">
      <c r="A71" s="58" t="n">
        <v>1911</v>
      </c>
      <c r="B71" s="47">
        <f>Economy!B71*lf_rate</f>
        <v/>
      </c>
      <c r="C71" s="47">
        <f>Economy!O71*1000000/(B71+L71)</f>
        <v/>
      </c>
      <c r="D71" s="47">
        <f>Champions!AP71*1000000/(C71*champ_prem)</f>
        <v/>
      </c>
      <c r="E71" s="47">
        <f>D71*job_mult</f>
        <v/>
      </c>
      <c r="F71" s="47">
        <f>D71+E71</f>
        <v/>
      </c>
      <c r="G71" s="63">
        <f>F71/B71</f>
        <v/>
      </c>
      <c r="H71" s="47">
        <f>F71-F70</f>
        <v/>
      </c>
      <c r="I71" s="63">
        <f>MAX(0.005,pac_u_base*IF(Paths!AC71=1,pac_u_war,1)+(okun*(1-Economy!G71)*(B71+L71)-MAX(0,L70-L71))/B71)</f>
        <v/>
      </c>
      <c r="J71" s="47">
        <f>IF(AND(gw_on=1,$A71&gt;=gw_start),MIN(gw_cap*B70,gw_cover*F70+gw_gen*B70),0)</f>
        <v/>
      </c>
      <c r="K71" s="47">
        <f>L70*gw_conv</f>
        <v/>
      </c>
      <c r="L71" s="47">
        <f>MAX(0,L70-K71+gw_adj*(J71-L70))*MAX(0,1-gw_slump*(1-Economy!G71))</f>
        <v/>
      </c>
      <c r="M71" s="47">
        <f>MAX(0,L71-L70+L70/gw_term)</f>
        <v/>
      </c>
      <c r="N71" s="63">
        <f>L71/B71</f>
        <v/>
      </c>
      <c r="O71" s="53">
        <f>Economy!L71</f>
        <v/>
      </c>
      <c r="P71" s="53">
        <f>O71*gw_wage_share</f>
        <v/>
      </c>
      <c r="Q71" s="53">
        <f>P71*gw_levy</f>
        <v/>
      </c>
      <c r="R71" s="53">
        <f>P71*gw_remit</f>
        <v/>
      </c>
      <c r="S71" s="63">
        <f>IF(union_resp&gt;=1,MIN(1,MAX(0,($A71-resp_start)/(resp_full-resp_start))),0)</f>
        <v/>
      </c>
      <c r="T71" s="67">
        <f>Economy!R70</f>
        <v/>
      </c>
      <c r="U71" s="67">
        <f>MAX(0,T71-gap_base)</f>
        <v/>
      </c>
      <c r="V71" s="68" t="n">
        <v>73.53</v>
      </c>
      <c r="W71" s="47">
        <f>V71*1000000*lf_rate*union_skill_share</f>
        <v/>
      </c>
      <c r="X71" s="45" t="n">
        <v>151000</v>
      </c>
      <c r="Y71" s="47">
        <f>IF(AND(mig_endo=1,$A71&gt;=talent_start),talent_rate_u*W71*U71*(1-(1-bd_keep)*S71),0)</f>
        <v/>
      </c>
      <c r="Z71" s="47">
        <f>IF(AND(mig_endo=1,$A71&gt;=talent_start),X71*MIN(0.5,talent_share_o*U71)*(1-eu_comp*S71),0)</f>
        <v/>
      </c>
      <c r="AA71" s="45" t="n">
        <v>45000</v>
      </c>
      <c r="AB71" s="47">
        <f>IF(AND(mig_endo=1,$A71&gt;=talent_start),AA71*MIN(0.5,talent_share_a*U71),0)</f>
        <v/>
      </c>
      <c r="AC71" s="47">
        <f>entry_cap*People!B71</f>
        <v/>
      </c>
      <c r="AD71" s="47">
        <f>MIN(AC71,Y71+Z71+AB71)</f>
        <v/>
      </c>
      <c r="AE71" s="47">
        <f>IF(Y71+Z71+AB71&gt;0,AD71*Y71/(Y71+Z71+AB71),0)</f>
        <v/>
      </c>
      <c r="AF71" s="47">
        <f>IF(Y71+Z71+AB71&gt;0,AD71*AB71/(Y71+Z71+AB71),0)</f>
        <v/>
      </c>
      <c r="AG71" s="47">
        <f>AD71*family_mult</f>
        <v/>
      </c>
      <c r="AH71" s="47">
        <f>AH70*(1+Paths!C71)+AG71</f>
        <v/>
      </c>
      <c r="AI71" s="47">
        <f>IF(AND(mig_endo=1,$A71&gt;=talent_start),chain_rate*AH70,0)</f>
        <v/>
      </c>
      <c r="AJ71" s="47">
        <f>IF(AND(mig_endo=1,$A71&gt;=talent_start),IF(H70&gt;0,H70*job_fill,H70*job_return)*job_family,0)</f>
        <v/>
      </c>
      <c r="AK71" s="47">
        <f>K71*gw_conv_family</f>
        <v/>
      </c>
      <c r="AL71" s="47">
        <f>AG71+AI71+AJ71+AK71+AR71</f>
        <v/>
      </c>
      <c r="AM71" s="47">
        <f>AM70*(1-skill_ret)+AD71</f>
        <v/>
      </c>
      <c r="AN71" s="64">
        <f>AM71/B71</f>
        <v/>
      </c>
      <c r="AO71" s="64">
        <f>(skill_rel-1+skill_spill)*AM70/B70-AT71</f>
        <v/>
      </c>
      <c r="AP71" s="64">
        <f>talent_champ*AM70/(skill_base_share*B70)</f>
        <v/>
      </c>
      <c r="AQ71" s="45" t="n">
        <v>1085000</v>
      </c>
      <c r="AR71" s="47">
        <f>IF(AND(div_on=1,$A71&gt;=div_start),AQ71*MIN(div_max,div_rate*U71)*(1-div_comp*S71),0)</f>
        <v/>
      </c>
      <c r="AS71" s="47">
        <f>AS70*(1-div_assim)+AR71</f>
        <v/>
      </c>
      <c r="AT71" s="64">
        <f>(1-div_rel)*AS70/Economy!B70</f>
        <v/>
      </c>
      <c r="AU71" s="47">
        <f>AU70*(1-skill_ret)+AE71</f>
        <v/>
      </c>
      <c r="AV71" s="47">
        <f>AV70*(1+union_nat)+AR71</f>
        <v/>
      </c>
      <c r="AW71" s="47">
        <f>AW70*(1+union_nat)+AE71*family_mult</f>
        <v/>
      </c>
      <c r="AX71" s="67">
        <f>V71-(AV71+AW71)/1000000</f>
        <v/>
      </c>
      <c r="AY71" s="47">
        <f>L71*gw_union</f>
        <v/>
      </c>
      <c r="AZ71" s="46" t="n">
        <v>1.057</v>
      </c>
      <c r="BA71" s="47">
        <f>Economy!Q71*AZ71/lf_rate</f>
        <v/>
      </c>
      <c r="BB71" s="64">
        <f>bd_growth*AU70/W70</f>
        <v/>
      </c>
      <c r="BC71" s="64">
        <f>tg_k*MIN(1,Economy!O70/BK70)</f>
        <v/>
      </c>
      <c r="BD71" s="64">
        <f>emu_g*S71</f>
        <v/>
      </c>
      <c r="BE71" s="65">
        <f>BE70*(1-BB71-BC71+BD71)</f>
        <v/>
      </c>
      <c r="BF71" s="46" t="n">
        <v>1</v>
      </c>
      <c r="BG71" s="53">
        <f>AU71*BA71*BE71*(skill_rel-1+skill_spill)/1000000</f>
        <v/>
      </c>
      <c r="BH71" s="53">
        <f>union_disp*(Champions!AP71+Champions!AZ71)*(1-IF(union_resp=2,mkt_cut*S71,0))</f>
        <v/>
      </c>
      <c r="BI71" s="53">
        <f>AY71*BA71*BE71/1000000</f>
        <v/>
      </c>
      <c r="BJ71" s="47">
        <f>V71*Economy!Q71*AZ71</f>
        <v/>
      </c>
      <c r="BK71" s="47">
        <f>MAX(0.3*BJ71,AX71*Economy!Q71*AZ71*BE71*BF71-BG71-BH71-BI71)</f>
        <v/>
      </c>
      <c r="BL71" s="63">
        <f>1-BK71/BJ71</f>
        <v/>
      </c>
      <c r="BM71" s="47">
        <f>MAX(0,BH71-BH70)*1000000/BA71</f>
        <v/>
      </c>
      <c r="BN71" s="47">
        <f>BN70*(1-IF(AND($A71&gt;=1930,$A71&lt;=1932),0,union_reabsorb))+BM71</f>
        <v/>
      </c>
      <c r="BO71" s="59" t="n">
        <v>0.054</v>
      </c>
      <c r="BP71" s="63">
        <f>BO71+BN71/(AX71*1000000*lf_rate)</f>
        <v/>
      </c>
    </row>
    <row r="72">
      <c r="A72" s="58" t="n">
        <v>1912</v>
      </c>
      <c r="B72" s="47">
        <f>Economy!B72*lf_rate</f>
        <v/>
      </c>
      <c r="C72" s="47">
        <f>Economy!O72*1000000/(B72+L72)</f>
        <v/>
      </c>
      <c r="D72" s="47">
        <f>Champions!AP72*1000000/(C72*champ_prem)</f>
        <v/>
      </c>
      <c r="E72" s="47">
        <f>D72*job_mult</f>
        <v/>
      </c>
      <c r="F72" s="47">
        <f>D72+E72</f>
        <v/>
      </c>
      <c r="G72" s="63">
        <f>F72/B72</f>
        <v/>
      </c>
      <c r="H72" s="47">
        <f>F72-F71</f>
        <v/>
      </c>
      <c r="I72" s="63">
        <f>MAX(0.005,pac_u_base*IF(Paths!AC72=1,pac_u_war,1)+(okun*(1-Economy!G72)*(B72+L72)-MAX(0,L71-L72))/B72)</f>
        <v/>
      </c>
      <c r="J72" s="47">
        <f>IF(AND(gw_on=1,$A72&gt;=gw_start),MIN(gw_cap*B71,gw_cover*F71+gw_gen*B71),0)</f>
        <v/>
      </c>
      <c r="K72" s="47">
        <f>L71*gw_conv</f>
        <v/>
      </c>
      <c r="L72" s="47">
        <f>MAX(0,L71-K72+gw_adj*(J72-L71))*MAX(0,1-gw_slump*(1-Economy!G72))</f>
        <v/>
      </c>
      <c r="M72" s="47">
        <f>MAX(0,L72-L71+L71/gw_term)</f>
        <v/>
      </c>
      <c r="N72" s="63">
        <f>L72/B72</f>
        <v/>
      </c>
      <c r="O72" s="53">
        <f>Economy!L72</f>
        <v/>
      </c>
      <c r="P72" s="53">
        <f>O72*gw_wage_share</f>
        <v/>
      </c>
      <c r="Q72" s="53">
        <f>P72*gw_levy</f>
        <v/>
      </c>
      <c r="R72" s="53">
        <f>P72*gw_remit</f>
        <v/>
      </c>
      <c r="S72" s="63">
        <f>IF(union_resp&gt;=1,MIN(1,MAX(0,($A72-resp_start)/(resp_full-resp_start))),0)</f>
        <v/>
      </c>
      <c r="T72" s="67">
        <f>Economy!R71</f>
        <v/>
      </c>
      <c r="U72" s="67">
        <f>MAX(0,T72-gap_base)</f>
        <v/>
      </c>
      <c r="V72" s="68" t="n">
        <v>74.81999999999999</v>
      </c>
      <c r="W72" s="47">
        <f>V72*1000000*lf_rate*union_skill_share</f>
        <v/>
      </c>
      <c r="X72" s="45" t="n">
        <v>155000</v>
      </c>
      <c r="Y72" s="47">
        <f>IF(AND(mig_endo=1,$A72&gt;=talent_start),talent_rate_u*W72*U72*(1-(1-bd_keep)*S72),0)</f>
        <v/>
      </c>
      <c r="Z72" s="47">
        <f>IF(AND(mig_endo=1,$A72&gt;=talent_start),X72*MIN(0.5,talent_share_o*U72)*(1-eu_comp*S72),0)</f>
        <v/>
      </c>
      <c r="AA72" s="45" t="n">
        <v>48000</v>
      </c>
      <c r="AB72" s="47">
        <f>IF(AND(mig_endo=1,$A72&gt;=talent_start),AA72*MIN(0.5,talent_share_a*U72),0)</f>
        <v/>
      </c>
      <c r="AC72" s="47">
        <f>entry_cap*People!B72</f>
        <v/>
      </c>
      <c r="AD72" s="47">
        <f>MIN(AC72,Y72+Z72+AB72)</f>
        <v/>
      </c>
      <c r="AE72" s="47">
        <f>IF(Y72+Z72+AB72&gt;0,AD72*Y72/(Y72+Z72+AB72),0)</f>
        <v/>
      </c>
      <c r="AF72" s="47">
        <f>IF(Y72+Z72+AB72&gt;0,AD72*AB72/(Y72+Z72+AB72),0)</f>
        <v/>
      </c>
      <c r="AG72" s="47">
        <f>AD72*family_mult</f>
        <v/>
      </c>
      <c r="AH72" s="47">
        <f>AH71*(1+Paths!C72)+AG72</f>
        <v/>
      </c>
      <c r="AI72" s="47">
        <f>IF(AND(mig_endo=1,$A72&gt;=talent_start),chain_rate*AH71,0)</f>
        <v/>
      </c>
      <c r="AJ72" s="47">
        <f>IF(AND(mig_endo=1,$A72&gt;=talent_start),IF(H71&gt;0,H71*job_fill,H71*job_return)*job_family,0)</f>
        <v/>
      </c>
      <c r="AK72" s="47">
        <f>K72*gw_conv_family</f>
        <v/>
      </c>
      <c r="AL72" s="47">
        <f>AG72+AI72+AJ72+AK72+AR72</f>
        <v/>
      </c>
      <c r="AM72" s="47">
        <f>AM71*(1-skill_ret)+AD72</f>
        <v/>
      </c>
      <c r="AN72" s="64">
        <f>AM72/B72</f>
        <v/>
      </c>
      <c r="AO72" s="64">
        <f>(skill_rel-1+skill_spill)*AM71/B71-AT72</f>
        <v/>
      </c>
      <c r="AP72" s="64">
        <f>talent_champ*AM71/(skill_base_share*B71)</f>
        <v/>
      </c>
      <c r="AQ72" s="45" t="n">
        <v>1130000</v>
      </c>
      <c r="AR72" s="47">
        <f>IF(AND(div_on=1,$A72&gt;=div_start),AQ72*MIN(div_max,div_rate*U72)*(1-div_comp*S72),0)</f>
        <v/>
      </c>
      <c r="AS72" s="47">
        <f>AS71*(1-div_assim)+AR72</f>
        <v/>
      </c>
      <c r="AT72" s="64">
        <f>(1-div_rel)*AS71/Economy!B71</f>
        <v/>
      </c>
      <c r="AU72" s="47">
        <f>AU71*(1-skill_ret)+AE72</f>
        <v/>
      </c>
      <c r="AV72" s="47">
        <f>AV71*(1+union_nat)+AR72</f>
        <v/>
      </c>
      <c r="AW72" s="47">
        <f>AW71*(1+union_nat)+AE72*family_mult</f>
        <v/>
      </c>
      <c r="AX72" s="67">
        <f>V72-(AV72+AW72)/1000000</f>
        <v/>
      </c>
      <c r="AY72" s="47">
        <f>L72*gw_union</f>
        <v/>
      </c>
      <c r="AZ72" s="46" t="n">
        <v>1.054</v>
      </c>
      <c r="BA72" s="47">
        <f>Economy!Q72*AZ72/lf_rate</f>
        <v/>
      </c>
      <c r="BB72" s="64">
        <f>bd_growth*AU71/W71</f>
        <v/>
      </c>
      <c r="BC72" s="64">
        <f>tg_k*MIN(1,Economy!O71/BK71)</f>
        <v/>
      </c>
      <c r="BD72" s="64">
        <f>emu_g*S72</f>
        <v/>
      </c>
      <c r="BE72" s="65">
        <f>BE71*(1-BB72-BC72+BD72)</f>
        <v/>
      </c>
      <c r="BF72" s="46" t="n">
        <v>1</v>
      </c>
      <c r="BG72" s="53">
        <f>AU72*BA72*BE72*(skill_rel-1+skill_spill)/1000000</f>
        <v/>
      </c>
      <c r="BH72" s="53">
        <f>union_disp*(Champions!AP72+Champions!AZ72)*(1-IF(union_resp=2,mkt_cut*S72,0))</f>
        <v/>
      </c>
      <c r="BI72" s="53">
        <f>AY72*BA72*BE72/1000000</f>
        <v/>
      </c>
      <c r="BJ72" s="47">
        <f>V72*Economy!Q72*AZ72</f>
        <v/>
      </c>
      <c r="BK72" s="47">
        <f>MAX(0.3*BJ72,AX72*Economy!Q72*AZ72*BE72*BF72-BG72-BH72-BI72)</f>
        <v/>
      </c>
      <c r="BL72" s="63">
        <f>1-BK72/BJ72</f>
        <v/>
      </c>
      <c r="BM72" s="47">
        <f>MAX(0,BH72-BH71)*1000000/BA72</f>
        <v/>
      </c>
      <c r="BN72" s="47">
        <f>BN71*(1-IF(AND($A72&gt;=1930,$A72&lt;=1932),0,union_reabsorb))+BM72</f>
        <v/>
      </c>
      <c r="BO72" s="59" t="n">
        <v>0.048</v>
      </c>
      <c r="BP72" s="63">
        <f>BO72+BN72/(AX72*1000000*lf_rate)</f>
        <v/>
      </c>
    </row>
    <row r="73">
      <c r="A73" s="58" t="n">
        <v>1913</v>
      </c>
      <c r="B73" s="47">
        <f>Economy!B73*lf_rate</f>
        <v/>
      </c>
      <c r="C73" s="47">
        <f>Economy!O73*1000000/(B73+L73)</f>
        <v/>
      </c>
      <c r="D73" s="47">
        <f>Champions!AP73*1000000/(C73*champ_prem)</f>
        <v/>
      </c>
      <c r="E73" s="47">
        <f>D73*job_mult</f>
        <v/>
      </c>
      <c r="F73" s="47">
        <f>D73+E73</f>
        <v/>
      </c>
      <c r="G73" s="63">
        <f>F73/B73</f>
        <v/>
      </c>
      <c r="H73" s="47">
        <f>F73-F72</f>
        <v/>
      </c>
      <c r="I73" s="63">
        <f>MAX(0.005,pac_u_base*IF(Paths!AC73=1,pac_u_war,1)+(okun*(1-Economy!G73)*(B73+L73)-MAX(0,L72-L73))/B73)</f>
        <v/>
      </c>
      <c r="J73" s="47">
        <f>IF(AND(gw_on=1,$A73&gt;=gw_start),MIN(gw_cap*B72,gw_cover*F72+gw_gen*B72),0)</f>
        <v/>
      </c>
      <c r="K73" s="47">
        <f>L72*gw_conv</f>
        <v/>
      </c>
      <c r="L73" s="47">
        <f>MAX(0,L72-K73+gw_adj*(J73-L72))*MAX(0,1-gw_slump*(1-Economy!G73))</f>
        <v/>
      </c>
      <c r="M73" s="47">
        <f>MAX(0,L73-L72+L72/gw_term)</f>
        <v/>
      </c>
      <c r="N73" s="63">
        <f>L73/B73</f>
        <v/>
      </c>
      <c r="O73" s="53">
        <f>Economy!L73</f>
        <v/>
      </c>
      <c r="P73" s="53">
        <f>O73*gw_wage_share</f>
        <v/>
      </c>
      <c r="Q73" s="53">
        <f>P73*gw_levy</f>
        <v/>
      </c>
      <c r="R73" s="53">
        <f>P73*gw_remit</f>
        <v/>
      </c>
      <c r="S73" s="63">
        <f>IF(union_resp&gt;=1,MIN(1,MAX(0,($A73-resp_start)/(resp_full-resp_start))),0)</f>
        <v/>
      </c>
      <c r="T73" s="67">
        <f>Economy!R72</f>
        <v/>
      </c>
      <c r="U73" s="67">
        <f>MAX(0,T73-gap_base)</f>
        <v/>
      </c>
      <c r="V73" s="68" t="n">
        <v>76.09999999999999</v>
      </c>
      <c r="W73" s="47">
        <f>V73*1000000*lf_rate*union_skill_share</f>
        <v/>
      </c>
      <c r="X73" s="45" t="n">
        <v>160000</v>
      </c>
      <c r="Y73" s="47">
        <f>IF(AND(mig_endo=1,$A73&gt;=talent_start),talent_rate_u*W73*U73*(1-(1-bd_keep)*S73),0)</f>
        <v/>
      </c>
      <c r="Z73" s="47">
        <f>IF(AND(mig_endo=1,$A73&gt;=talent_start),X73*MIN(0.5,talent_share_o*U73)*(1-eu_comp*S73),0)</f>
        <v/>
      </c>
      <c r="AA73" s="45" t="n">
        <v>50000</v>
      </c>
      <c r="AB73" s="47">
        <f>IF(AND(mig_endo=1,$A73&gt;=talent_start),AA73*MIN(0.5,talent_share_a*U73),0)</f>
        <v/>
      </c>
      <c r="AC73" s="47">
        <f>entry_cap*People!B73</f>
        <v/>
      </c>
      <c r="AD73" s="47">
        <f>MIN(AC73,Y73+Z73+AB73)</f>
        <v/>
      </c>
      <c r="AE73" s="47">
        <f>IF(Y73+Z73+AB73&gt;0,AD73*Y73/(Y73+Z73+AB73),0)</f>
        <v/>
      </c>
      <c r="AF73" s="47">
        <f>IF(Y73+Z73+AB73&gt;0,AD73*AB73/(Y73+Z73+AB73),0)</f>
        <v/>
      </c>
      <c r="AG73" s="47">
        <f>AD73*family_mult</f>
        <v/>
      </c>
      <c r="AH73" s="47">
        <f>AH72*(1+Paths!C73)+AG73</f>
        <v/>
      </c>
      <c r="AI73" s="47">
        <f>IF(AND(mig_endo=1,$A73&gt;=talent_start),chain_rate*AH72,0)</f>
        <v/>
      </c>
      <c r="AJ73" s="47">
        <f>IF(AND(mig_endo=1,$A73&gt;=talent_start),IF(H72&gt;0,H72*job_fill,H72*job_return)*job_family,0)</f>
        <v/>
      </c>
      <c r="AK73" s="47">
        <f>K73*gw_conv_family</f>
        <v/>
      </c>
      <c r="AL73" s="47">
        <f>AG73+AI73+AJ73+AK73+AR73</f>
        <v/>
      </c>
      <c r="AM73" s="47">
        <f>AM72*(1-skill_ret)+AD73</f>
        <v/>
      </c>
      <c r="AN73" s="64">
        <f>AM73/B73</f>
        <v/>
      </c>
      <c r="AO73" s="64">
        <f>(skill_rel-1+skill_spill)*AM72/B72-AT73</f>
        <v/>
      </c>
      <c r="AP73" s="64">
        <f>talent_champ*AM72/(skill_base_share*B72)</f>
        <v/>
      </c>
      <c r="AQ73" s="45" t="n">
        <v>1175000</v>
      </c>
      <c r="AR73" s="47">
        <f>IF(AND(div_on=1,$A73&gt;=div_start),AQ73*MIN(div_max,div_rate*U73)*(1-div_comp*S73),0)</f>
        <v/>
      </c>
      <c r="AS73" s="47">
        <f>AS72*(1-div_assim)+AR73</f>
        <v/>
      </c>
      <c r="AT73" s="64">
        <f>(1-div_rel)*AS72/Economy!B72</f>
        <v/>
      </c>
      <c r="AU73" s="47">
        <f>AU72*(1-skill_ret)+AE73</f>
        <v/>
      </c>
      <c r="AV73" s="47">
        <f>AV72*(1+union_nat)+AR73</f>
        <v/>
      </c>
      <c r="AW73" s="47">
        <f>AW72*(1+union_nat)+AE73*family_mult</f>
        <v/>
      </c>
      <c r="AX73" s="67">
        <f>V73-(AV73+AW73)/1000000</f>
        <v/>
      </c>
      <c r="AY73" s="47">
        <f>L73*gw_union</f>
        <v/>
      </c>
      <c r="AZ73" s="46" t="n">
        <v>1.051</v>
      </c>
      <c r="BA73" s="47">
        <f>Economy!Q73*AZ73/lf_rate</f>
        <v/>
      </c>
      <c r="BB73" s="64">
        <f>bd_growth*AU72/W72</f>
        <v/>
      </c>
      <c r="BC73" s="64">
        <f>tg_k*MIN(1,Economy!O72/BK72)</f>
        <v/>
      </c>
      <c r="BD73" s="64">
        <f>emu_g*S73</f>
        <v/>
      </c>
      <c r="BE73" s="65">
        <f>BE72*(1-BB73-BC73+BD73)</f>
        <v/>
      </c>
      <c r="BF73" s="46" t="n">
        <v>1</v>
      </c>
      <c r="BG73" s="53">
        <f>AU73*BA73*BE73*(skill_rel-1+skill_spill)/1000000</f>
        <v/>
      </c>
      <c r="BH73" s="53">
        <f>union_disp*(Champions!AP73+Champions!AZ73)*(1-IF(union_resp=2,mkt_cut*S73,0))</f>
        <v/>
      </c>
      <c r="BI73" s="53">
        <f>AY73*BA73*BE73/1000000</f>
        <v/>
      </c>
      <c r="BJ73" s="47">
        <f>V73*Economy!Q73*AZ73</f>
        <v/>
      </c>
      <c r="BK73" s="47">
        <f>MAX(0.3*BJ73,AX73*Economy!Q73*AZ73*BE73*BF73-BG73-BH73-BI73)</f>
        <v/>
      </c>
      <c r="BL73" s="63">
        <f>1-BK73/BJ73</f>
        <v/>
      </c>
      <c r="BM73" s="47">
        <f>MAX(0,BH73-BH72)*1000000/BA73</f>
        <v/>
      </c>
      <c r="BN73" s="47">
        <f>BN72*(1-IF(AND($A73&gt;=1930,$A73&lt;=1932),0,union_reabsorb))+BM73</f>
        <v/>
      </c>
      <c r="BO73" s="59" t="n">
        <v>0.043</v>
      </c>
      <c r="BP73" s="63">
        <f>BO73+BN73/(AX73*1000000*lf_rate)</f>
        <v/>
      </c>
    </row>
    <row r="74">
      <c r="A74" s="61" t="n">
        <v>1914</v>
      </c>
      <c r="B74" s="47">
        <f>Economy!B74*lf_rate</f>
        <v/>
      </c>
      <c r="C74" s="47">
        <f>Economy!O74*1000000/(B74+L74)</f>
        <v/>
      </c>
      <c r="D74" s="47">
        <f>Champions!AP74*1000000/(C74*champ_prem)</f>
        <v/>
      </c>
      <c r="E74" s="47">
        <f>D74*job_mult</f>
        <v/>
      </c>
      <c r="F74" s="47">
        <f>D74+E74</f>
        <v/>
      </c>
      <c r="G74" s="63">
        <f>F74/B74</f>
        <v/>
      </c>
      <c r="H74" s="47">
        <f>F74-F73</f>
        <v/>
      </c>
      <c r="I74" s="63">
        <f>MAX(0.005,pac_u_base*IF(Paths!AC74=1,pac_u_war,1)+(okun*(1-Economy!G74)*(B74+L74)-MAX(0,L73-L74))/B74)</f>
        <v/>
      </c>
      <c r="J74" s="47">
        <f>IF(AND(gw_on=1,$A74&gt;=gw_start),MIN(gw_cap*B73,gw_cover*F73+gw_gen*B73),0)</f>
        <v/>
      </c>
      <c r="K74" s="47">
        <f>L73*gw_conv</f>
        <v/>
      </c>
      <c r="L74" s="47">
        <f>MAX(0,L73-K74+gw_adj*(J74-L73))*MAX(0,1-gw_slump*(1-Economy!G74))</f>
        <v/>
      </c>
      <c r="M74" s="47">
        <f>MAX(0,L74-L73+L73/gw_term)</f>
        <v/>
      </c>
      <c r="N74" s="63">
        <f>L74/B74</f>
        <v/>
      </c>
      <c r="O74" s="53">
        <f>Economy!L74</f>
        <v/>
      </c>
      <c r="P74" s="53">
        <f>O74*gw_wage_share</f>
        <v/>
      </c>
      <c r="Q74" s="53">
        <f>P74*gw_levy</f>
        <v/>
      </c>
      <c r="R74" s="53">
        <f>P74*gw_remit</f>
        <v/>
      </c>
      <c r="S74" s="63">
        <f>IF(union_resp&gt;=1,MIN(1,MAX(0,($A74-resp_start)/(resp_full-resp_start))),0)</f>
        <v/>
      </c>
      <c r="T74" s="67">
        <f>Economy!R73</f>
        <v/>
      </c>
      <c r="U74" s="67">
        <f>MAX(0,T74-gap_base)</f>
        <v/>
      </c>
      <c r="V74" s="68" t="n">
        <v>76.94</v>
      </c>
      <c r="W74" s="47">
        <f>V74*1000000*lf_rate*union_skill_share</f>
        <v/>
      </c>
      <c r="X74" s="45" t="n">
        <v>60000</v>
      </c>
      <c r="Y74" s="47">
        <f>IF(AND(mig_endo=1,$A74&gt;=talent_start),talent_rate_u*W74*U74*(1-(1-bd_keep)*S74),0)</f>
        <v/>
      </c>
      <c r="Z74" s="47">
        <f>IF(AND(mig_endo=1,$A74&gt;=talent_start),X74*MIN(0.5,talent_share_o*U74)*(1-eu_comp*S74),0)</f>
        <v/>
      </c>
      <c r="AA74" s="45" t="n">
        <v>54000</v>
      </c>
      <c r="AB74" s="47">
        <f>IF(AND(mig_endo=1,$A74&gt;=talent_start),AA74*MIN(0.5,talent_share_a*U74),0)</f>
        <v/>
      </c>
      <c r="AC74" s="47">
        <f>entry_cap*People!B74</f>
        <v/>
      </c>
      <c r="AD74" s="47">
        <f>MIN(AC74,Y74+Z74+AB74)</f>
        <v/>
      </c>
      <c r="AE74" s="47">
        <f>IF(Y74+Z74+AB74&gt;0,AD74*Y74/(Y74+Z74+AB74),0)</f>
        <v/>
      </c>
      <c r="AF74" s="47">
        <f>IF(Y74+Z74+AB74&gt;0,AD74*AB74/(Y74+Z74+AB74),0)</f>
        <v/>
      </c>
      <c r="AG74" s="47">
        <f>AD74*family_mult</f>
        <v/>
      </c>
      <c r="AH74" s="47">
        <f>AH73*(1+Paths!C74)+AG74</f>
        <v/>
      </c>
      <c r="AI74" s="47">
        <f>IF(AND(mig_endo=1,$A74&gt;=talent_start),chain_rate*AH73,0)</f>
        <v/>
      </c>
      <c r="AJ74" s="47">
        <f>IF(AND(mig_endo=1,$A74&gt;=talent_start),IF(H73&gt;0,H73*job_fill,H73*job_return)*job_family,0)</f>
        <v/>
      </c>
      <c r="AK74" s="47">
        <f>K74*gw_conv_family</f>
        <v/>
      </c>
      <c r="AL74" s="47">
        <f>AG74+AI74+AJ74+AK74+AR74</f>
        <v/>
      </c>
      <c r="AM74" s="47">
        <f>AM73*(1-skill_ret)+AD74</f>
        <v/>
      </c>
      <c r="AN74" s="64">
        <f>AM74/B74</f>
        <v/>
      </c>
      <c r="AO74" s="64">
        <f>(skill_rel-1+skill_spill)*AM73/B73-AT74</f>
        <v/>
      </c>
      <c r="AP74" s="64">
        <f>talent_champ*AM73/(skill_base_share*B73)</f>
        <v/>
      </c>
      <c r="AQ74" s="45" t="n">
        <v>1220000</v>
      </c>
      <c r="AR74" s="47">
        <f>IF(AND(div_on=1,$A74&gt;=div_start),AQ74*MIN(div_max,div_rate*U74)*(1-div_comp*S74),0)</f>
        <v/>
      </c>
      <c r="AS74" s="47">
        <f>AS73*(1-div_assim)+AR74</f>
        <v/>
      </c>
      <c r="AT74" s="64">
        <f>(1-div_rel)*AS73/Economy!B73</f>
        <v/>
      </c>
      <c r="AU74" s="47">
        <f>AU73*(1-skill_ret)+AE74</f>
        <v/>
      </c>
      <c r="AV74" s="47">
        <f>AV73*(1+union_nat)+AR74</f>
        <v/>
      </c>
      <c r="AW74" s="47">
        <f>AW73*(1+union_nat)+AE74*family_mult</f>
        <v/>
      </c>
      <c r="AX74" s="67">
        <f>V74-(AV74+AW74)/1000000</f>
        <v/>
      </c>
      <c r="AY74" s="47">
        <f>L74*gw_union</f>
        <v/>
      </c>
      <c r="AZ74" s="46" t="n">
        <v>1.052</v>
      </c>
      <c r="BA74" s="47">
        <f>Economy!Q74*AZ74/lf_rate</f>
        <v/>
      </c>
      <c r="BB74" s="64">
        <f>bd_growth*AU73/W73</f>
        <v/>
      </c>
      <c r="BC74" s="64">
        <f>tg_k*MIN(1,Economy!O73/BK73)</f>
        <v/>
      </c>
      <c r="BD74" s="64">
        <f>emu_g*S74</f>
        <v/>
      </c>
      <c r="BE74" s="65">
        <f>BE73*(1-BB74-BC74+BD74)</f>
        <v/>
      </c>
      <c r="BF74" s="46" t="n">
        <v>1</v>
      </c>
      <c r="BG74" s="53">
        <f>AU74*BA74*BE74*(skill_rel-1+skill_spill)/1000000</f>
        <v/>
      </c>
      <c r="BH74" s="53">
        <f>union_disp*(Champions!AP74+Champions!AZ74)*(1-IF(union_resp=2,mkt_cut*S74,0))</f>
        <v/>
      </c>
      <c r="BI74" s="53">
        <f>AY74*BA74*BE74/1000000</f>
        <v/>
      </c>
      <c r="BJ74" s="47">
        <f>V74*Economy!Q74*AZ74</f>
        <v/>
      </c>
      <c r="BK74" s="47">
        <f>MAX(0.3*BJ74,AX74*Economy!Q74*AZ74*BE74*BF74-BG74-BH74-BI74)</f>
        <v/>
      </c>
      <c r="BL74" s="63">
        <f>1-BK74/BJ74</f>
        <v/>
      </c>
      <c r="BM74" s="47">
        <f>MAX(0,BH74-BH73)*1000000/BA74</f>
        <v/>
      </c>
      <c r="BN74" s="47">
        <f>BN73*(1-IF(AND($A74&gt;=1930,$A74&lt;=1932),0,union_reabsorb))+BM74</f>
        <v/>
      </c>
      <c r="BO74" s="59" t="n">
        <v>0.079</v>
      </c>
      <c r="BP74" s="63">
        <f>BO74+BN74/(AX74*1000000*lf_rate)</f>
        <v/>
      </c>
    </row>
    <row r="75">
      <c r="A75" s="61" t="n">
        <v>1915</v>
      </c>
      <c r="B75" s="47">
        <f>Economy!B75*lf_rate</f>
        <v/>
      </c>
      <c r="C75" s="47">
        <f>Economy!O75*1000000/(B75+L75)</f>
        <v/>
      </c>
      <c r="D75" s="47">
        <f>Champions!AP75*1000000/(C75*champ_prem)</f>
        <v/>
      </c>
      <c r="E75" s="47">
        <f>D75*job_mult</f>
        <v/>
      </c>
      <c r="F75" s="47">
        <f>D75+E75</f>
        <v/>
      </c>
      <c r="G75" s="63">
        <f>F75/B75</f>
        <v/>
      </c>
      <c r="H75" s="47">
        <f>F75-F74</f>
        <v/>
      </c>
      <c r="I75" s="63">
        <f>MAX(0.005,pac_u_base*IF(Paths!AC75=1,pac_u_war,1)+(okun*(1-Economy!G75)*(B75+L75)-MAX(0,L74-L75))/B75)</f>
        <v/>
      </c>
      <c r="J75" s="47">
        <f>IF(AND(gw_on=1,$A75&gt;=gw_start),MIN(gw_cap*B74,gw_cover*F74+gw_gen*B74),0)</f>
        <v/>
      </c>
      <c r="K75" s="47">
        <f>L74*gw_conv</f>
        <v/>
      </c>
      <c r="L75" s="47">
        <f>MAX(0,L74-K75+gw_adj*(J75-L74))*MAX(0,1-gw_slump*(1-Economy!G75))</f>
        <v/>
      </c>
      <c r="M75" s="47">
        <f>MAX(0,L75-L74+L74/gw_term)</f>
        <v/>
      </c>
      <c r="N75" s="63">
        <f>L75/B75</f>
        <v/>
      </c>
      <c r="O75" s="53">
        <f>Economy!L75</f>
        <v/>
      </c>
      <c r="P75" s="53">
        <f>O75*gw_wage_share</f>
        <v/>
      </c>
      <c r="Q75" s="53">
        <f>P75*gw_levy</f>
        <v/>
      </c>
      <c r="R75" s="53">
        <f>P75*gw_remit</f>
        <v/>
      </c>
      <c r="S75" s="63">
        <f>IF(union_resp&gt;=1,MIN(1,MAX(0,($A75-resp_start)/(resp_full-resp_start))),0)</f>
        <v/>
      </c>
      <c r="T75" s="67">
        <f>Economy!R74</f>
        <v/>
      </c>
      <c r="U75" s="67">
        <f>MAX(0,T75-gap_base)</f>
        <v/>
      </c>
      <c r="V75" s="68" t="n">
        <v>77.79000000000001</v>
      </c>
      <c r="W75" s="47">
        <f>V75*1000000*lf_rate*union_skill_share</f>
        <v/>
      </c>
      <c r="X75" s="45" t="n">
        <v>55000</v>
      </c>
      <c r="Y75" s="47">
        <f>IF(AND(mig_endo=1,$A75&gt;=talent_start),talent_rate_u*W75*U75*(1-(1-bd_keep)*S75),0)</f>
        <v/>
      </c>
      <c r="Z75" s="47">
        <f>IF(AND(mig_endo=1,$A75&gt;=talent_start),X75*MIN(0.5,talent_share_o*U75)*(1-eu_comp*S75),0)</f>
        <v/>
      </c>
      <c r="AA75" s="45" t="n">
        <v>59000</v>
      </c>
      <c r="AB75" s="47">
        <f>IF(AND(mig_endo=1,$A75&gt;=talent_start),AA75*MIN(0.5,talent_share_a*U75),0)</f>
        <v/>
      </c>
      <c r="AC75" s="47">
        <f>entry_cap*People!B75</f>
        <v/>
      </c>
      <c r="AD75" s="47">
        <f>MIN(AC75,Y75+Z75+AB75)</f>
        <v/>
      </c>
      <c r="AE75" s="47">
        <f>IF(Y75+Z75+AB75&gt;0,AD75*Y75/(Y75+Z75+AB75),0)</f>
        <v/>
      </c>
      <c r="AF75" s="47">
        <f>IF(Y75+Z75+AB75&gt;0,AD75*AB75/(Y75+Z75+AB75),0)</f>
        <v/>
      </c>
      <c r="AG75" s="47">
        <f>AD75*family_mult</f>
        <v/>
      </c>
      <c r="AH75" s="47">
        <f>AH74*(1+Paths!C75)+AG75</f>
        <v/>
      </c>
      <c r="AI75" s="47">
        <f>IF(AND(mig_endo=1,$A75&gt;=talent_start),chain_rate*AH74,0)</f>
        <v/>
      </c>
      <c r="AJ75" s="47">
        <f>IF(AND(mig_endo=1,$A75&gt;=talent_start),IF(H74&gt;0,H74*job_fill,H74*job_return)*job_family,0)</f>
        <v/>
      </c>
      <c r="AK75" s="47">
        <f>K75*gw_conv_family</f>
        <v/>
      </c>
      <c r="AL75" s="47">
        <f>AG75+AI75+AJ75+AK75+AR75</f>
        <v/>
      </c>
      <c r="AM75" s="47">
        <f>AM74*(1-skill_ret)+AD75</f>
        <v/>
      </c>
      <c r="AN75" s="64">
        <f>AM75/B75</f>
        <v/>
      </c>
      <c r="AO75" s="64">
        <f>(skill_rel-1+skill_spill)*AM74/B74-AT75</f>
        <v/>
      </c>
      <c r="AP75" s="64">
        <f>talent_champ*AM74/(skill_base_share*B74)</f>
        <v/>
      </c>
      <c r="AQ75" s="45" t="n">
        <v>330000</v>
      </c>
      <c r="AR75" s="47">
        <f>IF(AND(div_on=1,$A75&gt;=div_start),AQ75*MIN(div_max,div_rate*U75)*(1-div_comp*S75),0)</f>
        <v/>
      </c>
      <c r="AS75" s="47">
        <f>AS74*(1-div_assim)+AR75</f>
        <v/>
      </c>
      <c r="AT75" s="64">
        <f>(1-div_rel)*AS74/Economy!B74</f>
        <v/>
      </c>
      <c r="AU75" s="47">
        <f>AU74*(1-skill_ret)+AE75</f>
        <v/>
      </c>
      <c r="AV75" s="47">
        <f>AV74*(1+union_nat)+AR75</f>
        <v/>
      </c>
      <c r="AW75" s="47">
        <f>AW74*(1+union_nat)+AE75*family_mult</f>
        <v/>
      </c>
      <c r="AX75" s="67">
        <f>V75-(AV75+AW75)/1000000</f>
        <v/>
      </c>
      <c r="AY75" s="47">
        <f>L75*gw_union</f>
        <v/>
      </c>
      <c r="AZ75" s="46" t="n">
        <v>1.053</v>
      </c>
      <c r="BA75" s="47">
        <f>Economy!Q75*AZ75/lf_rate</f>
        <v/>
      </c>
      <c r="BB75" s="64">
        <f>bd_growth*AU74/W74</f>
        <v/>
      </c>
      <c r="BC75" s="64">
        <f>tg_k*MIN(1,Economy!O74/BK74)</f>
        <v/>
      </c>
      <c r="BD75" s="64">
        <f>emu_g*S75</f>
        <v/>
      </c>
      <c r="BE75" s="65">
        <f>BE74*(1-BB75-BC75+BD75)</f>
        <v/>
      </c>
      <c r="BF75" s="46" t="n">
        <v>1</v>
      </c>
      <c r="BG75" s="53">
        <f>AU75*BA75*BE75*(skill_rel-1+skill_spill)/1000000</f>
        <v/>
      </c>
      <c r="BH75" s="53">
        <f>union_disp*(Champions!AP75+Champions!AZ75)*(1-IF(union_resp=2,mkt_cut*S75,0))</f>
        <v/>
      </c>
      <c r="BI75" s="53">
        <f>AY75*BA75*BE75/1000000</f>
        <v/>
      </c>
      <c r="BJ75" s="47">
        <f>V75*Economy!Q75*AZ75</f>
        <v/>
      </c>
      <c r="BK75" s="47">
        <f>MAX(0.3*BJ75,AX75*Economy!Q75*AZ75*BE75*BF75-BG75-BH75-BI75)</f>
        <v/>
      </c>
      <c r="BL75" s="63">
        <f>1-BK75/BJ75</f>
        <v/>
      </c>
      <c r="BM75" s="47">
        <f>MAX(0,BH75-BH74)*1000000/BA75</f>
        <v/>
      </c>
      <c r="BN75" s="47">
        <f>BN74*(1-IF(AND($A75&gt;=1930,$A75&lt;=1932),0,union_reabsorb))+BM75</f>
        <v/>
      </c>
      <c r="BO75" s="59" t="n">
        <v>0.08500000000000001</v>
      </c>
      <c r="BP75" s="63">
        <f>BO75+BN75/(AX75*1000000*lf_rate)</f>
        <v/>
      </c>
    </row>
    <row r="76">
      <c r="A76" s="61" t="n">
        <v>1916</v>
      </c>
      <c r="B76" s="47">
        <f>Economy!B76*lf_rate</f>
        <v/>
      </c>
      <c r="C76" s="47">
        <f>Economy!O76*1000000/(B76+L76)</f>
        <v/>
      </c>
      <c r="D76" s="47">
        <f>Champions!AP76*1000000/(C76*champ_prem)</f>
        <v/>
      </c>
      <c r="E76" s="47">
        <f>D76*job_mult</f>
        <v/>
      </c>
      <c r="F76" s="47">
        <f>D76+E76</f>
        <v/>
      </c>
      <c r="G76" s="63">
        <f>F76/B76</f>
        <v/>
      </c>
      <c r="H76" s="47">
        <f>F76-F75</f>
        <v/>
      </c>
      <c r="I76" s="63">
        <f>MAX(0.005,pac_u_base*IF(Paths!AC76=1,pac_u_war,1)+(okun*(1-Economy!G76)*(B76+L76)-MAX(0,L75-L76))/B76)</f>
        <v/>
      </c>
      <c r="J76" s="47">
        <f>IF(AND(gw_on=1,$A76&gt;=gw_start),MIN(gw_cap*B75,gw_cover*F75+gw_gen*B75),0)</f>
        <v/>
      </c>
      <c r="K76" s="47">
        <f>L75*gw_conv</f>
        <v/>
      </c>
      <c r="L76" s="47">
        <f>MAX(0,L75-K76+gw_adj*(J76-L75))*MAX(0,1-gw_slump*(1-Economy!G76))</f>
        <v/>
      </c>
      <c r="M76" s="47">
        <f>MAX(0,L76-L75+L75/gw_term)</f>
        <v/>
      </c>
      <c r="N76" s="63">
        <f>L76/B76</f>
        <v/>
      </c>
      <c r="O76" s="53">
        <f>Economy!L76</f>
        <v/>
      </c>
      <c r="P76" s="53">
        <f>O76*gw_wage_share</f>
        <v/>
      </c>
      <c r="Q76" s="53">
        <f>P76*gw_levy</f>
        <v/>
      </c>
      <c r="R76" s="53">
        <f>P76*gw_remit</f>
        <v/>
      </c>
      <c r="S76" s="63">
        <f>IF(union_resp&gt;=1,MIN(1,MAX(0,($A76-resp_start)/(resp_full-resp_start))),0)</f>
        <v/>
      </c>
      <c r="T76" s="67">
        <f>Economy!R75</f>
        <v/>
      </c>
      <c r="U76" s="67">
        <f>MAX(0,T76-gap_base)</f>
        <v/>
      </c>
      <c r="V76" s="68" t="n">
        <v>78.63</v>
      </c>
      <c r="W76" s="47">
        <f>V76*1000000*lf_rate*union_skill_share</f>
        <v/>
      </c>
      <c r="X76" s="45" t="n">
        <v>50000</v>
      </c>
      <c r="Y76" s="47">
        <f>IF(AND(mig_endo=1,$A76&gt;=talent_start),talent_rate_u*W76*U76*(1-(1-bd_keep)*S76),0)</f>
        <v/>
      </c>
      <c r="Z76" s="47">
        <f>IF(AND(mig_endo=1,$A76&gt;=talent_start),X76*MIN(0.5,talent_share_o*U76)*(1-eu_comp*S76),0)</f>
        <v/>
      </c>
      <c r="AA76" s="45" t="n">
        <v>63000</v>
      </c>
      <c r="AB76" s="47">
        <f>IF(AND(mig_endo=1,$A76&gt;=talent_start),AA76*MIN(0.5,talent_share_a*U76),0)</f>
        <v/>
      </c>
      <c r="AC76" s="47">
        <f>entry_cap*People!B76</f>
        <v/>
      </c>
      <c r="AD76" s="47">
        <f>MIN(AC76,Y76+Z76+AB76)</f>
        <v/>
      </c>
      <c r="AE76" s="47">
        <f>IF(Y76+Z76+AB76&gt;0,AD76*Y76/(Y76+Z76+AB76),0)</f>
        <v/>
      </c>
      <c r="AF76" s="47">
        <f>IF(Y76+Z76+AB76&gt;0,AD76*AB76/(Y76+Z76+AB76),0)</f>
        <v/>
      </c>
      <c r="AG76" s="47">
        <f>AD76*family_mult</f>
        <v/>
      </c>
      <c r="AH76" s="47">
        <f>AH75*(1+Paths!C76)+AG76</f>
        <v/>
      </c>
      <c r="AI76" s="47">
        <f>IF(AND(mig_endo=1,$A76&gt;=talent_start),chain_rate*AH75,0)</f>
        <v/>
      </c>
      <c r="AJ76" s="47">
        <f>IF(AND(mig_endo=1,$A76&gt;=talent_start),IF(H75&gt;0,H75*job_fill,H75*job_return)*job_family,0)</f>
        <v/>
      </c>
      <c r="AK76" s="47">
        <f>K76*gw_conv_family</f>
        <v/>
      </c>
      <c r="AL76" s="47">
        <f>AG76+AI76+AJ76+AK76+AR76</f>
        <v/>
      </c>
      <c r="AM76" s="47">
        <f>AM75*(1-skill_ret)+AD76</f>
        <v/>
      </c>
      <c r="AN76" s="64">
        <f>AM76/B76</f>
        <v/>
      </c>
      <c r="AO76" s="64">
        <f>(skill_rel-1+skill_spill)*AM75/B75-AT76</f>
        <v/>
      </c>
      <c r="AP76" s="64">
        <f>talent_champ*AM75/(skill_base_share*B75)</f>
        <v/>
      </c>
      <c r="AQ76" s="45" t="n">
        <v>257000</v>
      </c>
      <c r="AR76" s="47">
        <f>IF(AND(div_on=1,$A76&gt;=div_start),AQ76*MIN(div_max,div_rate*U76)*(1-div_comp*S76),0)</f>
        <v/>
      </c>
      <c r="AS76" s="47">
        <f>AS75*(1-div_assim)+AR76</f>
        <v/>
      </c>
      <c r="AT76" s="64">
        <f>(1-div_rel)*AS75/Economy!B75</f>
        <v/>
      </c>
      <c r="AU76" s="47">
        <f>AU75*(1-skill_ret)+AE76</f>
        <v/>
      </c>
      <c r="AV76" s="47">
        <f>AV75*(1+union_nat)+AR76</f>
        <v/>
      </c>
      <c r="AW76" s="47">
        <f>AW75*(1+union_nat)+AE76*family_mult</f>
        <v/>
      </c>
      <c r="AX76" s="67">
        <f>V76-(AV76+AW76)/1000000</f>
        <v/>
      </c>
      <c r="AY76" s="47">
        <f>L76*gw_union</f>
        <v/>
      </c>
      <c r="AZ76" s="46" t="n">
        <v>1.054</v>
      </c>
      <c r="BA76" s="47">
        <f>Economy!Q76*AZ76/lf_rate</f>
        <v/>
      </c>
      <c r="BB76" s="64">
        <f>bd_growth*AU75/W75</f>
        <v/>
      </c>
      <c r="BC76" s="64">
        <f>tg_k*MIN(1,Economy!O75/BK75)</f>
        <v/>
      </c>
      <c r="BD76" s="64">
        <f>emu_g*S76</f>
        <v/>
      </c>
      <c r="BE76" s="65">
        <f>BE75*(1-BB76-BC76+BD76)</f>
        <v/>
      </c>
      <c r="BF76" s="46" t="n">
        <v>1</v>
      </c>
      <c r="BG76" s="53">
        <f>AU76*BA76*BE76*(skill_rel-1+skill_spill)/1000000</f>
        <v/>
      </c>
      <c r="BH76" s="53">
        <f>union_disp*(Champions!AP76+Champions!AZ76)*(1-IF(union_resp=2,mkt_cut*S76,0))</f>
        <v/>
      </c>
      <c r="BI76" s="53">
        <f>AY76*BA76*BE76/1000000</f>
        <v/>
      </c>
      <c r="BJ76" s="47">
        <f>V76*Economy!Q76*AZ76</f>
        <v/>
      </c>
      <c r="BK76" s="47">
        <f>MAX(0.3*BJ76,AX76*Economy!Q76*AZ76*BE76*BF76-BG76-BH76-BI76)</f>
        <v/>
      </c>
      <c r="BL76" s="63">
        <f>1-BK76/BJ76</f>
        <v/>
      </c>
      <c r="BM76" s="47">
        <f>MAX(0,BH76-BH75)*1000000/BA76</f>
        <v/>
      </c>
      <c r="BN76" s="47">
        <f>BN75*(1-IF(AND($A76&gt;=1930,$A76&lt;=1932),0,union_reabsorb))+BM76</f>
        <v/>
      </c>
      <c r="BO76" s="59" t="n">
        <v>0.051</v>
      </c>
      <c r="BP76" s="63">
        <f>BO76+BN76/(AX76*1000000*lf_rate)</f>
        <v/>
      </c>
    </row>
    <row r="77">
      <c r="A77" s="61" t="n">
        <v>1917</v>
      </c>
      <c r="B77" s="47">
        <f>Economy!B77*lf_rate</f>
        <v/>
      </c>
      <c r="C77" s="47">
        <f>Economy!O77*1000000/(B77+L77)</f>
        <v/>
      </c>
      <c r="D77" s="47">
        <f>Champions!AP77*1000000/(C77*champ_prem)</f>
        <v/>
      </c>
      <c r="E77" s="47">
        <f>D77*job_mult</f>
        <v/>
      </c>
      <c r="F77" s="47">
        <f>D77+E77</f>
        <v/>
      </c>
      <c r="G77" s="63">
        <f>F77/B77</f>
        <v/>
      </c>
      <c r="H77" s="47">
        <f>F77-F76</f>
        <v/>
      </c>
      <c r="I77" s="63">
        <f>MAX(0.005,pac_u_base*IF(Paths!AC77=1,pac_u_war,1)+(okun*(1-Economy!G77)*(B77+L77)-MAX(0,L76-L77))/B77)</f>
        <v/>
      </c>
      <c r="J77" s="47">
        <f>IF(AND(gw_on=1,$A77&gt;=gw_start),MIN(gw_cap*B76,gw_cover*F76+gw_gen*B76),0)</f>
        <v/>
      </c>
      <c r="K77" s="47">
        <f>L76*gw_conv</f>
        <v/>
      </c>
      <c r="L77" s="47">
        <f>MAX(0,L76-K77+gw_adj*(J77-L76))*MAX(0,1-gw_slump*(1-Economy!G77))</f>
        <v/>
      </c>
      <c r="M77" s="47">
        <f>MAX(0,L77-L76+L76/gw_term)</f>
        <v/>
      </c>
      <c r="N77" s="63">
        <f>L77/B77</f>
        <v/>
      </c>
      <c r="O77" s="53">
        <f>Economy!L77</f>
        <v/>
      </c>
      <c r="P77" s="53">
        <f>O77*gw_wage_share</f>
        <v/>
      </c>
      <c r="Q77" s="53">
        <f>P77*gw_levy</f>
        <v/>
      </c>
      <c r="R77" s="53">
        <f>P77*gw_remit</f>
        <v/>
      </c>
      <c r="S77" s="63">
        <f>IF(union_resp&gt;=1,MIN(1,MAX(0,($A77-resp_start)/(resp_full-resp_start))),0)</f>
        <v/>
      </c>
      <c r="T77" s="67">
        <f>Economy!R76</f>
        <v/>
      </c>
      <c r="U77" s="67">
        <f>MAX(0,T77-gap_base)</f>
        <v/>
      </c>
      <c r="V77" s="68" t="n">
        <v>79.47</v>
      </c>
      <c r="W77" s="47">
        <f>V77*1000000*lf_rate*union_skill_share</f>
        <v/>
      </c>
      <c r="X77" s="45" t="n">
        <v>45000</v>
      </c>
      <c r="Y77" s="47">
        <f>IF(AND(mig_endo=1,$A77&gt;=talent_start),talent_rate_u*W77*U77*(1-(1-bd_keep)*S77),0)</f>
        <v/>
      </c>
      <c r="Z77" s="47">
        <f>IF(AND(mig_endo=1,$A77&gt;=talent_start),X77*MIN(0.5,talent_share_o*U77)*(1-eu_comp*S77),0)</f>
        <v/>
      </c>
      <c r="AA77" s="45" t="n">
        <v>67000</v>
      </c>
      <c r="AB77" s="47">
        <f>IF(AND(mig_endo=1,$A77&gt;=talent_start),AA77*MIN(0.5,talent_share_a*U77),0)</f>
        <v/>
      </c>
      <c r="AC77" s="47">
        <f>entry_cap*People!B77</f>
        <v/>
      </c>
      <c r="AD77" s="47">
        <f>MIN(AC77,Y77+Z77+AB77)</f>
        <v/>
      </c>
      <c r="AE77" s="47">
        <f>IF(Y77+Z77+AB77&gt;0,AD77*Y77/(Y77+Z77+AB77),0)</f>
        <v/>
      </c>
      <c r="AF77" s="47">
        <f>IF(Y77+Z77+AB77&gt;0,AD77*AB77/(Y77+Z77+AB77),0)</f>
        <v/>
      </c>
      <c r="AG77" s="47">
        <f>AD77*family_mult</f>
        <v/>
      </c>
      <c r="AH77" s="47">
        <f>AH76*(1+Paths!C77)+AG77</f>
        <v/>
      </c>
      <c r="AI77" s="47">
        <f>IF(AND(mig_endo=1,$A77&gt;=talent_start),chain_rate*AH76,0)</f>
        <v/>
      </c>
      <c r="AJ77" s="47">
        <f>IF(AND(mig_endo=1,$A77&gt;=talent_start),IF(H76&gt;0,H76*job_fill,H76*job_return)*job_family,0)</f>
        <v/>
      </c>
      <c r="AK77" s="47">
        <f>K77*gw_conv_family</f>
        <v/>
      </c>
      <c r="AL77" s="47">
        <f>AG77+AI77+AJ77+AK77+AR77</f>
        <v/>
      </c>
      <c r="AM77" s="47">
        <f>AM76*(1-skill_ret)+AD77</f>
        <v/>
      </c>
      <c r="AN77" s="64">
        <f>AM77/B77</f>
        <v/>
      </c>
      <c r="AO77" s="64">
        <f>(skill_rel-1+skill_spill)*AM76/B76-AT77</f>
        <v/>
      </c>
      <c r="AP77" s="64">
        <f>talent_champ*AM76/(skill_base_share*B76)</f>
        <v/>
      </c>
      <c r="AQ77" s="45" t="n">
        <v>183000</v>
      </c>
      <c r="AR77" s="47">
        <f>IF(AND(div_on=1,$A77&gt;=div_start),AQ77*MIN(div_max,div_rate*U77)*(1-div_comp*S77),0)</f>
        <v/>
      </c>
      <c r="AS77" s="47">
        <f>AS76*(1-div_assim)+AR77</f>
        <v/>
      </c>
      <c r="AT77" s="64">
        <f>(1-div_rel)*AS76/Economy!B76</f>
        <v/>
      </c>
      <c r="AU77" s="47">
        <f>AU76*(1-skill_ret)+AE77</f>
        <v/>
      </c>
      <c r="AV77" s="47">
        <f>AV76*(1+union_nat)+AR77</f>
        <v/>
      </c>
      <c r="AW77" s="47">
        <f>AW76*(1+union_nat)+AE77*family_mult</f>
        <v/>
      </c>
      <c r="AX77" s="67">
        <f>V77-(AV77+AW77)/1000000</f>
        <v/>
      </c>
      <c r="AY77" s="47">
        <f>L77*gw_union</f>
        <v/>
      </c>
      <c r="AZ77" s="46" t="n">
        <v>1.055</v>
      </c>
      <c r="BA77" s="47">
        <f>Economy!Q77*AZ77/lf_rate</f>
        <v/>
      </c>
      <c r="BB77" s="64">
        <f>bd_growth*AU76/W76</f>
        <v/>
      </c>
      <c r="BC77" s="64">
        <f>tg_k*MIN(1,Economy!O76/BK76)</f>
        <v/>
      </c>
      <c r="BD77" s="64">
        <f>emu_g*S77</f>
        <v/>
      </c>
      <c r="BE77" s="65">
        <f>BE76*(1-BB77-BC77+BD77)</f>
        <v/>
      </c>
      <c r="BF77" s="46" t="n">
        <v>1</v>
      </c>
      <c r="BG77" s="53">
        <f>AU77*BA77*BE77*(skill_rel-1+skill_spill)/1000000</f>
        <v/>
      </c>
      <c r="BH77" s="53">
        <f>union_disp*(Champions!AP77+Champions!AZ77)*(1-IF(union_resp=2,mkt_cut*S77,0))</f>
        <v/>
      </c>
      <c r="BI77" s="53">
        <f>AY77*BA77*BE77/1000000</f>
        <v/>
      </c>
      <c r="BJ77" s="47">
        <f>V77*Economy!Q77*AZ77</f>
        <v/>
      </c>
      <c r="BK77" s="47">
        <f>MAX(0.3*BJ77,AX77*Economy!Q77*AZ77*BE77*BF77-BG77-BH77-BI77)</f>
        <v/>
      </c>
      <c r="BL77" s="63">
        <f>1-BK77/BJ77</f>
        <v/>
      </c>
      <c r="BM77" s="47">
        <f>MAX(0,BH77-BH76)*1000000/BA77</f>
        <v/>
      </c>
      <c r="BN77" s="47">
        <f>BN76*(1-IF(AND($A77&gt;=1930,$A77&lt;=1932),0,union_reabsorb))+BM77</f>
        <v/>
      </c>
      <c r="BO77" s="59" t="n">
        <v>0.033</v>
      </c>
      <c r="BP77" s="63">
        <f>BO77+BN77/(AX77*1000000*lf_rate)</f>
        <v/>
      </c>
    </row>
    <row r="78">
      <c r="A78" s="61" t="n">
        <v>1918</v>
      </c>
      <c r="B78" s="47">
        <f>Economy!B78*lf_rate</f>
        <v/>
      </c>
      <c r="C78" s="47">
        <f>Economy!O78*1000000/(B78+L78)</f>
        <v/>
      </c>
      <c r="D78" s="47">
        <f>Champions!AP78*1000000/(C78*champ_prem)</f>
        <v/>
      </c>
      <c r="E78" s="47">
        <f>D78*job_mult</f>
        <v/>
      </c>
      <c r="F78" s="47">
        <f>D78+E78</f>
        <v/>
      </c>
      <c r="G78" s="63">
        <f>F78/B78</f>
        <v/>
      </c>
      <c r="H78" s="47">
        <f>F78-F77</f>
        <v/>
      </c>
      <c r="I78" s="63">
        <f>MAX(0.005,pac_u_base*IF(Paths!AC78=1,pac_u_war,1)+(okun*(1-Economy!G78)*(B78+L78)-MAX(0,L77-L78))/B78)</f>
        <v/>
      </c>
      <c r="J78" s="47">
        <f>IF(AND(gw_on=1,$A78&gt;=gw_start),MIN(gw_cap*B77,gw_cover*F77+gw_gen*B77),0)</f>
        <v/>
      </c>
      <c r="K78" s="47">
        <f>L77*gw_conv</f>
        <v/>
      </c>
      <c r="L78" s="47">
        <f>MAX(0,L77-K78+gw_adj*(J78-L77))*MAX(0,1-gw_slump*(1-Economy!G78))</f>
        <v/>
      </c>
      <c r="M78" s="47">
        <f>MAX(0,L78-L77+L77/gw_term)</f>
        <v/>
      </c>
      <c r="N78" s="63">
        <f>L78/B78</f>
        <v/>
      </c>
      <c r="O78" s="53">
        <f>Economy!L78</f>
        <v/>
      </c>
      <c r="P78" s="53">
        <f>O78*gw_wage_share</f>
        <v/>
      </c>
      <c r="Q78" s="53">
        <f>P78*gw_levy</f>
        <v/>
      </c>
      <c r="R78" s="53">
        <f>P78*gw_remit</f>
        <v/>
      </c>
      <c r="S78" s="63">
        <f>IF(union_resp&gt;=1,MIN(1,MAX(0,($A78-resp_start)/(resp_full-resp_start))),0)</f>
        <v/>
      </c>
      <c r="T78" s="67">
        <f>Economy!R77</f>
        <v/>
      </c>
      <c r="U78" s="67">
        <f>MAX(0,T78-gap_base)</f>
        <v/>
      </c>
      <c r="V78" s="68" t="n">
        <v>80.31</v>
      </c>
      <c r="W78" s="47">
        <f>V78*1000000*lf_rate*union_skill_share</f>
        <v/>
      </c>
      <c r="X78" s="45" t="n">
        <v>40000</v>
      </c>
      <c r="Y78" s="47">
        <f>IF(AND(mig_endo=1,$A78&gt;=talent_start),talent_rate_u*W78*U78*(1-(1-bd_keep)*S78),0)</f>
        <v/>
      </c>
      <c r="Z78" s="47">
        <f>IF(AND(mig_endo=1,$A78&gt;=talent_start),X78*MIN(0.5,talent_share_o*U78)*(1-eu_comp*S78),0)</f>
        <v/>
      </c>
      <c r="AA78" s="45" t="n">
        <v>71000</v>
      </c>
      <c r="AB78" s="47">
        <f>IF(AND(mig_endo=1,$A78&gt;=talent_start),AA78*MIN(0.5,talent_share_a*U78),0)</f>
        <v/>
      </c>
      <c r="AC78" s="47">
        <f>entry_cap*People!B78</f>
        <v/>
      </c>
      <c r="AD78" s="47">
        <f>MIN(AC78,Y78+Z78+AB78)</f>
        <v/>
      </c>
      <c r="AE78" s="47">
        <f>IF(Y78+Z78+AB78&gt;0,AD78*Y78/(Y78+Z78+AB78),0)</f>
        <v/>
      </c>
      <c r="AF78" s="47">
        <f>IF(Y78+Z78+AB78&gt;0,AD78*AB78/(Y78+Z78+AB78),0)</f>
        <v/>
      </c>
      <c r="AG78" s="47">
        <f>AD78*family_mult</f>
        <v/>
      </c>
      <c r="AH78" s="47">
        <f>AH77*(1+Paths!C78)+AG78</f>
        <v/>
      </c>
      <c r="AI78" s="47">
        <f>IF(AND(mig_endo=1,$A78&gt;=talent_start),chain_rate*AH77,0)</f>
        <v/>
      </c>
      <c r="AJ78" s="47">
        <f>IF(AND(mig_endo=1,$A78&gt;=talent_start),IF(H77&gt;0,H77*job_fill,H77*job_return)*job_family,0)</f>
        <v/>
      </c>
      <c r="AK78" s="47">
        <f>K78*gw_conv_family</f>
        <v/>
      </c>
      <c r="AL78" s="47">
        <f>AG78+AI78+AJ78+AK78+AR78</f>
        <v/>
      </c>
      <c r="AM78" s="47">
        <f>AM77*(1-skill_ret)+AD78</f>
        <v/>
      </c>
      <c r="AN78" s="64">
        <f>AM78/B78</f>
        <v/>
      </c>
      <c r="AO78" s="64">
        <f>(skill_rel-1+skill_spill)*AM77/B77-AT78</f>
        <v/>
      </c>
      <c r="AP78" s="64">
        <f>talent_champ*AM77/(skill_base_share*B77)</f>
        <v/>
      </c>
      <c r="AQ78" s="45" t="n">
        <v>110000</v>
      </c>
      <c r="AR78" s="47">
        <f>IF(AND(div_on=1,$A78&gt;=div_start),AQ78*MIN(div_max,div_rate*U78)*(1-div_comp*S78),0)</f>
        <v/>
      </c>
      <c r="AS78" s="47">
        <f>AS77*(1-div_assim)+AR78</f>
        <v/>
      </c>
      <c r="AT78" s="64">
        <f>(1-div_rel)*AS77/Economy!B77</f>
        <v/>
      </c>
      <c r="AU78" s="47">
        <f>AU77*(1-skill_ret)+AE78</f>
        <v/>
      </c>
      <c r="AV78" s="47">
        <f>AV77*(1+union_nat)+AR78</f>
        <v/>
      </c>
      <c r="AW78" s="47">
        <f>AW77*(1+union_nat)+AE78*family_mult</f>
        <v/>
      </c>
      <c r="AX78" s="67">
        <f>V78-(AV78+AW78)/1000000</f>
        <v/>
      </c>
      <c r="AY78" s="47">
        <f>L78*gw_union</f>
        <v/>
      </c>
      <c r="AZ78" s="46" t="n">
        <v>1.056</v>
      </c>
      <c r="BA78" s="47">
        <f>Economy!Q78*AZ78/lf_rate</f>
        <v/>
      </c>
      <c r="BB78" s="64">
        <f>bd_growth*AU77/W77</f>
        <v/>
      </c>
      <c r="BC78" s="64">
        <f>tg_k*MIN(1,Economy!O77/BK77)</f>
        <v/>
      </c>
      <c r="BD78" s="64">
        <f>emu_g*S78</f>
        <v/>
      </c>
      <c r="BE78" s="65">
        <f>BE77*(1-BB78-BC78+BD78)</f>
        <v/>
      </c>
      <c r="BF78" s="46" t="n">
        <v>1</v>
      </c>
      <c r="BG78" s="53">
        <f>AU78*BA78*BE78*(skill_rel-1+skill_spill)/1000000</f>
        <v/>
      </c>
      <c r="BH78" s="53">
        <f>union_disp*(Champions!AP78+Champions!AZ78)*(1-IF(union_resp=2,mkt_cut*S78,0))</f>
        <v/>
      </c>
      <c r="BI78" s="53">
        <f>AY78*BA78*BE78/1000000</f>
        <v/>
      </c>
      <c r="BJ78" s="47">
        <f>V78*Economy!Q78*AZ78</f>
        <v/>
      </c>
      <c r="BK78" s="47">
        <f>MAX(0.3*BJ78,AX78*Economy!Q78*AZ78*BE78*BF78-BG78-BH78-BI78)</f>
        <v/>
      </c>
      <c r="BL78" s="63">
        <f>1-BK78/BJ78</f>
        <v/>
      </c>
      <c r="BM78" s="47">
        <f>MAX(0,BH78-BH77)*1000000/BA78</f>
        <v/>
      </c>
      <c r="BN78" s="47">
        <f>BN77*(1-IF(AND($A78&gt;=1930,$A78&lt;=1932),0,union_reabsorb))+BM78</f>
        <v/>
      </c>
      <c r="BO78" s="59" t="n">
        <v>0.014</v>
      </c>
      <c r="BP78" s="63">
        <f>BO78+BN78/(AX78*1000000*lf_rate)</f>
        <v/>
      </c>
    </row>
    <row r="79">
      <c r="A79" s="61" t="n">
        <v>1919</v>
      </c>
      <c r="B79" s="47">
        <f>Economy!B79*lf_rate</f>
        <v/>
      </c>
      <c r="C79" s="47">
        <f>Economy!O79*1000000/(B79+L79)</f>
        <v/>
      </c>
      <c r="D79" s="47">
        <f>Champions!AP79*1000000/(C79*champ_prem)</f>
        <v/>
      </c>
      <c r="E79" s="47">
        <f>D79*job_mult</f>
        <v/>
      </c>
      <c r="F79" s="47">
        <f>D79+E79</f>
        <v/>
      </c>
      <c r="G79" s="63">
        <f>F79/B79</f>
        <v/>
      </c>
      <c r="H79" s="47">
        <f>F79-F78</f>
        <v/>
      </c>
      <c r="I79" s="63">
        <f>MAX(0.005,pac_u_base*IF(Paths!AC79=1,pac_u_war,1)+(okun*(1-Economy!G79)*(B79+L79)-MAX(0,L78-L79))/B79)</f>
        <v/>
      </c>
      <c r="J79" s="47">
        <f>IF(AND(gw_on=1,$A79&gt;=gw_start),MIN(gw_cap*B78,gw_cover*F78+gw_gen*B78),0)</f>
        <v/>
      </c>
      <c r="K79" s="47">
        <f>L78*gw_conv</f>
        <v/>
      </c>
      <c r="L79" s="47">
        <f>MAX(0,L78-K79+gw_adj*(J79-L78))*MAX(0,1-gw_slump*(1-Economy!G79))</f>
        <v/>
      </c>
      <c r="M79" s="47">
        <f>MAX(0,L79-L78+L78/gw_term)</f>
        <v/>
      </c>
      <c r="N79" s="63">
        <f>L79/B79</f>
        <v/>
      </c>
      <c r="O79" s="53">
        <f>Economy!L79</f>
        <v/>
      </c>
      <c r="P79" s="53">
        <f>O79*gw_wage_share</f>
        <v/>
      </c>
      <c r="Q79" s="53">
        <f>P79*gw_levy</f>
        <v/>
      </c>
      <c r="R79" s="53">
        <f>P79*gw_remit</f>
        <v/>
      </c>
      <c r="S79" s="63">
        <f>IF(union_resp&gt;=1,MIN(1,MAX(0,($A79-resp_start)/(resp_full-resp_start))),0)</f>
        <v/>
      </c>
      <c r="T79" s="67">
        <f>Economy!R78</f>
        <v/>
      </c>
      <c r="U79" s="67">
        <f>MAX(0,T79-gap_base)</f>
        <v/>
      </c>
      <c r="V79" s="68" t="n">
        <v>81.16</v>
      </c>
      <c r="W79" s="47">
        <f>V79*1000000*lf_rate*union_skill_share</f>
        <v/>
      </c>
      <c r="X79" s="45" t="n">
        <v>200000</v>
      </c>
      <c r="Y79" s="47">
        <f>IF(AND(mig_endo=1,$A79&gt;=talent_start),talent_rate_u*W79*U79*(1-(1-bd_keep)*S79),0)</f>
        <v/>
      </c>
      <c r="Z79" s="47">
        <f>IF(AND(mig_endo=1,$A79&gt;=talent_start),X79*MIN(0.5,talent_share_o*U79)*(1-eu_comp*S79),0)</f>
        <v/>
      </c>
      <c r="AA79" s="45" t="n">
        <v>76000</v>
      </c>
      <c r="AB79" s="47">
        <f>IF(AND(mig_endo=1,$A79&gt;=talent_start),AA79*MIN(0.5,talent_share_a*U79),0)</f>
        <v/>
      </c>
      <c r="AC79" s="47">
        <f>entry_cap*People!B79</f>
        <v/>
      </c>
      <c r="AD79" s="47">
        <f>MIN(AC79,Y79+Z79+AB79)</f>
        <v/>
      </c>
      <c r="AE79" s="47">
        <f>IF(Y79+Z79+AB79&gt;0,AD79*Y79/(Y79+Z79+AB79),0)</f>
        <v/>
      </c>
      <c r="AF79" s="47">
        <f>IF(Y79+Z79+AB79&gt;0,AD79*AB79/(Y79+Z79+AB79),0)</f>
        <v/>
      </c>
      <c r="AG79" s="47">
        <f>AD79*family_mult</f>
        <v/>
      </c>
      <c r="AH79" s="47">
        <f>AH78*(1+Paths!C79)+AG79</f>
        <v/>
      </c>
      <c r="AI79" s="47">
        <f>IF(AND(mig_endo=1,$A79&gt;=talent_start),chain_rate*AH78,0)</f>
        <v/>
      </c>
      <c r="AJ79" s="47">
        <f>IF(AND(mig_endo=1,$A79&gt;=talent_start),IF(H78&gt;0,H78*job_fill,H78*job_return)*job_family,0)</f>
        <v/>
      </c>
      <c r="AK79" s="47">
        <f>K79*gw_conv_family</f>
        <v/>
      </c>
      <c r="AL79" s="47">
        <f>AG79+AI79+AJ79+AK79+AR79</f>
        <v/>
      </c>
      <c r="AM79" s="47">
        <f>AM78*(1-skill_ret)+AD79</f>
        <v/>
      </c>
      <c r="AN79" s="64">
        <f>AM79/B79</f>
        <v/>
      </c>
      <c r="AO79" s="64">
        <f>(skill_rel-1+skill_spill)*AM78/B78-AT79</f>
        <v/>
      </c>
      <c r="AP79" s="64">
        <f>talent_champ*AM78/(skill_base_share*B78)</f>
        <v/>
      </c>
      <c r="AQ79" s="45" t="n">
        <v>270000</v>
      </c>
      <c r="AR79" s="47">
        <f>IF(AND(div_on=1,$A79&gt;=div_start),AQ79*MIN(div_max,div_rate*U79)*(1-div_comp*S79),0)</f>
        <v/>
      </c>
      <c r="AS79" s="47">
        <f>AS78*(1-div_assim)+AR79</f>
        <v/>
      </c>
      <c r="AT79" s="64">
        <f>(1-div_rel)*AS78/Economy!B78</f>
        <v/>
      </c>
      <c r="AU79" s="47">
        <f>AU78*(1-skill_ret)+AE79</f>
        <v/>
      </c>
      <c r="AV79" s="47">
        <f>AV78*(1+union_nat)+AR79</f>
        <v/>
      </c>
      <c r="AW79" s="47">
        <f>AW78*(1+union_nat)+AE79*family_mult</f>
        <v/>
      </c>
      <c r="AX79" s="67">
        <f>V79-(AV79+AW79)/1000000</f>
        <v/>
      </c>
      <c r="AY79" s="47">
        <f>L79*gw_union</f>
        <v/>
      </c>
      <c r="AZ79" s="46" t="n">
        <v>1.057</v>
      </c>
      <c r="BA79" s="47">
        <f>Economy!Q79*AZ79/lf_rate</f>
        <v/>
      </c>
      <c r="BB79" s="64">
        <f>bd_growth*AU78/W78</f>
        <v/>
      </c>
      <c r="BC79" s="64">
        <f>tg_k*MIN(1,Economy!O78/BK78)</f>
        <v/>
      </c>
      <c r="BD79" s="64">
        <f>emu_g*S79</f>
        <v/>
      </c>
      <c r="BE79" s="65">
        <f>BE78*(1-BB79-BC79+BD79)</f>
        <v/>
      </c>
      <c r="BF79" s="46" t="n">
        <v>1</v>
      </c>
      <c r="BG79" s="53">
        <f>AU79*BA79*BE79*(skill_rel-1+skill_spill)/1000000</f>
        <v/>
      </c>
      <c r="BH79" s="53">
        <f>union_disp*(Champions!AP79+Champions!AZ79)*(1-IF(union_resp=2,mkt_cut*S79,0))</f>
        <v/>
      </c>
      <c r="BI79" s="53">
        <f>AY79*BA79*BE79/1000000</f>
        <v/>
      </c>
      <c r="BJ79" s="47">
        <f>V79*Economy!Q79*AZ79</f>
        <v/>
      </c>
      <c r="BK79" s="47">
        <f>MAX(0.3*BJ79,AX79*Economy!Q79*AZ79*BE79*BF79-BG79-BH79-BI79)</f>
        <v/>
      </c>
      <c r="BL79" s="63">
        <f>1-BK79/BJ79</f>
        <v/>
      </c>
      <c r="BM79" s="47">
        <f>MAX(0,BH79-BH78)*1000000/BA79</f>
        <v/>
      </c>
      <c r="BN79" s="47">
        <f>BN78*(1-IF(AND($A79&gt;=1930,$A79&lt;=1932),0,union_reabsorb))+BM79</f>
        <v/>
      </c>
      <c r="BO79" s="59" t="n">
        <v>0.014</v>
      </c>
      <c r="BP79" s="63">
        <f>BO79+BN79/(AX79*1000000*lf_rate)</f>
        <v/>
      </c>
    </row>
    <row r="80">
      <c r="A80" s="61" t="n">
        <v>1920</v>
      </c>
      <c r="B80" s="47">
        <f>Economy!B80*lf_rate</f>
        <v/>
      </c>
      <c r="C80" s="47">
        <f>Economy!O80*1000000/(B80+L80)</f>
        <v/>
      </c>
      <c r="D80" s="47">
        <f>Champions!AP80*1000000/(C80*champ_prem)</f>
        <v/>
      </c>
      <c r="E80" s="47">
        <f>D80*job_mult</f>
        <v/>
      </c>
      <c r="F80" s="47">
        <f>D80+E80</f>
        <v/>
      </c>
      <c r="G80" s="63">
        <f>F80/B80</f>
        <v/>
      </c>
      <c r="H80" s="47">
        <f>F80-F79</f>
        <v/>
      </c>
      <c r="I80" s="63">
        <f>MAX(0.005,pac_u_base*IF(Paths!AC80=1,pac_u_war,1)+(okun*(1-Economy!G80)*(B80+L80)-MAX(0,L79-L80))/B80)</f>
        <v/>
      </c>
      <c r="J80" s="47">
        <f>IF(AND(gw_on=1,$A80&gt;=gw_start),MIN(gw_cap*B79,gw_cover*F79+gw_gen*B79),0)</f>
        <v/>
      </c>
      <c r="K80" s="47">
        <f>L79*gw_conv</f>
        <v/>
      </c>
      <c r="L80" s="47">
        <f>MAX(0,L79-K80+gw_adj*(J80-L79))*MAX(0,1-gw_slump*(1-Economy!G80))</f>
        <v/>
      </c>
      <c r="M80" s="47">
        <f>MAX(0,L80-L79+L79/gw_term)</f>
        <v/>
      </c>
      <c r="N80" s="63">
        <f>L80/B80</f>
        <v/>
      </c>
      <c r="O80" s="53">
        <f>Economy!L80</f>
        <v/>
      </c>
      <c r="P80" s="53">
        <f>O80*gw_wage_share</f>
        <v/>
      </c>
      <c r="Q80" s="53">
        <f>P80*gw_levy</f>
        <v/>
      </c>
      <c r="R80" s="53">
        <f>P80*gw_remit</f>
        <v/>
      </c>
      <c r="S80" s="63">
        <f>IF(union_resp&gt;=1,MIN(1,MAX(0,($A80-resp_start)/(resp_full-resp_start))),0)</f>
        <v/>
      </c>
      <c r="T80" s="67">
        <f>Economy!R79</f>
        <v/>
      </c>
      <c r="U80" s="67">
        <f>MAX(0,T80-gap_base)</f>
        <v/>
      </c>
      <c r="V80" s="68" t="n">
        <v>82</v>
      </c>
      <c r="W80" s="47">
        <f>V80*1000000*lf_rate*union_skill_share</f>
        <v/>
      </c>
      <c r="X80" s="45" t="n">
        <v>190000</v>
      </c>
      <c r="Y80" s="47">
        <f>IF(AND(mig_endo=1,$A80&gt;=talent_start),talent_rate_u*W80*U80*(1-(1-bd_keep)*S80),0)</f>
        <v/>
      </c>
      <c r="Z80" s="47">
        <f>IF(AND(mig_endo=1,$A80&gt;=talent_start),X80*MIN(0.5,talent_share_o*U80)*(1-eu_comp*S80),0)</f>
        <v/>
      </c>
      <c r="AA80" s="45" t="n">
        <v>80000</v>
      </c>
      <c r="AB80" s="47">
        <f>IF(AND(mig_endo=1,$A80&gt;=talent_start),AA80*MIN(0.5,talent_share_a*U80),0)</f>
        <v/>
      </c>
      <c r="AC80" s="47">
        <f>entry_cap*People!B80</f>
        <v/>
      </c>
      <c r="AD80" s="47">
        <f>MIN(AC80,Y80+Z80+AB80)</f>
        <v/>
      </c>
      <c r="AE80" s="47">
        <f>IF(Y80+Z80+AB80&gt;0,AD80*Y80/(Y80+Z80+AB80),0)</f>
        <v/>
      </c>
      <c r="AF80" s="47">
        <f>IF(Y80+Z80+AB80&gt;0,AD80*AB80/(Y80+Z80+AB80),0)</f>
        <v/>
      </c>
      <c r="AG80" s="47">
        <f>AD80*family_mult</f>
        <v/>
      </c>
      <c r="AH80" s="47">
        <f>AH79*(1+Paths!C80)+AG80</f>
        <v/>
      </c>
      <c r="AI80" s="47">
        <f>IF(AND(mig_endo=1,$A80&gt;=talent_start),chain_rate*AH79,0)</f>
        <v/>
      </c>
      <c r="AJ80" s="47">
        <f>IF(AND(mig_endo=1,$A80&gt;=talent_start),IF(H79&gt;0,H79*job_fill,H79*job_return)*job_family,0)</f>
        <v/>
      </c>
      <c r="AK80" s="47">
        <f>K80*gw_conv_family</f>
        <v/>
      </c>
      <c r="AL80" s="47">
        <f>AG80+AI80+AJ80+AK80+AR80</f>
        <v/>
      </c>
      <c r="AM80" s="47">
        <f>AM79*(1-skill_ret)+AD80</f>
        <v/>
      </c>
      <c r="AN80" s="64">
        <f>AM80/B80</f>
        <v/>
      </c>
      <c r="AO80" s="64">
        <f>(skill_rel-1+skill_spill)*AM79/B79-AT80</f>
        <v/>
      </c>
      <c r="AP80" s="64">
        <f>talent_champ*AM79/(skill_base_share*B79)</f>
        <v/>
      </c>
      <c r="AQ80" s="45" t="n">
        <v>430000</v>
      </c>
      <c r="AR80" s="47">
        <f>IF(AND(div_on=1,$A80&gt;=div_start),AQ80*MIN(div_max,div_rate*U80)*(1-div_comp*S80),0)</f>
        <v/>
      </c>
      <c r="AS80" s="47">
        <f>AS79*(1-div_assim)+AR80</f>
        <v/>
      </c>
      <c r="AT80" s="64">
        <f>(1-div_rel)*AS79/Economy!B79</f>
        <v/>
      </c>
      <c r="AU80" s="47">
        <f>AU79*(1-skill_ret)+AE80</f>
        <v/>
      </c>
      <c r="AV80" s="47">
        <f>AV79*(1+union_nat)+AR80</f>
        <v/>
      </c>
      <c r="AW80" s="47">
        <f>AW79*(1+union_nat)+AE80*family_mult</f>
        <v/>
      </c>
      <c r="AX80" s="67">
        <f>V80-(AV80+AW80)/1000000</f>
        <v/>
      </c>
      <c r="AY80" s="47">
        <f>L80*gw_union</f>
        <v/>
      </c>
      <c r="AZ80" s="46" t="n">
        <v>1.058</v>
      </c>
      <c r="BA80" s="47">
        <f>Economy!Q80*AZ80/lf_rate</f>
        <v/>
      </c>
      <c r="BB80" s="64">
        <f>bd_growth*AU79/W79</f>
        <v/>
      </c>
      <c r="BC80" s="64">
        <f>tg_k*MIN(1,Economy!O79/BK79)</f>
        <v/>
      </c>
      <c r="BD80" s="64">
        <f>emu_g*S80</f>
        <v/>
      </c>
      <c r="BE80" s="65">
        <f>BE79*(1-BB80-BC80+BD80)</f>
        <v/>
      </c>
      <c r="BF80" s="46" t="n">
        <v>1</v>
      </c>
      <c r="BG80" s="53">
        <f>AU80*BA80*BE80*(skill_rel-1+skill_spill)/1000000</f>
        <v/>
      </c>
      <c r="BH80" s="53">
        <f>union_disp*(Champions!AP80+Champions!AZ80)*(1-IF(union_resp=2,mkt_cut*S80,0))</f>
        <v/>
      </c>
      <c r="BI80" s="53">
        <f>AY80*BA80*BE80/1000000</f>
        <v/>
      </c>
      <c r="BJ80" s="47">
        <f>V80*Economy!Q80*AZ80</f>
        <v/>
      </c>
      <c r="BK80" s="47">
        <f>MAX(0.3*BJ80,AX80*Economy!Q80*AZ80*BE80*BF80-BG80-BH80-BI80)</f>
        <v/>
      </c>
      <c r="BL80" s="63">
        <f>1-BK80/BJ80</f>
        <v/>
      </c>
      <c r="BM80" s="47">
        <f>MAX(0,BH80-BH79)*1000000/BA80</f>
        <v/>
      </c>
      <c r="BN80" s="47">
        <f>BN79*(1-IF(AND($A80&gt;=1930,$A80&lt;=1932),0,union_reabsorb))+BM80</f>
        <v/>
      </c>
      <c r="BO80" s="59" t="n">
        <v>0.052</v>
      </c>
      <c r="BP80" s="63">
        <f>BO80+BN80/(AX80*1000000*lf_rate)</f>
        <v/>
      </c>
    </row>
    <row r="81">
      <c r="A81" s="61" t="n">
        <v>1921</v>
      </c>
      <c r="B81" s="47">
        <f>Economy!B81*lf_rate</f>
        <v/>
      </c>
      <c r="C81" s="47">
        <f>Economy!O81*1000000/(B81+L81)</f>
        <v/>
      </c>
      <c r="D81" s="47">
        <f>Champions!AP81*1000000/(C81*champ_prem)</f>
        <v/>
      </c>
      <c r="E81" s="47">
        <f>D81*job_mult</f>
        <v/>
      </c>
      <c r="F81" s="47">
        <f>D81+E81</f>
        <v/>
      </c>
      <c r="G81" s="63">
        <f>F81/B81</f>
        <v/>
      </c>
      <c r="H81" s="47">
        <f>F81-F80</f>
        <v/>
      </c>
      <c r="I81" s="63">
        <f>MAX(0.005,pac_u_base*IF(Paths!AC81=1,pac_u_war,1)+(okun*(1-Economy!G81)*(B81+L81)-MAX(0,L80-L81))/B81)</f>
        <v/>
      </c>
      <c r="J81" s="47">
        <f>IF(AND(gw_on=1,$A81&gt;=gw_start),MIN(gw_cap*B80,gw_cover*F80+gw_gen*B80),0)</f>
        <v/>
      </c>
      <c r="K81" s="47">
        <f>L80*gw_conv</f>
        <v/>
      </c>
      <c r="L81" s="47">
        <f>MAX(0,L80-K81+gw_adj*(J81-L80))*MAX(0,1-gw_slump*(1-Economy!G81))</f>
        <v/>
      </c>
      <c r="M81" s="47">
        <f>MAX(0,L81-L80+L80/gw_term)</f>
        <v/>
      </c>
      <c r="N81" s="63">
        <f>L81/B81</f>
        <v/>
      </c>
      <c r="O81" s="53">
        <f>Economy!L81</f>
        <v/>
      </c>
      <c r="P81" s="53">
        <f>O81*gw_wage_share</f>
        <v/>
      </c>
      <c r="Q81" s="53">
        <f>P81*gw_levy</f>
        <v/>
      </c>
      <c r="R81" s="53">
        <f>P81*gw_remit</f>
        <v/>
      </c>
      <c r="S81" s="63">
        <f>IF(union_resp&gt;=1,MIN(1,MAX(0,($A81-resp_start)/(resp_full-resp_start))),0)</f>
        <v/>
      </c>
      <c r="T81" s="67">
        <f>Economy!R80</f>
        <v/>
      </c>
      <c r="U81" s="67">
        <f>MAX(0,T81-gap_base)</f>
        <v/>
      </c>
      <c r="V81" s="68" t="n">
        <v>82.97</v>
      </c>
      <c r="W81" s="47">
        <f>V81*1000000*lf_rate*union_skill_share</f>
        <v/>
      </c>
      <c r="X81" s="45" t="n">
        <v>180000</v>
      </c>
      <c r="Y81" s="47">
        <f>IF(AND(mig_endo=1,$A81&gt;=talent_start),talent_rate_u*W81*U81*(1-(1-bd_keep)*S81),0)</f>
        <v/>
      </c>
      <c r="Z81" s="47">
        <f>IF(AND(mig_endo=1,$A81&gt;=talent_start),X81*MIN(0.5,talent_share_o*U81)*(1-eu_comp*S81),0)</f>
        <v/>
      </c>
      <c r="AA81" s="45" t="n">
        <v>84000</v>
      </c>
      <c r="AB81" s="47">
        <f>IF(AND(mig_endo=1,$A81&gt;=talent_start),AA81*MIN(0.5,talent_share_a*U81),0)</f>
        <v/>
      </c>
      <c r="AC81" s="47">
        <f>entry_cap*People!B81</f>
        <v/>
      </c>
      <c r="AD81" s="47">
        <f>MIN(AC81,Y81+Z81+AB81)</f>
        <v/>
      </c>
      <c r="AE81" s="47">
        <f>IF(Y81+Z81+AB81&gt;0,AD81*Y81/(Y81+Z81+AB81),0)</f>
        <v/>
      </c>
      <c r="AF81" s="47">
        <f>IF(Y81+Z81+AB81&gt;0,AD81*AB81/(Y81+Z81+AB81),0)</f>
        <v/>
      </c>
      <c r="AG81" s="47">
        <f>AD81*family_mult</f>
        <v/>
      </c>
      <c r="AH81" s="47">
        <f>AH80*(1+Paths!C81)+AG81</f>
        <v/>
      </c>
      <c r="AI81" s="47">
        <f>IF(AND(mig_endo=1,$A81&gt;=talent_start),chain_rate*AH80,0)</f>
        <v/>
      </c>
      <c r="AJ81" s="47">
        <f>IF(AND(mig_endo=1,$A81&gt;=talent_start),IF(H80&gt;0,H80*job_fill,H80*job_return)*job_family,0)</f>
        <v/>
      </c>
      <c r="AK81" s="47">
        <f>K81*gw_conv_family</f>
        <v/>
      </c>
      <c r="AL81" s="47">
        <f>AG81+AI81+AJ81+AK81+AR81</f>
        <v/>
      </c>
      <c r="AM81" s="47">
        <f>AM80*(1-skill_ret)+AD81</f>
        <v/>
      </c>
      <c r="AN81" s="64">
        <f>AM81/B81</f>
        <v/>
      </c>
      <c r="AO81" s="64">
        <f>(skill_rel-1+skill_spill)*AM80/B80-AT81</f>
        <v/>
      </c>
      <c r="AP81" s="64">
        <f>talent_champ*AM80/(skill_base_share*B80)</f>
        <v/>
      </c>
      <c r="AQ81" s="45" t="n">
        <v>805000</v>
      </c>
      <c r="AR81" s="47">
        <f>IF(AND(div_on=1,$A81&gt;=div_start),AQ81*MIN(div_max,div_rate*U81)*(1-div_comp*S81),0)</f>
        <v/>
      </c>
      <c r="AS81" s="47">
        <f>AS80*(1-div_assim)+AR81</f>
        <v/>
      </c>
      <c r="AT81" s="64">
        <f>(1-div_rel)*AS80/Economy!B80</f>
        <v/>
      </c>
      <c r="AU81" s="47">
        <f>AU80*(1-skill_ret)+AE81</f>
        <v/>
      </c>
      <c r="AV81" s="47">
        <f>AV80*(1+union_nat)+AR81</f>
        <v/>
      </c>
      <c r="AW81" s="47">
        <f>AW80*(1+union_nat)+AE81*family_mult</f>
        <v/>
      </c>
      <c r="AX81" s="67">
        <f>V81-(AV81+AW81)/1000000</f>
        <v/>
      </c>
      <c r="AY81" s="47">
        <f>L81*gw_union</f>
        <v/>
      </c>
      <c r="AZ81" s="46" t="n">
        <v>1.059</v>
      </c>
      <c r="BA81" s="47">
        <f>Economy!Q81*AZ81/lf_rate</f>
        <v/>
      </c>
      <c r="BB81" s="64">
        <f>bd_growth*AU80/W80</f>
        <v/>
      </c>
      <c r="BC81" s="64">
        <f>tg_k*MIN(1,Economy!O80/BK80)</f>
        <v/>
      </c>
      <c r="BD81" s="64">
        <f>emu_g*S81</f>
        <v/>
      </c>
      <c r="BE81" s="65">
        <f>BE80*(1-BB81-BC81+BD81)</f>
        <v/>
      </c>
      <c r="BF81" s="46" t="n">
        <v>1</v>
      </c>
      <c r="BG81" s="53">
        <f>AU81*BA81*BE81*(skill_rel-1+skill_spill)/1000000</f>
        <v/>
      </c>
      <c r="BH81" s="53">
        <f>union_disp*(Champions!AP81+Champions!AZ81)*(1-IF(union_resp=2,mkt_cut*S81,0))</f>
        <v/>
      </c>
      <c r="BI81" s="53">
        <f>AY81*BA81*BE81/1000000</f>
        <v/>
      </c>
      <c r="BJ81" s="47">
        <f>V81*Economy!Q81*AZ81</f>
        <v/>
      </c>
      <c r="BK81" s="47">
        <f>MAX(0.3*BJ81,AX81*Economy!Q81*AZ81*BE81*BF81-BG81-BH81-BI81)</f>
        <v/>
      </c>
      <c r="BL81" s="63">
        <f>1-BK81/BJ81</f>
        <v/>
      </c>
      <c r="BM81" s="47">
        <f>MAX(0,BH81-BH80)*1000000/BA81</f>
        <v/>
      </c>
      <c r="BN81" s="47">
        <f>BN80*(1-IF(AND($A81&gt;=1930,$A81&lt;=1932),0,union_reabsorb))+BM81</f>
        <v/>
      </c>
      <c r="BO81" s="59" t="n">
        <v>0.117</v>
      </c>
      <c r="BP81" s="63">
        <f>BO81+BN81/(AX81*1000000*lf_rate)</f>
        <v/>
      </c>
    </row>
    <row r="82">
      <c r="A82" s="61" t="n">
        <v>1922</v>
      </c>
      <c r="B82" s="47">
        <f>Economy!B82*lf_rate</f>
        <v/>
      </c>
      <c r="C82" s="47">
        <f>Economy!O82*1000000/(B82+L82)</f>
        <v/>
      </c>
      <c r="D82" s="47">
        <f>Champions!AP82*1000000/(C82*champ_prem)</f>
        <v/>
      </c>
      <c r="E82" s="47">
        <f>D82*job_mult</f>
        <v/>
      </c>
      <c r="F82" s="47">
        <f>D82+E82</f>
        <v/>
      </c>
      <c r="G82" s="63">
        <f>F82/B82</f>
        <v/>
      </c>
      <c r="H82" s="47">
        <f>F82-F81</f>
        <v/>
      </c>
      <c r="I82" s="63">
        <f>MAX(0.005,pac_u_base*IF(Paths!AC82=1,pac_u_war,1)+(okun*(1-Economy!G82)*(B82+L82)-MAX(0,L81-L82))/B82)</f>
        <v/>
      </c>
      <c r="J82" s="47">
        <f>IF(AND(gw_on=1,$A82&gt;=gw_start),MIN(gw_cap*B81,gw_cover*F81+gw_gen*B81),0)</f>
        <v/>
      </c>
      <c r="K82" s="47">
        <f>L81*gw_conv</f>
        <v/>
      </c>
      <c r="L82" s="47">
        <f>MAX(0,L81-K82+gw_adj*(J82-L81))*MAX(0,1-gw_slump*(1-Economy!G82))</f>
        <v/>
      </c>
      <c r="M82" s="47">
        <f>MAX(0,L82-L81+L81/gw_term)</f>
        <v/>
      </c>
      <c r="N82" s="63">
        <f>L82/B82</f>
        <v/>
      </c>
      <c r="O82" s="53">
        <f>Economy!L82</f>
        <v/>
      </c>
      <c r="P82" s="53">
        <f>O82*gw_wage_share</f>
        <v/>
      </c>
      <c r="Q82" s="53">
        <f>P82*gw_levy</f>
        <v/>
      </c>
      <c r="R82" s="53">
        <f>P82*gw_remit</f>
        <v/>
      </c>
      <c r="S82" s="63">
        <f>IF(union_resp&gt;=1,MIN(1,MAX(0,($A82-resp_start)/(resp_full-resp_start))),0)</f>
        <v/>
      </c>
      <c r="T82" s="67">
        <f>Economy!R81</f>
        <v/>
      </c>
      <c r="U82" s="67">
        <f>MAX(0,T82-gap_base)</f>
        <v/>
      </c>
      <c r="V82" s="68" t="n">
        <v>83.93000000000001</v>
      </c>
      <c r="W82" s="47">
        <f>V82*1000000*lf_rate*union_skill_share</f>
        <v/>
      </c>
      <c r="X82" s="45" t="n">
        <v>170000</v>
      </c>
      <c r="Y82" s="47">
        <f>IF(AND(mig_endo=1,$A82&gt;=talent_start),talent_rate_u*W82*U82*(1-(1-bd_keep)*S82),0)</f>
        <v/>
      </c>
      <c r="Z82" s="47">
        <f>IF(AND(mig_endo=1,$A82&gt;=talent_start),X82*MIN(0.5,talent_share_o*U82)*(1-eu_comp*S82),0)</f>
        <v/>
      </c>
      <c r="AA82" s="45" t="n">
        <v>89000</v>
      </c>
      <c r="AB82" s="47">
        <f>IF(AND(mig_endo=1,$A82&gt;=talent_start),AA82*MIN(0.5,talent_share_a*U82),0)</f>
        <v/>
      </c>
      <c r="AC82" s="47">
        <f>entry_cap*People!B82</f>
        <v/>
      </c>
      <c r="AD82" s="47">
        <f>MIN(AC82,Y82+Z82+AB82)</f>
        <v/>
      </c>
      <c r="AE82" s="47">
        <f>IF(Y82+Z82+AB82&gt;0,AD82*Y82/(Y82+Z82+AB82),0)</f>
        <v/>
      </c>
      <c r="AF82" s="47">
        <f>IF(Y82+Z82+AB82&gt;0,AD82*AB82/(Y82+Z82+AB82),0)</f>
        <v/>
      </c>
      <c r="AG82" s="47">
        <f>AD82*family_mult</f>
        <v/>
      </c>
      <c r="AH82" s="47">
        <f>AH81*(1+Paths!C82)+AG82</f>
        <v/>
      </c>
      <c r="AI82" s="47">
        <f>IF(AND(mig_endo=1,$A82&gt;=talent_start),chain_rate*AH81,0)</f>
        <v/>
      </c>
      <c r="AJ82" s="47">
        <f>IF(AND(mig_endo=1,$A82&gt;=talent_start),IF(H81&gt;0,H81*job_fill,H81*job_return)*job_family,0)</f>
        <v/>
      </c>
      <c r="AK82" s="47">
        <f>K82*gw_conv_family</f>
        <v/>
      </c>
      <c r="AL82" s="47">
        <f>AG82+AI82+AJ82+AK82+AR82</f>
        <v/>
      </c>
      <c r="AM82" s="47">
        <f>AM81*(1-skill_ret)+AD82</f>
        <v/>
      </c>
      <c r="AN82" s="64">
        <f>AM82/B82</f>
        <v/>
      </c>
      <c r="AO82" s="64">
        <f>(skill_rel-1+skill_spill)*AM81/B81-AT82</f>
        <v/>
      </c>
      <c r="AP82" s="64">
        <f>talent_champ*AM81/(skill_base_share*B81)</f>
        <v/>
      </c>
      <c r="AQ82" s="45" t="n">
        <v>310000</v>
      </c>
      <c r="AR82" s="47">
        <f>IF(AND(div_on=1,$A82&gt;=div_start),AQ82*MIN(div_max,div_rate*U82)*(1-div_comp*S82),0)</f>
        <v/>
      </c>
      <c r="AS82" s="47">
        <f>AS81*(1-div_assim)+AR82</f>
        <v/>
      </c>
      <c r="AT82" s="64">
        <f>(1-div_rel)*AS81/Economy!B81</f>
        <v/>
      </c>
      <c r="AU82" s="47">
        <f>AU81*(1-skill_ret)+AE82</f>
        <v/>
      </c>
      <c r="AV82" s="47">
        <f>AV81*(1+union_nat)+AR82</f>
        <v/>
      </c>
      <c r="AW82" s="47">
        <f>AW81*(1+union_nat)+AE82*family_mult</f>
        <v/>
      </c>
      <c r="AX82" s="67">
        <f>V82-(AV82+AW82)/1000000</f>
        <v/>
      </c>
      <c r="AY82" s="47">
        <f>L82*gw_union</f>
        <v/>
      </c>
      <c r="AZ82" s="46" t="n">
        <v>1.06</v>
      </c>
      <c r="BA82" s="47">
        <f>Economy!Q82*AZ82/lf_rate</f>
        <v/>
      </c>
      <c r="BB82" s="64">
        <f>bd_growth*AU81/W81</f>
        <v/>
      </c>
      <c r="BC82" s="64">
        <f>tg_k*MIN(1,Economy!O81/BK81)</f>
        <v/>
      </c>
      <c r="BD82" s="64">
        <f>emu_g*S82</f>
        <v/>
      </c>
      <c r="BE82" s="65">
        <f>BE81*(1-BB82-BC82+BD82)</f>
        <v/>
      </c>
      <c r="BF82" s="46" t="n">
        <v>1</v>
      </c>
      <c r="BG82" s="53">
        <f>AU82*BA82*BE82*(skill_rel-1+skill_spill)/1000000</f>
        <v/>
      </c>
      <c r="BH82" s="53">
        <f>union_disp*(Champions!AP82+Champions!AZ82)*(1-IF(union_resp=2,mkt_cut*S82,0))</f>
        <v/>
      </c>
      <c r="BI82" s="53">
        <f>AY82*BA82*BE82/1000000</f>
        <v/>
      </c>
      <c r="BJ82" s="47">
        <f>V82*Economy!Q82*AZ82</f>
        <v/>
      </c>
      <c r="BK82" s="47">
        <f>MAX(0.3*BJ82,AX82*Economy!Q82*AZ82*BE82*BF82-BG82-BH82-BI82)</f>
        <v/>
      </c>
      <c r="BL82" s="63">
        <f>1-BK82/BJ82</f>
        <v/>
      </c>
      <c r="BM82" s="47">
        <f>MAX(0,BH82-BH81)*1000000/BA82</f>
        <v/>
      </c>
      <c r="BN82" s="47">
        <f>BN81*(1-IF(AND($A82&gt;=1930,$A82&lt;=1932),0,union_reabsorb))+BM82</f>
        <v/>
      </c>
      <c r="BO82" s="59" t="n">
        <v>0.067</v>
      </c>
      <c r="BP82" s="63">
        <f>BO82+BN82/(AX82*1000000*lf_rate)</f>
        <v/>
      </c>
    </row>
    <row r="83">
      <c r="A83" s="58" t="n">
        <v>1923</v>
      </c>
      <c r="B83" s="47">
        <f>Economy!B83*lf_rate</f>
        <v/>
      </c>
      <c r="C83" s="47">
        <f>Economy!O83*1000000/(B83+L83)</f>
        <v/>
      </c>
      <c r="D83" s="47">
        <f>Champions!AP83*1000000/(C83*champ_prem)</f>
        <v/>
      </c>
      <c r="E83" s="47">
        <f>D83*job_mult</f>
        <v/>
      </c>
      <c r="F83" s="47">
        <f>D83+E83</f>
        <v/>
      </c>
      <c r="G83" s="63">
        <f>F83/B83</f>
        <v/>
      </c>
      <c r="H83" s="47">
        <f>F83-F82</f>
        <v/>
      </c>
      <c r="I83" s="63">
        <f>MAX(0.005,pac_u_base*IF(Paths!AC83=1,pac_u_war,1)+(okun*(1-Economy!G83)*(B83+L83)-MAX(0,L82-L83))/B83)</f>
        <v/>
      </c>
      <c r="J83" s="47">
        <f>IF(AND(gw_on=1,$A83&gt;=gw_start),MIN(gw_cap*B82,gw_cover*F82+gw_gen*B82),0)</f>
        <v/>
      </c>
      <c r="K83" s="47">
        <f>L82*gw_conv</f>
        <v/>
      </c>
      <c r="L83" s="47">
        <f>MAX(0,L82-K83+gw_adj*(J83-L82))*MAX(0,1-gw_slump*(1-Economy!G83))</f>
        <v/>
      </c>
      <c r="M83" s="47">
        <f>MAX(0,L83-L82+L82/gw_term)</f>
        <v/>
      </c>
      <c r="N83" s="63">
        <f>L83/B83</f>
        <v/>
      </c>
      <c r="O83" s="53">
        <f>Economy!L83</f>
        <v/>
      </c>
      <c r="P83" s="53">
        <f>O83*gw_wage_share</f>
        <v/>
      </c>
      <c r="Q83" s="53">
        <f>P83*gw_levy</f>
        <v/>
      </c>
      <c r="R83" s="53">
        <f>P83*gw_remit</f>
        <v/>
      </c>
      <c r="S83" s="63">
        <f>IF(union_resp&gt;=1,MIN(1,MAX(0,($A83-resp_start)/(resp_full-resp_start))),0)</f>
        <v/>
      </c>
      <c r="T83" s="67">
        <f>Economy!R82</f>
        <v/>
      </c>
      <c r="U83" s="67">
        <f>MAX(0,T83-gap_base)</f>
        <v/>
      </c>
      <c r="V83" s="68" t="n">
        <v>84.90000000000001</v>
      </c>
      <c r="W83" s="47">
        <f>V83*1000000*lf_rate*union_skill_share</f>
        <v/>
      </c>
      <c r="X83" s="45" t="n">
        <v>160000</v>
      </c>
      <c r="Y83" s="47">
        <f>IF(AND(mig_endo=1,$A83&gt;=talent_start),talent_rate_u*W83*U83*(1-(1-bd_keep)*S83),0)</f>
        <v/>
      </c>
      <c r="Z83" s="47">
        <f>IF(AND(mig_endo=1,$A83&gt;=talent_start),X83*MIN(0.5,talent_share_o*U83)*(1-eu_comp*S83),0)</f>
        <v/>
      </c>
      <c r="AA83" s="45" t="n">
        <v>93000</v>
      </c>
      <c r="AB83" s="47">
        <f>IF(AND(mig_endo=1,$A83&gt;=talent_start),AA83*MIN(0.5,talent_share_a*U83),0)</f>
        <v/>
      </c>
      <c r="AC83" s="47">
        <f>entry_cap*People!B83</f>
        <v/>
      </c>
      <c r="AD83" s="47">
        <f>MIN(AC83,Y83+Z83+AB83)</f>
        <v/>
      </c>
      <c r="AE83" s="47">
        <f>IF(Y83+Z83+AB83&gt;0,AD83*Y83/(Y83+Z83+AB83),0)</f>
        <v/>
      </c>
      <c r="AF83" s="47">
        <f>IF(Y83+Z83+AB83&gt;0,AD83*AB83/(Y83+Z83+AB83),0)</f>
        <v/>
      </c>
      <c r="AG83" s="47">
        <f>AD83*family_mult</f>
        <v/>
      </c>
      <c r="AH83" s="47">
        <f>AH82*(1+Paths!C83)+AG83</f>
        <v/>
      </c>
      <c r="AI83" s="47">
        <f>IF(AND(mig_endo=1,$A83&gt;=talent_start),chain_rate*AH82,0)</f>
        <v/>
      </c>
      <c r="AJ83" s="47">
        <f>IF(AND(mig_endo=1,$A83&gt;=talent_start),IF(H82&gt;0,H82*job_fill,H82*job_return)*job_family,0)</f>
        <v/>
      </c>
      <c r="AK83" s="47">
        <f>K83*gw_conv_family</f>
        <v/>
      </c>
      <c r="AL83" s="47">
        <f>AG83+AI83+AJ83+AK83+AR83</f>
        <v/>
      </c>
      <c r="AM83" s="47">
        <f>AM82*(1-skill_ret)+AD83</f>
        <v/>
      </c>
      <c r="AN83" s="64">
        <f>AM83/B83</f>
        <v/>
      </c>
      <c r="AO83" s="64">
        <f>(skill_rel-1+skill_spill)*AM82/B82-AT83</f>
        <v/>
      </c>
      <c r="AP83" s="64">
        <f>talent_champ*AM82/(skill_base_share*B82)</f>
        <v/>
      </c>
      <c r="AQ83" s="45" t="n">
        <v>505000</v>
      </c>
      <c r="AR83" s="47">
        <f>IF(AND(div_on=1,$A83&gt;=div_start),AQ83*MIN(div_max,div_rate*U83)*(1-div_comp*S83),0)</f>
        <v/>
      </c>
      <c r="AS83" s="47">
        <f>AS82*(1-div_assim)+AR83</f>
        <v/>
      </c>
      <c r="AT83" s="64">
        <f>(1-div_rel)*AS82/Economy!B82</f>
        <v/>
      </c>
      <c r="AU83" s="47">
        <f>AU82*(1-skill_ret)+AE83</f>
        <v/>
      </c>
      <c r="AV83" s="47">
        <f>AV82*(1+union_nat)+AR83</f>
        <v/>
      </c>
      <c r="AW83" s="47">
        <f>AW82*(1+union_nat)+AE83*family_mult</f>
        <v/>
      </c>
      <c r="AX83" s="67">
        <f>V83-(AV83+AW83)/1000000</f>
        <v/>
      </c>
      <c r="AY83" s="47">
        <f>L83*gw_union</f>
        <v/>
      </c>
      <c r="AZ83" s="46" t="n">
        <v>1.061</v>
      </c>
      <c r="BA83" s="47">
        <f>Economy!Q83*AZ83/lf_rate</f>
        <v/>
      </c>
      <c r="BB83" s="64">
        <f>bd_growth*AU82/W82</f>
        <v/>
      </c>
      <c r="BC83" s="64">
        <f>tg_k*MIN(1,Economy!O82/BK82)</f>
        <v/>
      </c>
      <c r="BD83" s="64">
        <f>emu_g*S83</f>
        <v/>
      </c>
      <c r="BE83" s="65">
        <f>BE82*(1-BB83-BC83+BD83)</f>
        <v/>
      </c>
      <c r="BF83" s="46" t="n">
        <v>1</v>
      </c>
      <c r="BG83" s="53">
        <f>AU83*BA83*BE83*(skill_rel-1+skill_spill)/1000000</f>
        <v/>
      </c>
      <c r="BH83" s="53">
        <f>union_disp*(Champions!AP83+Champions!AZ83)*(1-IF(union_resp=2,mkt_cut*S83,0))</f>
        <v/>
      </c>
      <c r="BI83" s="53">
        <f>AY83*BA83*BE83/1000000</f>
        <v/>
      </c>
      <c r="BJ83" s="47">
        <f>V83*Economy!Q83*AZ83</f>
        <v/>
      </c>
      <c r="BK83" s="47">
        <f>MAX(0.3*BJ83,AX83*Economy!Q83*AZ83*BE83*BF83-BG83-BH83-BI83)</f>
        <v/>
      </c>
      <c r="BL83" s="63">
        <f>1-BK83/BJ83</f>
        <v/>
      </c>
      <c r="BM83" s="47">
        <f>MAX(0,BH83-BH82)*1000000/BA83</f>
        <v/>
      </c>
      <c r="BN83" s="47">
        <f>BN82*(1-IF(AND($A83&gt;=1930,$A83&lt;=1932),0,union_reabsorb))+BM83</f>
        <v/>
      </c>
      <c r="BO83" s="59" t="n">
        <v>0.024</v>
      </c>
      <c r="BP83" s="63">
        <f>BO83+BN83/(AX83*1000000*lf_rate)</f>
        <v/>
      </c>
    </row>
    <row r="84">
      <c r="A84" s="58" t="n">
        <v>1924</v>
      </c>
      <c r="B84" s="47">
        <f>Economy!B84*lf_rate</f>
        <v/>
      </c>
      <c r="C84" s="47">
        <f>Economy!O84*1000000/(B84+L84)</f>
        <v/>
      </c>
      <c r="D84" s="47">
        <f>Champions!AP84*1000000/(C84*champ_prem)</f>
        <v/>
      </c>
      <c r="E84" s="47">
        <f>D84*job_mult</f>
        <v/>
      </c>
      <c r="F84" s="47">
        <f>D84+E84</f>
        <v/>
      </c>
      <c r="G84" s="63">
        <f>F84/B84</f>
        <v/>
      </c>
      <c r="H84" s="47">
        <f>F84-F83</f>
        <v/>
      </c>
      <c r="I84" s="63">
        <f>MAX(0.005,pac_u_base*IF(Paths!AC84=1,pac_u_war,1)+(okun*(1-Economy!G84)*(B84+L84)-MAX(0,L83-L84))/B84)</f>
        <v/>
      </c>
      <c r="J84" s="47">
        <f>IF(AND(gw_on=1,$A84&gt;=gw_start),MIN(gw_cap*B83,gw_cover*F83+gw_gen*B83),0)</f>
        <v/>
      </c>
      <c r="K84" s="47">
        <f>L83*gw_conv</f>
        <v/>
      </c>
      <c r="L84" s="47">
        <f>MAX(0,L83-K84+gw_adj*(J84-L83))*MAX(0,1-gw_slump*(1-Economy!G84))</f>
        <v/>
      </c>
      <c r="M84" s="47">
        <f>MAX(0,L84-L83+L83/gw_term)</f>
        <v/>
      </c>
      <c r="N84" s="63">
        <f>L84/B84</f>
        <v/>
      </c>
      <c r="O84" s="53">
        <f>Economy!L84</f>
        <v/>
      </c>
      <c r="P84" s="53">
        <f>O84*gw_wage_share</f>
        <v/>
      </c>
      <c r="Q84" s="53">
        <f>P84*gw_levy</f>
        <v/>
      </c>
      <c r="R84" s="53">
        <f>P84*gw_remit</f>
        <v/>
      </c>
      <c r="S84" s="63">
        <f>IF(union_resp&gt;=1,MIN(1,MAX(0,($A84-resp_start)/(resp_full-resp_start))),0)</f>
        <v/>
      </c>
      <c r="T84" s="67">
        <f>Economy!R83</f>
        <v/>
      </c>
      <c r="U84" s="67">
        <f>MAX(0,T84-gap_base)</f>
        <v/>
      </c>
      <c r="V84" s="68" t="n">
        <v>85.87</v>
      </c>
      <c r="W84" s="47">
        <f>V84*1000000*lf_rate*union_skill_share</f>
        <v/>
      </c>
      <c r="X84" s="45" t="n">
        <v>153000</v>
      </c>
      <c r="Y84" s="47">
        <f>IF(AND(mig_endo=1,$A84&gt;=talent_start),talent_rate_u*W84*U84*(1-(1-bd_keep)*S84),0)</f>
        <v/>
      </c>
      <c r="Z84" s="47">
        <f>IF(AND(mig_endo=1,$A84&gt;=talent_start),X84*MIN(0.5,talent_share_o*U84)*(1-eu_comp*S84),0)</f>
        <v/>
      </c>
      <c r="AA84" s="45" t="n">
        <v>98000</v>
      </c>
      <c r="AB84" s="47">
        <f>IF(AND(mig_endo=1,$A84&gt;=talent_start),AA84*MIN(0.5,talent_share_a*U84),0)</f>
        <v/>
      </c>
      <c r="AC84" s="47">
        <f>entry_cap*People!B84</f>
        <v/>
      </c>
      <c r="AD84" s="47">
        <f>MIN(AC84,Y84+Z84+AB84)</f>
        <v/>
      </c>
      <c r="AE84" s="47">
        <f>IF(Y84+Z84+AB84&gt;0,AD84*Y84/(Y84+Z84+AB84),0)</f>
        <v/>
      </c>
      <c r="AF84" s="47">
        <f>IF(Y84+Z84+AB84&gt;0,AD84*AB84/(Y84+Z84+AB84),0)</f>
        <v/>
      </c>
      <c r="AG84" s="47">
        <f>AD84*family_mult</f>
        <v/>
      </c>
      <c r="AH84" s="47">
        <f>AH83*(1+Paths!C84)+AG84</f>
        <v/>
      </c>
      <c r="AI84" s="47">
        <f>IF(AND(mig_endo=1,$A84&gt;=talent_start),chain_rate*AH83,0)</f>
        <v/>
      </c>
      <c r="AJ84" s="47">
        <f>IF(AND(mig_endo=1,$A84&gt;=talent_start),IF(H83&gt;0,H83*job_fill,H83*job_return)*job_family,0)</f>
        <v/>
      </c>
      <c r="AK84" s="47">
        <f>K84*gw_conv_family</f>
        <v/>
      </c>
      <c r="AL84" s="47">
        <f>AG84+AI84+AJ84+AK84+AR84</f>
        <v/>
      </c>
      <c r="AM84" s="47">
        <f>AM83*(1-skill_ret)+AD84</f>
        <v/>
      </c>
      <c r="AN84" s="64">
        <f>AM84/B84</f>
        <v/>
      </c>
      <c r="AO84" s="64">
        <f>(skill_rel-1+skill_spill)*AM83/B83-AT84</f>
        <v/>
      </c>
      <c r="AP84" s="64">
        <f>talent_champ*AM83/(skill_base_share*B83)</f>
        <v/>
      </c>
      <c r="AQ84" s="45" t="n">
        <v>700000</v>
      </c>
      <c r="AR84" s="47">
        <f>IF(AND(div_on=1,$A84&gt;=div_start),AQ84*MIN(div_max,div_rate*U84)*(1-div_comp*S84),0)</f>
        <v/>
      </c>
      <c r="AS84" s="47">
        <f>AS83*(1-div_assim)+AR84</f>
        <v/>
      </c>
      <c r="AT84" s="64">
        <f>(1-div_rel)*AS83/Economy!B83</f>
        <v/>
      </c>
      <c r="AU84" s="47">
        <f>AU83*(1-skill_ret)+AE84</f>
        <v/>
      </c>
      <c r="AV84" s="47">
        <f>AV83*(1+union_nat)+AR84</f>
        <v/>
      </c>
      <c r="AW84" s="47">
        <f>AW83*(1+union_nat)+AE84*family_mult</f>
        <v/>
      </c>
      <c r="AX84" s="67">
        <f>V84-(AV84+AW84)/1000000</f>
        <v/>
      </c>
      <c r="AY84" s="47">
        <f>L84*gw_union</f>
        <v/>
      </c>
      <c r="AZ84" s="46" t="n">
        <v>1.062</v>
      </c>
      <c r="BA84" s="47">
        <f>Economy!Q84*AZ84/lf_rate</f>
        <v/>
      </c>
      <c r="BB84" s="64">
        <f>bd_growth*AU83/W83</f>
        <v/>
      </c>
      <c r="BC84" s="64">
        <f>tg_k*MIN(1,Economy!O83/BK83)</f>
        <v/>
      </c>
      <c r="BD84" s="64">
        <f>emu_g*S84</f>
        <v/>
      </c>
      <c r="BE84" s="65">
        <f>BE83*(1-BB84-BC84+BD84)</f>
        <v/>
      </c>
      <c r="BF84" s="46" t="n">
        <v>1</v>
      </c>
      <c r="BG84" s="53">
        <f>AU84*BA84*BE84*(skill_rel-1+skill_spill)/1000000</f>
        <v/>
      </c>
      <c r="BH84" s="53">
        <f>union_disp*(Champions!AP84+Champions!AZ84)*(1-IF(union_resp=2,mkt_cut*S84,0))</f>
        <v/>
      </c>
      <c r="BI84" s="53">
        <f>AY84*BA84*BE84/1000000</f>
        <v/>
      </c>
      <c r="BJ84" s="47">
        <f>V84*Economy!Q84*AZ84</f>
        <v/>
      </c>
      <c r="BK84" s="47">
        <f>MAX(0.3*BJ84,AX84*Economy!Q84*AZ84*BE84*BF84-BG84-BH84-BI84)</f>
        <v/>
      </c>
      <c r="BL84" s="63">
        <f>1-BK84/BJ84</f>
        <v/>
      </c>
      <c r="BM84" s="47">
        <f>MAX(0,BH84-BH83)*1000000/BA84</f>
        <v/>
      </c>
      <c r="BN84" s="47">
        <f>BN83*(1-IF(AND($A84&gt;=1930,$A84&lt;=1932),0,union_reabsorb))+BM84</f>
        <v/>
      </c>
      <c r="BO84" s="59" t="n">
        <v>0.028</v>
      </c>
      <c r="BP84" s="63">
        <f>BO84+BN84/(AX84*1000000*lf_rate)</f>
        <v/>
      </c>
    </row>
    <row r="85">
      <c r="A85" s="58" t="n">
        <v>1925</v>
      </c>
      <c r="B85" s="47">
        <f>Economy!B85*lf_rate</f>
        <v/>
      </c>
      <c r="C85" s="47">
        <f>Economy!O85*1000000/(B85+L85)</f>
        <v/>
      </c>
      <c r="D85" s="47">
        <f>Champions!AP85*1000000/(C85*champ_prem)</f>
        <v/>
      </c>
      <c r="E85" s="47">
        <f>D85*job_mult</f>
        <v/>
      </c>
      <c r="F85" s="47">
        <f>D85+E85</f>
        <v/>
      </c>
      <c r="G85" s="63">
        <f>F85/B85</f>
        <v/>
      </c>
      <c r="H85" s="47">
        <f>F85-F84</f>
        <v/>
      </c>
      <c r="I85" s="63">
        <f>MAX(0.005,pac_u_base*IF(Paths!AC85=1,pac_u_war,1)+(okun*(1-Economy!G85)*(B85+L85)-MAX(0,L84-L85))/B85)</f>
        <v/>
      </c>
      <c r="J85" s="47">
        <f>IF(AND(gw_on=1,$A85&gt;=gw_start),MIN(gw_cap*B84,gw_cover*F84+gw_gen*B84),0)</f>
        <v/>
      </c>
      <c r="K85" s="47">
        <f>L84*gw_conv</f>
        <v/>
      </c>
      <c r="L85" s="47">
        <f>MAX(0,L84-K85+gw_adj*(J85-L84))*MAX(0,1-gw_slump*(1-Economy!G85))</f>
        <v/>
      </c>
      <c r="M85" s="47">
        <f>MAX(0,L85-L84+L84/gw_term)</f>
        <v/>
      </c>
      <c r="N85" s="63">
        <f>L85/B85</f>
        <v/>
      </c>
      <c r="O85" s="53">
        <f>Economy!L85</f>
        <v/>
      </c>
      <c r="P85" s="53">
        <f>O85*gw_wage_share</f>
        <v/>
      </c>
      <c r="Q85" s="53">
        <f>P85*gw_levy</f>
        <v/>
      </c>
      <c r="R85" s="53">
        <f>P85*gw_remit</f>
        <v/>
      </c>
      <c r="S85" s="63">
        <f>IF(union_resp&gt;=1,MIN(1,MAX(0,($A85-resp_start)/(resp_full-resp_start))),0)</f>
        <v/>
      </c>
      <c r="T85" s="67">
        <f>Economy!R84</f>
        <v/>
      </c>
      <c r="U85" s="67">
        <f>MAX(0,T85-gap_base)</f>
        <v/>
      </c>
      <c r="V85" s="68" t="n">
        <v>86.83</v>
      </c>
      <c r="W85" s="47">
        <f>V85*1000000*lf_rate*union_skill_share</f>
        <v/>
      </c>
      <c r="X85" s="45" t="n">
        <v>147000</v>
      </c>
      <c r="Y85" s="47">
        <f>IF(AND(mig_endo=1,$A85&gt;=talent_start),talent_rate_u*W85*U85*(1-(1-bd_keep)*S85),0)</f>
        <v/>
      </c>
      <c r="Z85" s="47">
        <f>IF(AND(mig_endo=1,$A85&gt;=talent_start),X85*MIN(0.5,talent_share_o*U85)*(1-eu_comp*S85),0)</f>
        <v/>
      </c>
      <c r="AA85" s="45" t="n">
        <v>102000</v>
      </c>
      <c r="AB85" s="47">
        <f>IF(AND(mig_endo=1,$A85&gt;=talent_start),AA85*MIN(0.5,talent_share_a*U85),0)</f>
        <v/>
      </c>
      <c r="AC85" s="47">
        <f>entry_cap*People!B85</f>
        <v/>
      </c>
      <c r="AD85" s="47">
        <f>MIN(AC85,Y85+Z85+AB85)</f>
        <v/>
      </c>
      <c r="AE85" s="47">
        <f>IF(Y85+Z85+AB85&gt;0,AD85*Y85/(Y85+Z85+AB85),0)</f>
        <v/>
      </c>
      <c r="AF85" s="47">
        <f>IF(Y85+Z85+AB85&gt;0,AD85*AB85/(Y85+Z85+AB85),0)</f>
        <v/>
      </c>
      <c r="AG85" s="47">
        <f>AD85*family_mult</f>
        <v/>
      </c>
      <c r="AH85" s="47">
        <f>AH84*(1+Paths!C85)+AG85</f>
        <v/>
      </c>
      <c r="AI85" s="47">
        <f>IF(AND(mig_endo=1,$A85&gt;=talent_start),chain_rate*AH84,0)</f>
        <v/>
      </c>
      <c r="AJ85" s="47">
        <f>IF(AND(mig_endo=1,$A85&gt;=talent_start),IF(H84&gt;0,H84*job_fill,H84*job_return)*job_family,0)</f>
        <v/>
      </c>
      <c r="AK85" s="47">
        <f>K85*gw_conv_family</f>
        <v/>
      </c>
      <c r="AL85" s="47">
        <f>AG85+AI85+AJ85+AK85+AR85</f>
        <v/>
      </c>
      <c r="AM85" s="47">
        <f>AM84*(1-skill_ret)+AD85</f>
        <v/>
      </c>
      <c r="AN85" s="64">
        <f>AM85/B85</f>
        <v/>
      </c>
      <c r="AO85" s="64">
        <f>(skill_rel-1+skill_spill)*AM84/B84-AT85</f>
        <v/>
      </c>
      <c r="AP85" s="64">
        <f>talent_champ*AM84/(skill_base_share*B84)</f>
        <v/>
      </c>
      <c r="AQ85" s="45" t="n">
        <v>290000</v>
      </c>
      <c r="AR85" s="47">
        <f>IF(AND(div_on=1,$A85&gt;=div_start),AQ85*MIN(div_max,div_rate*U85)*(1-div_comp*S85),0)</f>
        <v/>
      </c>
      <c r="AS85" s="47">
        <f>AS84*(1-div_assim)+AR85</f>
        <v/>
      </c>
      <c r="AT85" s="64">
        <f>(1-div_rel)*AS84/Economy!B84</f>
        <v/>
      </c>
      <c r="AU85" s="47">
        <f>AU84*(1-skill_ret)+AE85</f>
        <v/>
      </c>
      <c r="AV85" s="47">
        <f>AV84*(1+union_nat)+AR85</f>
        <v/>
      </c>
      <c r="AW85" s="47">
        <f>AW84*(1+union_nat)+AE85*family_mult</f>
        <v/>
      </c>
      <c r="AX85" s="67">
        <f>V85-(AV85+AW85)/1000000</f>
        <v/>
      </c>
      <c r="AY85" s="47">
        <f>L85*gw_union</f>
        <v/>
      </c>
      <c r="AZ85" s="46" t="n">
        <v>1.063</v>
      </c>
      <c r="BA85" s="47">
        <f>Economy!Q85*AZ85/lf_rate</f>
        <v/>
      </c>
      <c r="BB85" s="64">
        <f>bd_growth*AU84/W84</f>
        <v/>
      </c>
      <c r="BC85" s="64">
        <f>tg_k*MIN(1,Economy!O84/BK84)</f>
        <v/>
      </c>
      <c r="BD85" s="64">
        <f>emu_g*S85</f>
        <v/>
      </c>
      <c r="BE85" s="65">
        <f>BE84*(1-BB85-BC85+BD85)</f>
        <v/>
      </c>
      <c r="BF85" s="46" t="n">
        <v>1</v>
      </c>
      <c r="BG85" s="53">
        <f>AU85*BA85*BE85*(skill_rel-1+skill_spill)/1000000</f>
        <v/>
      </c>
      <c r="BH85" s="53">
        <f>union_disp*(Champions!AP85+Champions!AZ85)*(1-IF(union_resp=2,mkt_cut*S85,0))</f>
        <v/>
      </c>
      <c r="BI85" s="53">
        <f>AY85*BA85*BE85/1000000</f>
        <v/>
      </c>
      <c r="BJ85" s="47">
        <f>V85*Economy!Q85*AZ85</f>
        <v/>
      </c>
      <c r="BK85" s="47">
        <f>MAX(0.3*BJ85,AX85*Economy!Q85*AZ85*BE85*BF85-BG85-BH85-BI85)</f>
        <v/>
      </c>
      <c r="BL85" s="63">
        <f>1-BK85/BJ85</f>
        <v/>
      </c>
      <c r="BM85" s="47">
        <f>MAX(0,BH85-BH84)*1000000/BA85</f>
        <v/>
      </c>
      <c r="BN85" s="47">
        <f>BN84*(1-IF(AND($A85&gt;=1930,$A85&lt;=1932),0,union_reabsorb))+BM85</f>
        <v/>
      </c>
      <c r="BO85" s="59" t="n">
        <v>0.032</v>
      </c>
      <c r="BP85" s="63">
        <f>BO85+BN85/(AX85*1000000*lf_rate)</f>
        <v/>
      </c>
    </row>
    <row r="86">
      <c r="A86" s="58" t="n">
        <v>1926</v>
      </c>
      <c r="B86" s="47">
        <f>Economy!B86*lf_rate</f>
        <v/>
      </c>
      <c r="C86" s="47">
        <f>Economy!O86*1000000/(B86+L86)</f>
        <v/>
      </c>
      <c r="D86" s="47">
        <f>Champions!AP86*1000000/(C86*champ_prem)</f>
        <v/>
      </c>
      <c r="E86" s="47">
        <f>D86*job_mult</f>
        <v/>
      </c>
      <c r="F86" s="47">
        <f>D86+E86</f>
        <v/>
      </c>
      <c r="G86" s="63">
        <f>F86/B86</f>
        <v/>
      </c>
      <c r="H86" s="47">
        <f>F86-F85</f>
        <v/>
      </c>
      <c r="I86" s="63">
        <f>MAX(0.005,pac_u_base*IF(Paths!AC86=1,pac_u_war,1)+(okun*(1-Economy!G86)*(B86+L86)-MAX(0,L85-L86))/B86)</f>
        <v/>
      </c>
      <c r="J86" s="47">
        <f>IF(AND(gw_on=1,$A86&gt;=gw_start),MIN(gw_cap*B85,gw_cover*F85+gw_gen*B85),0)</f>
        <v/>
      </c>
      <c r="K86" s="47">
        <f>L85*gw_conv</f>
        <v/>
      </c>
      <c r="L86" s="47">
        <f>MAX(0,L85-K86+gw_adj*(J86-L85))*MAX(0,1-gw_slump*(1-Economy!G86))</f>
        <v/>
      </c>
      <c r="M86" s="47">
        <f>MAX(0,L86-L85+L85/gw_term)</f>
        <v/>
      </c>
      <c r="N86" s="63">
        <f>L86/B86</f>
        <v/>
      </c>
      <c r="O86" s="53">
        <f>Economy!L86</f>
        <v/>
      </c>
      <c r="P86" s="53">
        <f>O86*gw_wage_share</f>
        <v/>
      </c>
      <c r="Q86" s="53">
        <f>P86*gw_levy</f>
        <v/>
      </c>
      <c r="R86" s="53">
        <f>P86*gw_remit</f>
        <v/>
      </c>
      <c r="S86" s="63">
        <f>IF(union_resp&gt;=1,MIN(1,MAX(0,($A86-resp_start)/(resp_full-resp_start))),0)</f>
        <v/>
      </c>
      <c r="T86" s="67">
        <f>Economy!R85</f>
        <v/>
      </c>
      <c r="U86" s="67">
        <f>MAX(0,T86-gap_base)</f>
        <v/>
      </c>
      <c r="V86" s="68" t="n">
        <v>87.8</v>
      </c>
      <c r="W86" s="47">
        <f>V86*1000000*lf_rate*union_skill_share</f>
        <v/>
      </c>
      <c r="X86" s="45" t="n">
        <v>140000</v>
      </c>
      <c r="Y86" s="47">
        <f>IF(AND(mig_endo=1,$A86&gt;=talent_start),talent_rate_u*W86*U86*(1-(1-bd_keep)*S86),0)</f>
        <v/>
      </c>
      <c r="Z86" s="47">
        <f>IF(AND(mig_endo=1,$A86&gt;=talent_start),X86*MIN(0.5,talent_share_o*U86)*(1-eu_comp*S86),0)</f>
        <v/>
      </c>
      <c r="AA86" s="45" t="n">
        <v>107000</v>
      </c>
      <c r="AB86" s="47">
        <f>IF(AND(mig_endo=1,$A86&gt;=talent_start),AA86*MIN(0.5,talent_share_a*U86),0)</f>
        <v/>
      </c>
      <c r="AC86" s="47">
        <f>entry_cap*People!B86</f>
        <v/>
      </c>
      <c r="AD86" s="47">
        <f>MIN(AC86,Y86+Z86+AB86)</f>
        <v/>
      </c>
      <c r="AE86" s="47">
        <f>IF(Y86+Z86+AB86&gt;0,AD86*Y86/(Y86+Z86+AB86),0)</f>
        <v/>
      </c>
      <c r="AF86" s="47">
        <f>IF(Y86+Z86+AB86&gt;0,AD86*AB86/(Y86+Z86+AB86),0)</f>
        <v/>
      </c>
      <c r="AG86" s="47">
        <f>AD86*family_mult</f>
        <v/>
      </c>
      <c r="AH86" s="47">
        <f>AH85*(1+Paths!C86)+AG86</f>
        <v/>
      </c>
      <c r="AI86" s="47">
        <f>IF(AND(mig_endo=1,$A86&gt;=talent_start),chain_rate*AH85,0)</f>
        <v/>
      </c>
      <c r="AJ86" s="47">
        <f>IF(AND(mig_endo=1,$A86&gt;=talent_start),IF(H85&gt;0,H85*job_fill,H85*job_return)*job_family,0)</f>
        <v/>
      </c>
      <c r="AK86" s="47">
        <f>K86*gw_conv_family</f>
        <v/>
      </c>
      <c r="AL86" s="47">
        <f>AG86+AI86+AJ86+AK86+AR86</f>
        <v/>
      </c>
      <c r="AM86" s="47">
        <f>AM85*(1-skill_ret)+AD86</f>
        <v/>
      </c>
      <c r="AN86" s="64">
        <f>AM86/B86</f>
        <v/>
      </c>
      <c r="AO86" s="64">
        <f>(skill_rel-1+skill_spill)*AM85/B85-AT86</f>
        <v/>
      </c>
      <c r="AP86" s="64">
        <f>talent_champ*AM85/(skill_base_share*B85)</f>
        <v/>
      </c>
      <c r="AQ86" s="45" t="n">
        <v>288000</v>
      </c>
      <c r="AR86" s="47">
        <f>IF(AND(div_on=1,$A86&gt;=div_start),AQ86*MIN(div_max,div_rate*U86)*(1-div_comp*S86),0)</f>
        <v/>
      </c>
      <c r="AS86" s="47">
        <f>AS85*(1-div_assim)+AR86</f>
        <v/>
      </c>
      <c r="AT86" s="64">
        <f>(1-div_rel)*AS85/Economy!B85</f>
        <v/>
      </c>
      <c r="AU86" s="47">
        <f>AU85*(1-skill_ret)+AE86</f>
        <v/>
      </c>
      <c r="AV86" s="47">
        <f>AV85*(1+union_nat)+AR86</f>
        <v/>
      </c>
      <c r="AW86" s="47">
        <f>AW85*(1+union_nat)+AE86*family_mult</f>
        <v/>
      </c>
      <c r="AX86" s="67">
        <f>V86-(AV86+AW86)/1000000</f>
        <v/>
      </c>
      <c r="AY86" s="47">
        <f>L86*gw_union</f>
        <v/>
      </c>
      <c r="AZ86" s="46" t="n">
        <v>1.064</v>
      </c>
      <c r="BA86" s="47">
        <f>Economy!Q86*AZ86/lf_rate</f>
        <v/>
      </c>
      <c r="BB86" s="64">
        <f>bd_growth*AU85/W85</f>
        <v/>
      </c>
      <c r="BC86" s="64">
        <f>tg_k*MIN(1,Economy!O85/BK85)</f>
        <v/>
      </c>
      <c r="BD86" s="64">
        <f>emu_g*S86</f>
        <v/>
      </c>
      <c r="BE86" s="65">
        <f>BE85*(1-BB86-BC86+BD86)</f>
        <v/>
      </c>
      <c r="BF86" s="46" t="n">
        <v>1</v>
      </c>
      <c r="BG86" s="53">
        <f>AU86*BA86*BE86*(skill_rel-1+skill_spill)/1000000</f>
        <v/>
      </c>
      <c r="BH86" s="53">
        <f>union_disp*(Champions!AP86+Champions!AZ86)*(1-IF(union_resp=2,mkt_cut*S86,0))</f>
        <v/>
      </c>
      <c r="BI86" s="53">
        <f>AY86*BA86*BE86/1000000</f>
        <v/>
      </c>
      <c r="BJ86" s="47">
        <f>V86*Economy!Q86*AZ86</f>
        <v/>
      </c>
      <c r="BK86" s="47">
        <f>MAX(0.3*BJ86,AX86*Economy!Q86*AZ86*BE86*BF86-BG86-BH86-BI86)</f>
        <v/>
      </c>
      <c r="BL86" s="63">
        <f>1-BK86/BJ86</f>
        <v/>
      </c>
      <c r="BM86" s="47">
        <f>MAX(0,BH86-BH85)*1000000/BA86</f>
        <v/>
      </c>
      <c r="BN86" s="47">
        <f>BN85*(1-IF(AND($A86&gt;=1930,$A86&lt;=1932),0,union_reabsorb))+BM86</f>
        <v/>
      </c>
      <c r="BO86" s="59" t="n">
        <v>0.032</v>
      </c>
      <c r="BP86" s="63">
        <f>BO86+BN86/(AX86*1000000*lf_rate)</f>
        <v/>
      </c>
    </row>
    <row r="87">
      <c r="A87" s="58" t="n">
        <v>1927</v>
      </c>
      <c r="B87" s="47">
        <f>Economy!B87*lf_rate</f>
        <v/>
      </c>
      <c r="C87" s="47">
        <f>Economy!O87*1000000/(B87+L87)</f>
        <v/>
      </c>
      <c r="D87" s="47">
        <f>Champions!AP87*1000000/(C87*champ_prem)</f>
        <v/>
      </c>
      <c r="E87" s="47">
        <f>D87*job_mult</f>
        <v/>
      </c>
      <c r="F87" s="47">
        <f>D87+E87</f>
        <v/>
      </c>
      <c r="G87" s="63">
        <f>F87/B87</f>
        <v/>
      </c>
      <c r="H87" s="47">
        <f>F87-F86</f>
        <v/>
      </c>
      <c r="I87" s="63">
        <f>MAX(0.005,pac_u_base*IF(Paths!AC87=1,pac_u_war,1)+(okun*(1-Economy!G87)*(B87+L87)-MAX(0,L86-L87))/B87)</f>
        <v/>
      </c>
      <c r="J87" s="47">
        <f>IF(AND(gw_on=1,$A87&gt;=gw_start),MIN(gw_cap*B86,gw_cover*F86+gw_gen*B86),0)</f>
        <v/>
      </c>
      <c r="K87" s="47">
        <f>L86*gw_conv</f>
        <v/>
      </c>
      <c r="L87" s="47">
        <f>MAX(0,L86-K87+gw_adj*(J87-L86))*MAX(0,1-gw_slump*(1-Economy!G87))</f>
        <v/>
      </c>
      <c r="M87" s="47">
        <f>MAX(0,L87-L86+L86/gw_term)</f>
        <v/>
      </c>
      <c r="N87" s="63">
        <f>L87/B87</f>
        <v/>
      </c>
      <c r="O87" s="53">
        <f>Economy!L87</f>
        <v/>
      </c>
      <c r="P87" s="53">
        <f>O87*gw_wage_share</f>
        <v/>
      </c>
      <c r="Q87" s="53">
        <f>P87*gw_levy</f>
        <v/>
      </c>
      <c r="R87" s="53">
        <f>P87*gw_remit</f>
        <v/>
      </c>
      <c r="S87" s="63">
        <f>IF(union_resp&gt;=1,MIN(1,MAX(0,($A87-resp_start)/(resp_full-resp_start))),0)</f>
        <v/>
      </c>
      <c r="T87" s="67">
        <f>Economy!R86</f>
        <v/>
      </c>
      <c r="U87" s="67">
        <f>MAX(0,T87-gap_base)</f>
        <v/>
      </c>
      <c r="V87" s="68" t="n">
        <v>88.77</v>
      </c>
      <c r="W87" s="47">
        <f>V87*1000000*lf_rate*union_skill_share</f>
        <v/>
      </c>
      <c r="X87" s="45" t="n">
        <v>133000</v>
      </c>
      <c r="Y87" s="47">
        <f>IF(AND(mig_endo=1,$A87&gt;=talent_start),talent_rate_u*W87*U87*(1-(1-bd_keep)*S87),0)</f>
        <v/>
      </c>
      <c r="Z87" s="47">
        <f>IF(AND(mig_endo=1,$A87&gt;=talent_start),X87*MIN(0.5,talent_share_o*U87)*(1-eu_comp*S87),0)</f>
        <v/>
      </c>
      <c r="AA87" s="45" t="n">
        <v>111000</v>
      </c>
      <c r="AB87" s="47">
        <f>IF(AND(mig_endo=1,$A87&gt;=talent_start),AA87*MIN(0.5,talent_share_a*U87),0)</f>
        <v/>
      </c>
      <c r="AC87" s="47">
        <f>entry_cap*People!B87</f>
        <v/>
      </c>
      <c r="AD87" s="47">
        <f>MIN(AC87,Y87+Z87+AB87)</f>
        <v/>
      </c>
      <c r="AE87" s="47">
        <f>IF(Y87+Z87+AB87&gt;0,AD87*Y87/(Y87+Z87+AB87),0)</f>
        <v/>
      </c>
      <c r="AF87" s="47">
        <f>IF(Y87+Z87+AB87&gt;0,AD87*AB87/(Y87+Z87+AB87),0)</f>
        <v/>
      </c>
      <c r="AG87" s="47">
        <f>AD87*family_mult</f>
        <v/>
      </c>
      <c r="AH87" s="47">
        <f>AH86*(1+Paths!C87)+AG87</f>
        <v/>
      </c>
      <c r="AI87" s="47">
        <f>IF(AND(mig_endo=1,$A87&gt;=talent_start),chain_rate*AH86,0)</f>
        <v/>
      </c>
      <c r="AJ87" s="47">
        <f>IF(AND(mig_endo=1,$A87&gt;=talent_start),IF(H86&gt;0,H86*job_fill,H86*job_return)*job_family,0)</f>
        <v/>
      </c>
      <c r="AK87" s="47">
        <f>K87*gw_conv_family</f>
        <v/>
      </c>
      <c r="AL87" s="47">
        <f>AG87+AI87+AJ87+AK87+AR87</f>
        <v/>
      </c>
      <c r="AM87" s="47">
        <f>AM86*(1-skill_ret)+AD87</f>
        <v/>
      </c>
      <c r="AN87" s="64">
        <f>AM87/B87</f>
        <v/>
      </c>
      <c r="AO87" s="64">
        <f>(skill_rel-1+skill_spill)*AM86/B86-AT87</f>
        <v/>
      </c>
      <c r="AP87" s="64">
        <f>talent_champ*AM86/(skill_base_share*B86)</f>
        <v/>
      </c>
      <c r="AQ87" s="45" t="n">
        <v>285000</v>
      </c>
      <c r="AR87" s="47">
        <f>IF(AND(div_on=1,$A87&gt;=div_start),AQ87*MIN(div_max,div_rate*U87)*(1-div_comp*S87),0)</f>
        <v/>
      </c>
      <c r="AS87" s="47">
        <f>AS86*(1-div_assim)+AR87</f>
        <v/>
      </c>
      <c r="AT87" s="64">
        <f>(1-div_rel)*AS86/Economy!B86</f>
        <v/>
      </c>
      <c r="AU87" s="47">
        <f>AU86*(1-skill_ret)+AE87</f>
        <v/>
      </c>
      <c r="AV87" s="47">
        <f>AV86*(1+union_nat)+AR87</f>
        <v/>
      </c>
      <c r="AW87" s="47">
        <f>AW86*(1+union_nat)+AE87*family_mult</f>
        <v/>
      </c>
      <c r="AX87" s="67">
        <f>V87-(AV87+AW87)/1000000</f>
        <v/>
      </c>
      <c r="AY87" s="47">
        <f>L87*gw_union</f>
        <v/>
      </c>
      <c r="AZ87" s="46" t="n">
        <v>1.065</v>
      </c>
      <c r="BA87" s="47">
        <f>Economy!Q87*AZ87/lf_rate</f>
        <v/>
      </c>
      <c r="BB87" s="64">
        <f>bd_growth*AU86/W86</f>
        <v/>
      </c>
      <c r="BC87" s="64">
        <f>tg_k*MIN(1,Economy!O86/BK86)</f>
        <v/>
      </c>
      <c r="BD87" s="64">
        <f>emu_g*S87</f>
        <v/>
      </c>
      <c r="BE87" s="65">
        <f>BE86*(1-BB87-BC87+BD87)</f>
        <v/>
      </c>
      <c r="BF87" s="46" t="n">
        <v>1</v>
      </c>
      <c r="BG87" s="53">
        <f>AU87*BA87*BE87*(skill_rel-1+skill_spill)/1000000</f>
        <v/>
      </c>
      <c r="BH87" s="53">
        <f>union_disp*(Champions!AP87+Champions!AZ87)*(1-IF(union_resp=2,mkt_cut*S87,0))</f>
        <v/>
      </c>
      <c r="BI87" s="53">
        <f>AY87*BA87*BE87/1000000</f>
        <v/>
      </c>
      <c r="BJ87" s="47">
        <f>V87*Economy!Q87*AZ87</f>
        <v/>
      </c>
      <c r="BK87" s="47">
        <f>MAX(0.3*BJ87,AX87*Economy!Q87*AZ87*BE87*BF87-BG87-BH87-BI87)</f>
        <v/>
      </c>
      <c r="BL87" s="63">
        <f>1-BK87/BJ87</f>
        <v/>
      </c>
      <c r="BM87" s="47">
        <f>MAX(0,BH87-BH86)*1000000/BA87</f>
        <v/>
      </c>
      <c r="BN87" s="47">
        <f>BN86*(1-IF(AND($A87&gt;=1930,$A87&lt;=1932),0,union_reabsorb))+BM87</f>
        <v/>
      </c>
      <c r="BO87" s="59" t="n">
        <v>0.032</v>
      </c>
      <c r="BP87" s="63">
        <f>BO87+BN87/(AX87*1000000*lf_rate)</f>
        <v/>
      </c>
    </row>
    <row r="88">
      <c r="A88" s="58" t="n">
        <v>1928</v>
      </c>
      <c r="B88" s="47">
        <f>Economy!B88*lf_rate</f>
        <v/>
      </c>
      <c r="C88" s="47">
        <f>Economy!O88*1000000/(B88+L88)</f>
        <v/>
      </c>
      <c r="D88" s="47">
        <f>Champions!AP88*1000000/(C88*champ_prem)</f>
        <v/>
      </c>
      <c r="E88" s="47">
        <f>D88*job_mult</f>
        <v/>
      </c>
      <c r="F88" s="47">
        <f>D88+E88</f>
        <v/>
      </c>
      <c r="G88" s="63">
        <f>F88/B88</f>
        <v/>
      </c>
      <c r="H88" s="47">
        <f>F88-F87</f>
        <v/>
      </c>
      <c r="I88" s="63">
        <f>MAX(0.005,pac_u_base*IF(Paths!AC88=1,pac_u_war,1)+(okun*(1-Economy!G88)*(B88+L88)-MAX(0,L87-L88))/B88)</f>
        <v/>
      </c>
      <c r="J88" s="47">
        <f>IF(AND(gw_on=1,$A88&gt;=gw_start),MIN(gw_cap*B87,gw_cover*F87+gw_gen*B87),0)</f>
        <v/>
      </c>
      <c r="K88" s="47">
        <f>L87*gw_conv</f>
        <v/>
      </c>
      <c r="L88" s="47">
        <f>MAX(0,L87-K88+gw_adj*(J88-L87))*MAX(0,1-gw_slump*(1-Economy!G88))</f>
        <v/>
      </c>
      <c r="M88" s="47">
        <f>MAX(0,L88-L87+L87/gw_term)</f>
        <v/>
      </c>
      <c r="N88" s="63">
        <f>L88/B88</f>
        <v/>
      </c>
      <c r="O88" s="53">
        <f>Economy!L88</f>
        <v/>
      </c>
      <c r="P88" s="53">
        <f>O88*gw_wage_share</f>
        <v/>
      </c>
      <c r="Q88" s="53">
        <f>P88*gw_levy</f>
        <v/>
      </c>
      <c r="R88" s="53">
        <f>P88*gw_remit</f>
        <v/>
      </c>
      <c r="S88" s="63">
        <f>IF(union_resp&gt;=1,MIN(1,MAX(0,($A88-resp_start)/(resp_full-resp_start))),0)</f>
        <v/>
      </c>
      <c r="T88" s="67">
        <f>Economy!R87</f>
        <v/>
      </c>
      <c r="U88" s="67">
        <f>MAX(0,T88-gap_base)</f>
        <v/>
      </c>
      <c r="V88" s="68" t="n">
        <v>89.73</v>
      </c>
      <c r="W88" s="47">
        <f>V88*1000000*lf_rate*union_skill_share</f>
        <v/>
      </c>
      <c r="X88" s="45" t="n">
        <v>127000</v>
      </c>
      <c r="Y88" s="47">
        <f>IF(AND(mig_endo=1,$A88&gt;=talent_start),talent_rate_u*W88*U88*(1-(1-bd_keep)*S88),0)</f>
        <v/>
      </c>
      <c r="Z88" s="47">
        <f>IF(AND(mig_endo=1,$A88&gt;=talent_start),X88*MIN(0.5,talent_share_o*U88)*(1-eu_comp*S88),0)</f>
        <v/>
      </c>
      <c r="AA88" s="45" t="n">
        <v>116000</v>
      </c>
      <c r="AB88" s="47">
        <f>IF(AND(mig_endo=1,$A88&gt;=talent_start),AA88*MIN(0.5,talent_share_a*U88),0)</f>
        <v/>
      </c>
      <c r="AC88" s="47">
        <f>entry_cap*People!B88</f>
        <v/>
      </c>
      <c r="AD88" s="47">
        <f>MIN(AC88,Y88+Z88+AB88)</f>
        <v/>
      </c>
      <c r="AE88" s="47">
        <f>IF(Y88+Z88+AB88&gt;0,AD88*Y88/(Y88+Z88+AB88),0)</f>
        <v/>
      </c>
      <c r="AF88" s="47">
        <f>IF(Y88+Z88+AB88&gt;0,AD88*AB88/(Y88+Z88+AB88),0)</f>
        <v/>
      </c>
      <c r="AG88" s="47">
        <f>AD88*family_mult</f>
        <v/>
      </c>
      <c r="AH88" s="47">
        <f>AH87*(1+Paths!C88)+AG88</f>
        <v/>
      </c>
      <c r="AI88" s="47">
        <f>IF(AND(mig_endo=1,$A88&gt;=talent_start),chain_rate*AH87,0)</f>
        <v/>
      </c>
      <c r="AJ88" s="47">
        <f>IF(AND(mig_endo=1,$A88&gt;=talent_start),IF(H87&gt;0,H87*job_fill,H87*job_return)*job_family,0)</f>
        <v/>
      </c>
      <c r="AK88" s="47">
        <f>K88*gw_conv_family</f>
        <v/>
      </c>
      <c r="AL88" s="47">
        <f>AG88+AI88+AJ88+AK88+AR88</f>
        <v/>
      </c>
      <c r="AM88" s="47">
        <f>AM87*(1-skill_ret)+AD88</f>
        <v/>
      </c>
      <c r="AN88" s="64">
        <f>AM88/B88</f>
        <v/>
      </c>
      <c r="AO88" s="64">
        <f>(skill_rel-1+skill_spill)*AM87/B87-AT88</f>
        <v/>
      </c>
      <c r="AP88" s="64">
        <f>talent_champ*AM87/(skill_base_share*B87)</f>
        <v/>
      </c>
      <c r="AQ88" s="45" t="n">
        <v>282000</v>
      </c>
      <c r="AR88" s="47">
        <f>IF(AND(div_on=1,$A88&gt;=div_start),AQ88*MIN(div_max,div_rate*U88)*(1-div_comp*S88),0)</f>
        <v/>
      </c>
      <c r="AS88" s="47">
        <f>AS87*(1-div_assim)+AR88</f>
        <v/>
      </c>
      <c r="AT88" s="64">
        <f>(1-div_rel)*AS87/Economy!B87</f>
        <v/>
      </c>
      <c r="AU88" s="47">
        <f>AU87*(1-skill_ret)+AE88</f>
        <v/>
      </c>
      <c r="AV88" s="47">
        <f>AV87*(1+union_nat)+AR88</f>
        <v/>
      </c>
      <c r="AW88" s="47">
        <f>AW87*(1+union_nat)+AE88*family_mult</f>
        <v/>
      </c>
      <c r="AX88" s="67">
        <f>V88-(AV88+AW88)/1000000</f>
        <v/>
      </c>
      <c r="AY88" s="47">
        <f>L88*gw_union</f>
        <v/>
      </c>
      <c r="AZ88" s="46" t="n">
        <v>1.066</v>
      </c>
      <c r="BA88" s="47">
        <f>Economy!Q88*AZ88/lf_rate</f>
        <v/>
      </c>
      <c r="BB88" s="64">
        <f>bd_growth*AU87/W87</f>
        <v/>
      </c>
      <c r="BC88" s="64">
        <f>tg_k*MIN(1,Economy!O87/BK87)</f>
        <v/>
      </c>
      <c r="BD88" s="64">
        <f>emu_g*S88</f>
        <v/>
      </c>
      <c r="BE88" s="65">
        <f>BE87*(1-BB88-BC88+BD88)</f>
        <v/>
      </c>
      <c r="BF88" s="46" t="n">
        <v>1</v>
      </c>
      <c r="BG88" s="53">
        <f>AU88*BA88*BE88*(skill_rel-1+skill_spill)/1000000</f>
        <v/>
      </c>
      <c r="BH88" s="53">
        <f>union_disp*(Champions!AP88+Champions!AZ88)*(1-IF(union_resp=2,mkt_cut*S88,0))</f>
        <v/>
      </c>
      <c r="BI88" s="53">
        <f>AY88*BA88*BE88/1000000</f>
        <v/>
      </c>
      <c r="BJ88" s="47">
        <f>V88*Economy!Q88*AZ88</f>
        <v/>
      </c>
      <c r="BK88" s="47">
        <f>MAX(0.3*BJ88,AX88*Economy!Q88*AZ88*BE88*BF88-BG88-BH88-BI88)</f>
        <v/>
      </c>
      <c r="BL88" s="63">
        <f>1-BK88/BJ88</f>
        <v/>
      </c>
      <c r="BM88" s="47">
        <f>MAX(0,BH88-BH87)*1000000/BA88</f>
        <v/>
      </c>
      <c r="BN88" s="47">
        <f>BN87*(1-IF(AND($A88&gt;=1930,$A88&lt;=1932),0,union_reabsorb))+BM88</f>
        <v/>
      </c>
      <c r="BO88" s="59" t="n">
        <v>0.032</v>
      </c>
      <c r="BP88" s="63">
        <f>BO88+BN88/(AX88*1000000*lf_rate)</f>
        <v/>
      </c>
    </row>
    <row r="89">
      <c r="A89" s="58" t="n">
        <v>1929</v>
      </c>
      <c r="B89" s="47">
        <f>Economy!B89*lf_rate</f>
        <v/>
      </c>
      <c r="C89" s="47">
        <f>Economy!O89*1000000/(B89+L89)</f>
        <v/>
      </c>
      <c r="D89" s="47">
        <f>Champions!AP89*1000000/(C89*champ_prem)</f>
        <v/>
      </c>
      <c r="E89" s="47">
        <f>D89*job_mult</f>
        <v/>
      </c>
      <c r="F89" s="47">
        <f>D89+E89</f>
        <v/>
      </c>
      <c r="G89" s="63">
        <f>F89/B89</f>
        <v/>
      </c>
      <c r="H89" s="47">
        <f>F89-F88</f>
        <v/>
      </c>
      <c r="I89" s="63">
        <f>MAX(0.005,pac_u_base*IF(Paths!AC89=1,pac_u_war,1)+(okun*(1-Economy!G89)*(B89+L89)-MAX(0,L88-L89))/B89)</f>
        <v/>
      </c>
      <c r="J89" s="47">
        <f>IF(AND(gw_on=1,$A89&gt;=gw_start),MIN(gw_cap*B88,gw_cover*F88+gw_gen*B88),0)</f>
        <v/>
      </c>
      <c r="K89" s="47">
        <f>L88*gw_conv</f>
        <v/>
      </c>
      <c r="L89" s="47">
        <f>MAX(0,L88-K89+gw_adj*(J89-L88))*MAX(0,1-gw_slump*(1-Economy!G89))</f>
        <v/>
      </c>
      <c r="M89" s="47">
        <f>MAX(0,L89-L88+L88/gw_term)</f>
        <v/>
      </c>
      <c r="N89" s="63">
        <f>L89/B89</f>
        <v/>
      </c>
      <c r="O89" s="53">
        <f>Economy!L89</f>
        <v/>
      </c>
      <c r="P89" s="53">
        <f>O89*gw_wage_share</f>
        <v/>
      </c>
      <c r="Q89" s="53">
        <f>P89*gw_levy</f>
        <v/>
      </c>
      <c r="R89" s="53">
        <f>P89*gw_remit</f>
        <v/>
      </c>
      <c r="S89" s="63">
        <f>IF(union_resp&gt;=1,MIN(1,MAX(0,($A89-resp_start)/(resp_full-resp_start))),0)</f>
        <v/>
      </c>
      <c r="T89" s="67">
        <f>Economy!R88</f>
        <v/>
      </c>
      <c r="U89" s="67">
        <f>MAX(0,T89-gap_base)</f>
        <v/>
      </c>
      <c r="V89" s="68" t="n">
        <v>90.7</v>
      </c>
      <c r="W89" s="47">
        <f>V89*1000000*lf_rate*union_skill_share</f>
        <v/>
      </c>
      <c r="X89" s="45" t="n">
        <v>120000</v>
      </c>
      <c r="Y89" s="47">
        <f>IF(AND(mig_endo=1,$A89&gt;=talent_start),talent_rate_u*W89*U89*(1-(1-bd_keep)*S89),0)</f>
        <v/>
      </c>
      <c r="Z89" s="47">
        <f>IF(AND(mig_endo=1,$A89&gt;=talent_start),X89*MIN(0.5,talent_share_o*U89)*(1-eu_comp*S89),0)</f>
        <v/>
      </c>
      <c r="AA89" s="45" t="n">
        <v>120000</v>
      </c>
      <c r="AB89" s="47">
        <f>IF(AND(mig_endo=1,$A89&gt;=talent_start),AA89*MIN(0.5,talent_share_a*U89),0)</f>
        <v/>
      </c>
      <c r="AC89" s="47">
        <f>entry_cap*People!B89</f>
        <v/>
      </c>
      <c r="AD89" s="47">
        <f>MIN(AC89,Y89+Z89+AB89)</f>
        <v/>
      </c>
      <c r="AE89" s="47">
        <f>IF(Y89+Z89+AB89&gt;0,AD89*Y89/(Y89+Z89+AB89),0)</f>
        <v/>
      </c>
      <c r="AF89" s="47">
        <f>IF(Y89+Z89+AB89&gt;0,AD89*AB89/(Y89+Z89+AB89),0)</f>
        <v/>
      </c>
      <c r="AG89" s="47">
        <f>AD89*family_mult</f>
        <v/>
      </c>
      <c r="AH89" s="47">
        <f>AH88*(1+Paths!C89)+AG89</f>
        <v/>
      </c>
      <c r="AI89" s="47">
        <f>IF(AND(mig_endo=1,$A89&gt;=talent_start),chain_rate*AH88,0)</f>
        <v/>
      </c>
      <c r="AJ89" s="47">
        <f>IF(AND(mig_endo=1,$A89&gt;=talent_start),IF(H88&gt;0,H88*job_fill,H88*job_return)*job_family,0)</f>
        <v/>
      </c>
      <c r="AK89" s="47">
        <f>K89*gw_conv_family</f>
        <v/>
      </c>
      <c r="AL89" s="47">
        <f>AG89+AI89+AJ89+AK89+AR89</f>
        <v/>
      </c>
      <c r="AM89" s="47">
        <f>AM88*(1-skill_ret)+AD89</f>
        <v/>
      </c>
      <c r="AN89" s="64">
        <f>AM89/B89</f>
        <v/>
      </c>
      <c r="AO89" s="64">
        <f>(skill_rel-1+skill_spill)*AM88/B88-AT89</f>
        <v/>
      </c>
      <c r="AP89" s="64">
        <f>talent_champ*AM88/(skill_base_share*B88)</f>
        <v/>
      </c>
      <c r="AQ89" s="45" t="n">
        <v>280000</v>
      </c>
      <c r="AR89" s="47">
        <f>IF(AND(div_on=1,$A89&gt;=div_start),AQ89*MIN(div_max,div_rate*U89)*(1-div_comp*S89),0)</f>
        <v/>
      </c>
      <c r="AS89" s="47">
        <f>AS88*(1-div_assim)+AR89</f>
        <v/>
      </c>
      <c r="AT89" s="64">
        <f>(1-div_rel)*AS88/Economy!B88</f>
        <v/>
      </c>
      <c r="AU89" s="47">
        <f>AU88*(1-skill_ret)+AE89</f>
        <v/>
      </c>
      <c r="AV89" s="47">
        <f>AV88*(1+union_nat)+AR89</f>
        <v/>
      </c>
      <c r="AW89" s="47">
        <f>AW88*(1+union_nat)+AE89*family_mult</f>
        <v/>
      </c>
      <c r="AX89" s="67">
        <f>V89-(AV89+AW89)/1000000</f>
        <v/>
      </c>
      <c r="AY89" s="47">
        <f>L89*gw_union</f>
        <v/>
      </c>
      <c r="AZ89" s="46" t="n">
        <v>1.067</v>
      </c>
      <c r="BA89" s="47">
        <f>Economy!Q89*AZ89/lf_rate</f>
        <v/>
      </c>
      <c r="BB89" s="64">
        <f>bd_growth*AU88/W88</f>
        <v/>
      </c>
      <c r="BC89" s="64">
        <f>tg_k*MIN(1,Economy!O88/BK88)</f>
        <v/>
      </c>
      <c r="BD89" s="64">
        <f>emu_g*S89</f>
        <v/>
      </c>
      <c r="BE89" s="65">
        <f>BE88*(1-BB89-BC89+BD89)</f>
        <v/>
      </c>
      <c r="BF89" s="46" t="n">
        <v>1</v>
      </c>
      <c r="BG89" s="53">
        <f>AU89*BA89*BE89*(skill_rel-1+skill_spill)/1000000</f>
        <v/>
      </c>
      <c r="BH89" s="53">
        <f>union_disp*(Champions!AP89+Champions!AZ89)*(1-IF(union_resp=2,mkt_cut*S89,0))</f>
        <v/>
      </c>
      <c r="BI89" s="53">
        <f>AY89*BA89*BE89/1000000</f>
        <v/>
      </c>
      <c r="BJ89" s="47">
        <f>V89*Economy!Q89*AZ89</f>
        <v/>
      </c>
      <c r="BK89" s="47">
        <f>MAX(0.3*BJ89,AX89*Economy!Q89*AZ89*BE89*BF89-BG89-BH89-BI89)</f>
        <v/>
      </c>
      <c r="BL89" s="63">
        <f>1-BK89/BJ89</f>
        <v/>
      </c>
      <c r="BM89" s="47">
        <f>MAX(0,BH89-BH88)*1000000/BA89</f>
        <v/>
      </c>
      <c r="BN89" s="47">
        <f>BN88*(1-IF(AND($A89&gt;=1930,$A89&lt;=1932),0,union_reabsorb))+BM89</f>
        <v/>
      </c>
      <c r="BO89" s="59" t="n">
        <v>0.032</v>
      </c>
      <c r="BP89" s="63">
        <f>BO89+BN89/(AX89*1000000*lf_rate)</f>
        <v/>
      </c>
    </row>
    <row r="90">
      <c r="A90" s="58" t="n">
        <v>1930</v>
      </c>
      <c r="B90" s="47">
        <f>Economy!B90*lf_rate</f>
        <v/>
      </c>
      <c r="C90" s="47">
        <f>Economy!O90*1000000/(B90+L90)</f>
        <v/>
      </c>
      <c r="D90" s="47">
        <f>Champions!AP90*1000000/(C90*champ_prem)</f>
        <v/>
      </c>
      <c r="E90" s="47">
        <f>D90*job_mult</f>
        <v/>
      </c>
      <c r="F90" s="47">
        <f>D90+E90</f>
        <v/>
      </c>
      <c r="G90" s="63">
        <f>F90/B90</f>
        <v/>
      </c>
      <c r="H90" s="47">
        <f>F90-F89</f>
        <v/>
      </c>
      <c r="I90" s="63">
        <f>MAX(0.005,pac_u_base*IF(Paths!AC90=1,pac_u_war,1)+(okun*(1-Economy!G90)*(B90+L90)-MAX(0,L89-L90))/B90)</f>
        <v/>
      </c>
      <c r="J90" s="47">
        <f>IF(AND(gw_on=1,$A90&gt;=gw_start),MIN(gw_cap*B89,gw_cover*F89+gw_gen*B89),0)</f>
        <v/>
      </c>
      <c r="K90" s="47">
        <f>L89*gw_conv</f>
        <v/>
      </c>
      <c r="L90" s="47">
        <f>MAX(0,L89-K90+gw_adj*(J90-L89))*MAX(0,1-gw_slump*(1-Economy!G90))</f>
        <v/>
      </c>
      <c r="M90" s="47">
        <f>MAX(0,L90-L89+L89/gw_term)</f>
        <v/>
      </c>
      <c r="N90" s="63">
        <f>L90/B90</f>
        <v/>
      </c>
      <c r="O90" s="53">
        <f>Economy!L90</f>
        <v/>
      </c>
      <c r="P90" s="53">
        <f>O90*gw_wage_share</f>
        <v/>
      </c>
      <c r="Q90" s="53">
        <f>P90*gw_levy</f>
        <v/>
      </c>
      <c r="R90" s="53">
        <f>P90*gw_remit</f>
        <v/>
      </c>
      <c r="S90" s="63">
        <f>IF(union_resp&gt;=1,MIN(1,MAX(0,($A90-resp_start)/(resp_full-resp_start))),0)</f>
        <v/>
      </c>
      <c r="T90" s="67">
        <f>Economy!R89</f>
        <v/>
      </c>
      <c r="U90" s="67">
        <f>MAX(0,T90-gap_base)</f>
        <v/>
      </c>
      <c r="V90" s="68" t="n">
        <v>91.43000000000001</v>
      </c>
      <c r="W90" s="47">
        <f>V90*1000000*lf_rate*union_skill_share</f>
        <v/>
      </c>
      <c r="X90" s="45" t="n">
        <v>110000</v>
      </c>
      <c r="Y90" s="47">
        <f>IF(AND(mig_endo=1,$A90&gt;=talent_start),talent_rate_u*W90*U90*(1-(1-bd_keep)*S90),0)</f>
        <v/>
      </c>
      <c r="Z90" s="47">
        <f>IF(AND(mig_endo=1,$A90&gt;=talent_start),X90*MIN(0.5,talent_share_o*U90)*(1-eu_comp*S90),0)</f>
        <v/>
      </c>
      <c r="AA90" s="45" t="n">
        <v>123000</v>
      </c>
      <c r="AB90" s="47">
        <f>IF(AND(mig_endo=1,$A90&gt;=talent_start),AA90*MIN(0.5,talent_share_a*U90),0)</f>
        <v/>
      </c>
      <c r="AC90" s="47">
        <f>entry_cap*People!B90</f>
        <v/>
      </c>
      <c r="AD90" s="47">
        <f>MIN(AC90,Y90+Z90+AB90)</f>
        <v/>
      </c>
      <c r="AE90" s="47">
        <f>IF(Y90+Z90+AB90&gt;0,AD90*Y90/(Y90+Z90+AB90),0)</f>
        <v/>
      </c>
      <c r="AF90" s="47">
        <f>IF(Y90+Z90+AB90&gt;0,AD90*AB90/(Y90+Z90+AB90),0)</f>
        <v/>
      </c>
      <c r="AG90" s="47">
        <f>AD90*family_mult</f>
        <v/>
      </c>
      <c r="AH90" s="47">
        <f>AH89*(1+Paths!C90)+AG90</f>
        <v/>
      </c>
      <c r="AI90" s="47">
        <f>IF(AND(mig_endo=1,$A90&gt;=talent_start),chain_rate*AH89,0)</f>
        <v/>
      </c>
      <c r="AJ90" s="47">
        <f>IF(AND(mig_endo=1,$A90&gt;=talent_start),IF(H89&gt;0,H89*job_fill,H89*job_return)*job_family,0)</f>
        <v/>
      </c>
      <c r="AK90" s="47">
        <f>K90*gw_conv_family</f>
        <v/>
      </c>
      <c r="AL90" s="47">
        <f>AG90+AI90+AJ90+AK90+AR90</f>
        <v/>
      </c>
      <c r="AM90" s="47">
        <f>AM89*(1-skill_ret)+AD90</f>
        <v/>
      </c>
      <c r="AN90" s="64">
        <f>AM90/B90</f>
        <v/>
      </c>
      <c r="AO90" s="64">
        <f>(skill_rel-1+skill_spill)*AM89/B89-AT90</f>
        <v/>
      </c>
      <c r="AP90" s="64">
        <f>talent_champ*AM89/(skill_base_share*B89)</f>
        <v/>
      </c>
      <c r="AQ90" s="45" t="n">
        <v>240000</v>
      </c>
      <c r="AR90" s="47">
        <f>IF(AND(div_on=1,$A90&gt;=div_start),AQ90*MIN(div_max,div_rate*U90)*(1-div_comp*S90),0)</f>
        <v/>
      </c>
      <c r="AS90" s="47">
        <f>AS89*(1-div_assim)+AR90</f>
        <v/>
      </c>
      <c r="AT90" s="64">
        <f>(1-div_rel)*AS89/Economy!B89</f>
        <v/>
      </c>
      <c r="AU90" s="47">
        <f>AU89*(1-skill_ret)+AE90</f>
        <v/>
      </c>
      <c r="AV90" s="47">
        <f>AV89*(1+union_nat)+AR90</f>
        <v/>
      </c>
      <c r="AW90" s="47">
        <f>AW89*(1+union_nat)+AE90*family_mult</f>
        <v/>
      </c>
      <c r="AX90" s="67">
        <f>V90-(AV90+AW90)/1000000</f>
        <v/>
      </c>
      <c r="AY90" s="47">
        <f>L90*gw_union</f>
        <v/>
      </c>
      <c r="AZ90" s="46" t="n">
        <v>1.069</v>
      </c>
      <c r="BA90" s="47">
        <f>Economy!Q90*AZ90/lf_rate</f>
        <v/>
      </c>
      <c r="BB90" s="64">
        <f>bd_growth*AU89/W89</f>
        <v/>
      </c>
      <c r="BC90" s="64">
        <f>tg_k*MIN(1,Economy!O89/BK89)</f>
        <v/>
      </c>
      <c r="BD90" s="64">
        <f>emu_g*S90</f>
        <v/>
      </c>
      <c r="BE90" s="65">
        <f>BE89*(1-BB90-BC90+BD90)</f>
        <v/>
      </c>
      <c r="BF90" s="46" t="n">
        <v>0.97</v>
      </c>
      <c r="BG90" s="53">
        <f>AU90*BA90*BE90*(skill_rel-1+skill_spill)/1000000</f>
        <v/>
      </c>
      <c r="BH90" s="53">
        <f>union_disp*(Champions!AP90+Champions!AZ90)*(1-IF(union_resp=2,mkt_cut*S90,0))</f>
        <v/>
      </c>
      <c r="BI90" s="53">
        <f>AY90*BA90*BE90/1000000</f>
        <v/>
      </c>
      <c r="BJ90" s="47">
        <f>V90*Economy!Q90*AZ90</f>
        <v/>
      </c>
      <c r="BK90" s="47">
        <f>MAX(0.3*BJ90,AX90*Economy!Q90*AZ90*BE90*BF90-BG90-BH90-BI90)</f>
        <v/>
      </c>
      <c r="BL90" s="63">
        <f>1-BK90/BJ90</f>
        <v/>
      </c>
      <c r="BM90" s="47">
        <f>MAX(0,BH90-BH89)*1000000/BA90</f>
        <v/>
      </c>
      <c r="BN90" s="47">
        <f>BN89*(1-IF(AND($A90&gt;=1930,$A90&lt;=1932),0,union_reabsorb))+BM90</f>
        <v/>
      </c>
      <c r="BO90" s="59" t="n">
        <v>0.08699999999999999</v>
      </c>
      <c r="BP90" s="63">
        <f>BO90+BN90/(AX90*1000000*lf_rate)</f>
        <v/>
      </c>
    </row>
    <row r="91">
      <c r="A91" s="58" t="n">
        <v>1931</v>
      </c>
      <c r="B91" s="47">
        <f>Economy!B91*lf_rate</f>
        <v/>
      </c>
      <c r="C91" s="47">
        <f>Economy!O91*1000000/(B91+L91)</f>
        <v/>
      </c>
      <c r="D91" s="47">
        <f>Champions!AP91*1000000/(C91*champ_prem)</f>
        <v/>
      </c>
      <c r="E91" s="47">
        <f>D91*job_mult</f>
        <v/>
      </c>
      <c r="F91" s="47">
        <f>D91+E91</f>
        <v/>
      </c>
      <c r="G91" s="63">
        <f>F91/B91</f>
        <v/>
      </c>
      <c r="H91" s="47">
        <f>F91-F90</f>
        <v/>
      </c>
      <c r="I91" s="63">
        <f>MAX(0.005,pac_u_base*IF(Paths!AC91=1,pac_u_war,1)+(okun*(1-Economy!G91)*(B91+L91)-MAX(0,L90-L91))/B91)</f>
        <v/>
      </c>
      <c r="J91" s="47">
        <f>IF(AND(gw_on=1,$A91&gt;=gw_start),MIN(gw_cap*B90,gw_cover*F90+gw_gen*B90),0)</f>
        <v/>
      </c>
      <c r="K91" s="47">
        <f>L90*gw_conv</f>
        <v/>
      </c>
      <c r="L91" s="47">
        <f>MAX(0,L90-K91+gw_adj*(J91-L90))*MAX(0,1-gw_slump*(1-Economy!G91))</f>
        <v/>
      </c>
      <c r="M91" s="47">
        <f>MAX(0,L91-L90+L90/gw_term)</f>
        <v/>
      </c>
      <c r="N91" s="63">
        <f>L91/B91</f>
        <v/>
      </c>
      <c r="O91" s="53">
        <f>Economy!L91</f>
        <v/>
      </c>
      <c r="P91" s="53">
        <f>O91*gw_wage_share</f>
        <v/>
      </c>
      <c r="Q91" s="53">
        <f>P91*gw_levy</f>
        <v/>
      </c>
      <c r="R91" s="53">
        <f>P91*gw_remit</f>
        <v/>
      </c>
      <c r="S91" s="63">
        <f>IF(union_resp&gt;=1,MIN(1,MAX(0,($A91-resp_start)/(resp_full-resp_start))),0)</f>
        <v/>
      </c>
      <c r="T91" s="67">
        <f>Economy!R90</f>
        <v/>
      </c>
      <c r="U91" s="67">
        <f>MAX(0,T91-gap_base)</f>
        <v/>
      </c>
      <c r="V91" s="68" t="n">
        <v>92.17</v>
      </c>
      <c r="W91" s="47">
        <f>V91*1000000*lf_rate*union_skill_share</f>
        <v/>
      </c>
      <c r="X91" s="45" t="n">
        <v>100000</v>
      </c>
      <c r="Y91" s="47">
        <f>IF(AND(mig_endo=1,$A91&gt;=talent_start),talent_rate_u*W91*U91*(1-(1-bd_keep)*S91),0)</f>
        <v/>
      </c>
      <c r="Z91" s="47">
        <f>IF(AND(mig_endo=1,$A91&gt;=talent_start),X91*MIN(0.5,talent_share_o*U91)*(1-eu_comp*S91),0)</f>
        <v/>
      </c>
      <c r="AA91" s="45" t="n">
        <v>127000</v>
      </c>
      <c r="AB91" s="47">
        <f>IF(AND(mig_endo=1,$A91&gt;=talent_start),AA91*MIN(0.5,talent_share_a*U91),0)</f>
        <v/>
      </c>
      <c r="AC91" s="47">
        <f>entry_cap*People!B91</f>
        <v/>
      </c>
      <c r="AD91" s="47">
        <f>MIN(AC91,Y91+Z91+AB91)</f>
        <v/>
      </c>
      <c r="AE91" s="47">
        <f>IF(Y91+Z91+AB91&gt;0,AD91*Y91/(Y91+Z91+AB91),0)</f>
        <v/>
      </c>
      <c r="AF91" s="47">
        <f>IF(Y91+Z91+AB91&gt;0,AD91*AB91/(Y91+Z91+AB91),0)</f>
        <v/>
      </c>
      <c r="AG91" s="47">
        <f>AD91*family_mult</f>
        <v/>
      </c>
      <c r="AH91" s="47">
        <f>AH90*(1+Paths!C91)+AG91</f>
        <v/>
      </c>
      <c r="AI91" s="47">
        <f>IF(AND(mig_endo=1,$A91&gt;=talent_start),chain_rate*AH90,0)</f>
        <v/>
      </c>
      <c r="AJ91" s="47">
        <f>IF(AND(mig_endo=1,$A91&gt;=talent_start),IF(H90&gt;0,H90*job_fill,H90*job_return)*job_family,0)</f>
        <v/>
      </c>
      <c r="AK91" s="47">
        <f>K91*gw_conv_family</f>
        <v/>
      </c>
      <c r="AL91" s="47">
        <f>AG91+AI91+AJ91+AK91+AR91</f>
        <v/>
      </c>
      <c r="AM91" s="47">
        <f>AM90*(1-skill_ret)+AD91</f>
        <v/>
      </c>
      <c r="AN91" s="64">
        <f>AM91/B91</f>
        <v/>
      </c>
      <c r="AO91" s="64">
        <f>(skill_rel-1+skill_spill)*AM90/B90-AT91</f>
        <v/>
      </c>
      <c r="AP91" s="64">
        <f>talent_champ*AM90/(skill_base_share*B90)</f>
        <v/>
      </c>
      <c r="AQ91" s="45" t="n">
        <v>97000</v>
      </c>
      <c r="AR91" s="47">
        <f>IF(AND(div_on=1,$A91&gt;=div_start),AQ91*MIN(div_max,div_rate*U91)*(1-div_comp*S91),0)</f>
        <v/>
      </c>
      <c r="AS91" s="47">
        <f>AS90*(1-div_assim)+AR91</f>
        <v/>
      </c>
      <c r="AT91" s="64">
        <f>(1-div_rel)*AS90/Economy!B90</f>
        <v/>
      </c>
      <c r="AU91" s="47">
        <f>AU90*(1-skill_ret)+AE91</f>
        <v/>
      </c>
      <c r="AV91" s="47">
        <f>AV90*(1+union_nat)+AR91</f>
        <v/>
      </c>
      <c r="AW91" s="47">
        <f>AW90*(1+union_nat)+AE91*family_mult</f>
        <v/>
      </c>
      <c r="AX91" s="67">
        <f>V91-(AV91+AW91)/1000000</f>
        <v/>
      </c>
      <c r="AY91" s="47">
        <f>L91*gw_union</f>
        <v/>
      </c>
      <c r="AZ91" s="46" t="n">
        <v>1.072</v>
      </c>
      <c r="BA91" s="47">
        <f>Economy!Q91*AZ91/lf_rate</f>
        <v/>
      </c>
      <c r="BB91" s="64">
        <f>bd_growth*AU90/W90</f>
        <v/>
      </c>
      <c r="BC91" s="64">
        <f>tg_k*MIN(1,Economy!O90/BK90)</f>
        <v/>
      </c>
      <c r="BD91" s="64">
        <f>emu_g*S91</f>
        <v/>
      </c>
      <c r="BE91" s="65">
        <f>BE90*(1-BB91-BC91+BD91)</f>
        <v/>
      </c>
      <c r="BF91" s="46" t="n">
        <v>0.9399999999999999</v>
      </c>
      <c r="BG91" s="53">
        <f>AU91*BA91*BE91*(skill_rel-1+skill_spill)/1000000</f>
        <v/>
      </c>
      <c r="BH91" s="53">
        <f>union_disp*(Champions!AP91+Champions!AZ91)*(1-IF(union_resp=2,mkt_cut*S91,0))</f>
        <v/>
      </c>
      <c r="BI91" s="53">
        <f>AY91*BA91*BE91/1000000</f>
        <v/>
      </c>
      <c r="BJ91" s="47">
        <f>V91*Economy!Q91*AZ91</f>
        <v/>
      </c>
      <c r="BK91" s="47">
        <f>MAX(0.3*BJ91,AX91*Economy!Q91*AZ91*BE91*BF91-BG91-BH91-BI91)</f>
        <v/>
      </c>
      <c r="BL91" s="63">
        <f>1-BK91/BJ91</f>
        <v/>
      </c>
      <c r="BM91" s="47">
        <f>MAX(0,BH91-BH90)*1000000/BA91</f>
        <v/>
      </c>
      <c r="BN91" s="47">
        <f>BN90*(1-IF(AND($A91&gt;=1930,$A91&lt;=1932),0,union_reabsorb))+BM91</f>
        <v/>
      </c>
      <c r="BO91" s="59" t="n">
        <v>0.159</v>
      </c>
      <c r="BP91" s="63">
        <f>BO91+BN91/(AX91*1000000*lf_rate)</f>
        <v/>
      </c>
    </row>
    <row r="92">
      <c r="A92" s="58" t="n">
        <v>1932</v>
      </c>
      <c r="B92" s="47">
        <f>Economy!B92*lf_rate</f>
        <v/>
      </c>
      <c r="C92" s="47">
        <f>Economy!O92*1000000/(B92+L92)</f>
        <v/>
      </c>
      <c r="D92" s="47">
        <f>Champions!AP92*1000000/(C92*champ_prem)</f>
        <v/>
      </c>
      <c r="E92" s="47">
        <f>D92*job_mult</f>
        <v/>
      </c>
      <c r="F92" s="47">
        <f>D92+E92</f>
        <v/>
      </c>
      <c r="G92" s="63">
        <f>F92/B92</f>
        <v/>
      </c>
      <c r="H92" s="47">
        <f>F92-F91</f>
        <v/>
      </c>
      <c r="I92" s="63">
        <f>MAX(0.005,pac_u_base*IF(Paths!AC92=1,pac_u_war,1)+(okun*(1-Economy!G92)*(B92+L92)-MAX(0,L91-L92))/B92)</f>
        <v/>
      </c>
      <c r="J92" s="47">
        <f>IF(AND(gw_on=1,$A92&gt;=gw_start),MIN(gw_cap*B91,gw_cover*F91+gw_gen*B91),0)</f>
        <v/>
      </c>
      <c r="K92" s="47">
        <f>L91*gw_conv</f>
        <v/>
      </c>
      <c r="L92" s="47">
        <f>MAX(0,L91-K92+gw_adj*(J92-L91))*MAX(0,1-gw_slump*(1-Economy!G92))</f>
        <v/>
      </c>
      <c r="M92" s="47">
        <f>MAX(0,L92-L91+L91/gw_term)</f>
        <v/>
      </c>
      <c r="N92" s="63">
        <f>L92/B92</f>
        <v/>
      </c>
      <c r="O92" s="53">
        <f>Economy!L92</f>
        <v/>
      </c>
      <c r="P92" s="53">
        <f>O92*gw_wage_share</f>
        <v/>
      </c>
      <c r="Q92" s="53">
        <f>P92*gw_levy</f>
        <v/>
      </c>
      <c r="R92" s="53">
        <f>P92*gw_remit</f>
        <v/>
      </c>
      <c r="S92" s="63">
        <f>IF(union_resp&gt;=1,MIN(1,MAX(0,($A92-resp_start)/(resp_full-resp_start))),0)</f>
        <v/>
      </c>
      <c r="T92" s="67">
        <f>Economy!R91</f>
        <v/>
      </c>
      <c r="U92" s="67">
        <f>MAX(0,T92-gap_base)</f>
        <v/>
      </c>
      <c r="V92" s="68" t="n">
        <v>92.90000000000001</v>
      </c>
      <c r="W92" s="47">
        <f>V92*1000000*lf_rate*union_skill_share</f>
        <v/>
      </c>
      <c r="X92" s="45" t="n">
        <v>130000</v>
      </c>
      <c r="Y92" s="47">
        <f>IF(AND(mig_endo=1,$A92&gt;=talent_start),talent_rate_u*W92*U92*(1-(1-bd_keep)*S92),0)</f>
        <v/>
      </c>
      <c r="Z92" s="47">
        <f>IF(AND(mig_endo=1,$A92&gt;=talent_start),X92*MIN(0.5,talent_share_o*U92)*(1-eu_comp*S92),0)</f>
        <v/>
      </c>
      <c r="AA92" s="45" t="n">
        <v>130000</v>
      </c>
      <c r="AB92" s="47">
        <f>IF(AND(mig_endo=1,$A92&gt;=talent_start),AA92*MIN(0.5,talent_share_a*U92),0)</f>
        <v/>
      </c>
      <c r="AC92" s="47">
        <f>entry_cap*People!B92</f>
        <v/>
      </c>
      <c r="AD92" s="47">
        <f>MIN(AC92,Y92+Z92+AB92)</f>
        <v/>
      </c>
      <c r="AE92" s="47">
        <f>IF(Y92+Z92+AB92&gt;0,AD92*Y92/(Y92+Z92+AB92),0)</f>
        <v/>
      </c>
      <c r="AF92" s="47">
        <f>IF(Y92+Z92+AB92&gt;0,AD92*AB92/(Y92+Z92+AB92),0)</f>
        <v/>
      </c>
      <c r="AG92" s="47">
        <f>AD92*family_mult</f>
        <v/>
      </c>
      <c r="AH92" s="47">
        <f>AH91*(1+Paths!C92)+AG92</f>
        <v/>
      </c>
      <c r="AI92" s="47">
        <f>IF(AND(mig_endo=1,$A92&gt;=talent_start),chain_rate*AH91,0)</f>
        <v/>
      </c>
      <c r="AJ92" s="47">
        <f>IF(AND(mig_endo=1,$A92&gt;=talent_start),IF(H91&gt;0,H91*job_fill,H91*job_return)*job_family,0)</f>
        <v/>
      </c>
      <c r="AK92" s="47">
        <f>K92*gw_conv_family</f>
        <v/>
      </c>
      <c r="AL92" s="47">
        <f>AG92+AI92+AJ92+AK92+AR92</f>
        <v/>
      </c>
      <c r="AM92" s="47">
        <f>AM91*(1-skill_ret)+AD92</f>
        <v/>
      </c>
      <c r="AN92" s="64">
        <f>AM92/B92</f>
        <v/>
      </c>
      <c r="AO92" s="64">
        <f>(skill_rel-1+skill_spill)*AM91/B91-AT92</f>
        <v/>
      </c>
      <c r="AP92" s="64">
        <f>talent_champ*AM91/(skill_base_share*B91)</f>
        <v/>
      </c>
      <c r="AQ92" s="45" t="n">
        <v>36000</v>
      </c>
      <c r="AR92" s="47">
        <f>IF(AND(div_on=1,$A92&gt;=div_start),AQ92*MIN(div_max,div_rate*U92)*(1-div_comp*S92),0)</f>
        <v/>
      </c>
      <c r="AS92" s="47">
        <f>AS91*(1-div_assim)+AR92</f>
        <v/>
      </c>
      <c r="AT92" s="64">
        <f>(1-div_rel)*AS91/Economy!B91</f>
        <v/>
      </c>
      <c r="AU92" s="47">
        <f>AU91*(1-skill_ret)+AE92</f>
        <v/>
      </c>
      <c r="AV92" s="47">
        <f>AV91*(1+union_nat)+AR92</f>
        <v/>
      </c>
      <c r="AW92" s="47">
        <f>AW91*(1+union_nat)+AE92*family_mult</f>
        <v/>
      </c>
      <c r="AX92" s="67">
        <f>V92-(AV92+AW92)/1000000</f>
        <v/>
      </c>
      <c r="AY92" s="47">
        <f>L92*gw_union</f>
        <v/>
      </c>
      <c r="AZ92" s="46" t="n">
        <v>1.074</v>
      </c>
      <c r="BA92" s="47">
        <f>Economy!Q92*AZ92/lf_rate</f>
        <v/>
      </c>
      <c r="BB92" s="64">
        <f>bd_growth*AU91/W91</f>
        <v/>
      </c>
      <c r="BC92" s="64">
        <f>tg_k*MIN(1,Economy!O91/BK91)</f>
        <v/>
      </c>
      <c r="BD92" s="64">
        <f>emu_g*S92</f>
        <v/>
      </c>
      <c r="BE92" s="65">
        <f>BE91*(1-BB92-BC92+BD92)</f>
        <v/>
      </c>
      <c r="BF92" s="46" t="n">
        <v>0.914</v>
      </c>
      <c r="BG92" s="53">
        <f>AU92*BA92*BE92*(skill_rel-1+skill_spill)/1000000</f>
        <v/>
      </c>
      <c r="BH92" s="53">
        <f>union_disp*(Champions!AP92+Champions!AZ92)*(1-IF(union_resp=2,mkt_cut*S92,0))</f>
        <v/>
      </c>
      <c r="BI92" s="53">
        <f>AY92*BA92*BE92/1000000</f>
        <v/>
      </c>
      <c r="BJ92" s="47">
        <f>V92*Economy!Q92*AZ92</f>
        <v/>
      </c>
      <c r="BK92" s="47">
        <f>MAX(0.3*BJ92,AX92*Economy!Q92*AZ92*BE92*BF92-BG92-BH92-BI92)</f>
        <v/>
      </c>
      <c r="BL92" s="63">
        <f>1-BK92/BJ92</f>
        <v/>
      </c>
      <c r="BM92" s="47">
        <f>MAX(0,BH92-BH91)*1000000/BA92</f>
        <v/>
      </c>
      <c r="BN92" s="47">
        <f>BN91*(1-IF(AND($A92&gt;=1930,$A92&lt;=1932),0,union_reabsorb))+BM92</f>
        <v/>
      </c>
      <c r="BO92" s="59" t="n">
        <v>0.236</v>
      </c>
      <c r="BP92" s="63">
        <f>BO92+BN92/(AX92*1000000*lf_rate)</f>
        <v/>
      </c>
    </row>
  </sheetData>
  <mergeCells count="7">
    <mergeCell ref="S4:AF4"/>
    <mergeCell ref="AM4:AP4"/>
    <mergeCell ref="AQ4:AT4"/>
    <mergeCell ref="B4:I4"/>
    <mergeCell ref="AU4:BP4"/>
    <mergeCell ref="J4:R4"/>
    <mergeCell ref="AG4:AL4"/>
  </mergeCells>
  <pageMargins left="0.75" right="0.75" top="1" bottom="1" header="0.5" footer="0.5"/>
  <pageSetup orientation="landscape" fitToHeight="0" fitToWidth="1"/>
  <legacyDrawing xmlns:r="http://schemas.openxmlformats.org/officeDocument/2006/relationships" r:id="anysvml"/>
</worksheet>
</file>

<file path=xl/worksheets/sheet16.xml><?xml version="1.0" encoding="utf-8"?>
<worksheet xmlns="http://schemas.openxmlformats.org/spreadsheetml/2006/main">
  <sheetPr>
    <tabColor rgb="002F5597"/>
    <outlinePr summaryBelow="1" summaryRight="1"/>
    <pageSetUpPr fitToPage="1"/>
  </sheetPr>
  <dimension ref="A1:W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s>
  <sheetData>
    <row r="1">
      <c r="A1" s="18" t="inlineStr">
        <is>
          <t>Navy plan: what gets built</t>
        </is>
      </c>
    </row>
    <row r="2">
      <c r="A2" s="2" t="inlineStr">
        <is>
          <t>Ships completed each year and what each one costs. Edit these to change the fleet.</t>
        </is>
      </c>
    </row>
    <row r="3">
      <c r="A3" s="19" t="inlineStr">
        <is>
          <t>Years run down the page. Blue = input you can change · black = formula · green = link to another sheet. Hover a column heading for its definition.</t>
        </is>
      </c>
    </row>
    <row r="4">
      <c r="B4" s="56" t="inlineStr">
        <is>
          <t>Ships completed per year</t>
        </is>
      </c>
      <c r="K4" s="56" t="inlineStr">
        <is>
          <t>Unit cost, current $m</t>
        </is>
      </c>
      <c r="T4" s="56" t="inlineStr">
        <is>
          <t>Capital ships abroad (for comparison)</t>
        </is>
      </c>
    </row>
    <row r="5" ht="54" customHeight="1">
      <c r="A5" s="57" t="inlineStr">
        <is>
          <t>Year</t>
        </is>
      </c>
      <c r="B5" s="6" t="inlineStr">
        <is>
          <t>Built: Turret ships &amp; coastal ironclads</t>
        </is>
      </c>
      <c r="C5" s="6" t="inlineStr">
        <is>
          <t>Built: Steam cruisers (coal)</t>
        </is>
      </c>
      <c r="D5" s="6" t="inlineStr">
        <is>
          <t>Built: Oil-fired torpedo boats</t>
        </is>
      </c>
      <c r="E5" s="6" t="inlineStr">
        <is>
          <t>Built: Oil-fired protected cruisers</t>
        </is>
      </c>
      <c r="F5" s="6" t="inlineStr">
        <is>
          <t>Built: Turbine destroyers</t>
        </is>
      </c>
      <c r="G5" s="6" t="inlineStr">
        <is>
          <t>Built: Turbine cruisers</t>
        </is>
      </c>
      <c r="H5" s="6" t="inlineStr">
        <is>
          <t>Built: Turbine capital ships</t>
        </is>
      </c>
      <c r="I5" s="6" t="inlineStr">
        <is>
          <t>Built: Submarines</t>
        </is>
      </c>
      <c r="J5" s="6" t="inlineStr">
        <is>
          <t>Built: Aircraft carriers</t>
        </is>
      </c>
      <c r="K5" s="6" t="inlineStr">
        <is>
          <t>Cost each: Turret ships &amp; coastal ironclads ($m)</t>
        </is>
      </c>
      <c r="L5" s="6" t="inlineStr">
        <is>
          <t>Cost each: Steam cruisers (coal) ($m)</t>
        </is>
      </c>
      <c r="M5" s="6" t="inlineStr">
        <is>
          <t>Cost each: Oil-fired torpedo boats ($m)</t>
        </is>
      </c>
      <c r="N5" s="6" t="inlineStr">
        <is>
          <t>Cost each: Oil-fired protected cruisers ($m)</t>
        </is>
      </c>
      <c r="O5" s="6" t="inlineStr">
        <is>
          <t>Cost each: Turbine destroyers ($m)</t>
        </is>
      </c>
      <c r="P5" s="6" t="inlineStr">
        <is>
          <t>Cost each: Turbine cruisers ($m)</t>
        </is>
      </c>
      <c r="Q5" s="6" t="inlineStr">
        <is>
          <t>Cost each: Turbine capital ships ($m)</t>
        </is>
      </c>
      <c r="R5" s="6" t="inlineStr">
        <is>
          <t>Cost each: Submarines ($m)</t>
        </is>
      </c>
      <c r="S5" s="6" t="inlineStr">
        <is>
          <t>Cost each: Aircraft carriers ($m)</t>
        </is>
      </c>
      <c r="T5" s="6" t="inlineStr">
        <is>
          <t>Japan capital ships</t>
        </is>
      </c>
      <c r="U5" s="6" t="inlineStr">
        <is>
          <t>Britain capital ships</t>
        </is>
      </c>
      <c r="V5" s="6" t="inlineStr">
        <is>
          <t>Union capital ships</t>
        </is>
      </c>
      <c r="W5" s="6" t="inlineStr">
        <is>
          <t>Germany capital ships</t>
        </is>
      </c>
    </row>
    <row r="6">
      <c r="A6" s="58" t="n">
        <v>1846</v>
      </c>
      <c r="B6" s="45" t="n">
        <v>0</v>
      </c>
      <c r="C6" s="45" t="n">
        <v>0</v>
      </c>
      <c r="D6" s="45" t="n">
        <v>0</v>
      </c>
      <c r="E6" s="45" t="n">
        <v>0</v>
      </c>
      <c r="F6" s="45" t="n">
        <v>0</v>
      </c>
      <c r="G6" s="45" t="n">
        <v>0</v>
      </c>
      <c r="H6" s="45" t="n">
        <v>0</v>
      </c>
      <c r="I6" s="45" t="n">
        <v>0</v>
      </c>
      <c r="J6" s="45" t="n">
        <v>0</v>
      </c>
      <c r="K6" s="68" t="n">
        <v>0</v>
      </c>
      <c r="L6" s="68" t="n">
        <v>0</v>
      </c>
      <c r="M6" s="68" t="n">
        <v>0</v>
      </c>
      <c r="N6" s="68" t="n">
        <v>0</v>
      </c>
      <c r="O6" s="68" t="n">
        <v>0</v>
      </c>
      <c r="P6" s="68" t="n">
        <v>0</v>
      </c>
      <c r="Q6" s="68" t="n">
        <v>0</v>
      </c>
      <c r="R6" s="68" t="n">
        <v>0</v>
      </c>
      <c r="S6" s="68" t="n">
        <v>0</v>
      </c>
      <c r="T6" s="45" t="n">
        <v>0</v>
      </c>
      <c r="U6" s="45" t="n">
        <v>0</v>
      </c>
      <c r="V6" s="45" t="n">
        <v>0</v>
      </c>
      <c r="W6" s="45" t="n">
        <v>0</v>
      </c>
    </row>
    <row r="7">
      <c r="A7" s="58" t="n">
        <v>1847</v>
      </c>
      <c r="B7" s="45" t="n">
        <v>0</v>
      </c>
      <c r="C7" s="45" t="n">
        <v>0</v>
      </c>
      <c r="D7" s="45" t="n">
        <v>0</v>
      </c>
      <c r="E7" s="45" t="n">
        <v>0</v>
      </c>
      <c r="F7" s="45" t="n">
        <v>0</v>
      </c>
      <c r="G7" s="45" t="n">
        <v>0</v>
      </c>
      <c r="H7" s="45" t="n">
        <v>0</v>
      </c>
      <c r="I7" s="45" t="n">
        <v>0</v>
      </c>
      <c r="J7" s="45" t="n">
        <v>0</v>
      </c>
      <c r="K7" s="68" t="n">
        <v>0</v>
      </c>
      <c r="L7" s="68" t="n">
        <v>0</v>
      </c>
      <c r="M7" s="68" t="n">
        <v>0</v>
      </c>
      <c r="N7" s="68" t="n">
        <v>0</v>
      </c>
      <c r="O7" s="68" t="n">
        <v>0</v>
      </c>
      <c r="P7" s="68" t="n">
        <v>0</v>
      </c>
      <c r="Q7" s="68" t="n">
        <v>0</v>
      </c>
      <c r="R7" s="68" t="n">
        <v>0</v>
      </c>
      <c r="S7" s="68" t="n">
        <v>0</v>
      </c>
      <c r="T7" s="45" t="n">
        <v>0</v>
      </c>
      <c r="U7" s="45" t="n">
        <v>0</v>
      </c>
      <c r="V7" s="45" t="n">
        <v>0</v>
      </c>
      <c r="W7" s="45" t="n">
        <v>0</v>
      </c>
    </row>
    <row r="8">
      <c r="A8" s="58" t="n">
        <v>1848</v>
      </c>
      <c r="B8" s="45" t="n">
        <v>0</v>
      </c>
      <c r="C8" s="45" t="n">
        <v>0</v>
      </c>
      <c r="D8" s="45" t="n">
        <v>0</v>
      </c>
      <c r="E8" s="45" t="n">
        <v>0</v>
      </c>
      <c r="F8" s="45" t="n">
        <v>0</v>
      </c>
      <c r="G8" s="45" t="n">
        <v>0</v>
      </c>
      <c r="H8" s="45" t="n">
        <v>0</v>
      </c>
      <c r="I8" s="45" t="n">
        <v>0</v>
      </c>
      <c r="J8" s="45" t="n">
        <v>0</v>
      </c>
      <c r="K8" s="68" t="n">
        <v>0</v>
      </c>
      <c r="L8" s="68" t="n">
        <v>0</v>
      </c>
      <c r="M8" s="68" t="n">
        <v>0</v>
      </c>
      <c r="N8" s="68" t="n">
        <v>0</v>
      </c>
      <c r="O8" s="68" t="n">
        <v>0</v>
      </c>
      <c r="P8" s="68" t="n">
        <v>0</v>
      </c>
      <c r="Q8" s="68" t="n">
        <v>0</v>
      </c>
      <c r="R8" s="68" t="n">
        <v>0</v>
      </c>
      <c r="S8" s="68" t="n">
        <v>0</v>
      </c>
      <c r="T8" s="45" t="n">
        <v>0</v>
      </c>
      <c r="U8" s="45" t="n">
        <v>0</v>
      </c>
      <c r="V8" s="45" t="n">
        <v>0</v>
      </c>
      <c r="W8" s="45" t="n">
        <v>0</v>
      </c>
    </row>
    <row r="9">
      <c r="A9" s="58" t="n">
        <v>1849</v>
      </c>
      <c r="B9" s="45" t="n">
        <v>0</v>
      </c>
      <c r="C9" s="45" t="n">
        <v>0</v>
      </c>
      <c r="D9" s="45" t="n">
        <v>0</v>
      </c>
      <c r="E9" s="45" t="n">
        <v>0</v>
      </c>
      <c r="F9" s="45" t="n">
        <v>0</v>
      </c>
      <c r="G9" s="45" t="n">
        <v>0</v>
      </c>
      <c r="H9" s="45" t="n">
        <v>0</v>
      </c>
      <c r="I9" s="45" t="n">
        <v>0</v>
      </c>
      <c r="J9" s="45" t="n">
        <v>0</v>
      </c>
      <c r="K9" s="68" t="n">
        <v>0</v>
      </c>
      <c r="L9" s="68" t="n">
        <v>0</v>
      </c>
      <c r="M9" s="68" t="n">
        <v>0</v>
      </c>
      <c r="N9" s="68" t="n">
        <v>0</v>
      </c>
      <c r="O9" s="68" t="n">
        <v>0</v>
      </c>
      <c r="P9" s="68" t="n">
        <v>0</v>
      </c>
      <c r="Q9" s="68" t="n">
        <v>0</v>
      </c>
      <c r="R9" s="68" t="n">
        <v>0</v>
      </c>
      <c r="S9" s="68" t="n">
        <v>0</v>
      </c>
      <c r="T9" s="45" t="n">
        <v>0</v>
      </c>
      <c r="U9" s="45" t="n">
        <v>0</v>
      </c>
      <c r="V9" s="45" t="n">
        <v>0</v>
      </c>
      <c r="W9" s="45" t="n">
        <v>0</v>
      </c>
    </row>
    <row r="10">
      <c r="A10" s="58" t="n">
        <v>1850</v>
      </c>
      <c r="B10" s="45" t="n">
        <v>0</v>
      </c>
      <c r="C10" s="45" t="n">
        <v>0</v>
      </c>
      <c r="D10" s="45" t="n">
        <v>0</v>
      </c>
      <c r="E10" s="45" t="n">
        <v>0</v>
      </c>
      <c r="F10" s="45" t="n">
        <v>0</v>
      </c>
      <c r="G10" s="45" t="n">
        <v>0</v>
      </c>
      <c r="H10" s="45" t="n">
        <v>0</v>
      </c>
      <c r="I10" s="45" t="n">
        <v>0</v>
      </c>
      <c r="J10" s="45" t="n">
        <v>0</v>
      </c>
      <c r="K10" s="68" t="n">
        <v>0</v>
      </c>
      <c r="L10" s="68" t="n">
        <v>0.4</v>
      </c>
      <c r="M10" s="68" t="n">
        <v>0</v>
      </c>
      <c r="N10" s="68" t="n">
        <v>0</v>
      </c>
      <c r="O10" s="68" t="n">
        <v>0</v>
      </c>
      <c r="P10" s="68" t="n">
        <v>0</v>
      </c>
      <c r="Q10" s="68" t="n">
        <v>0</v>
      </c>
      <c r="R10" s="68" t="n">
        <v>0</v>
      </c>
      <c r="S10" s="68" t="n">
        <v>0</v>
      </c>
      <c r="T10" s="45" t="n">
        <v>0</v>
      </c>
      <c r="U10" s="45" t="n">
        <v>0</v>
      </c>
      <c r="V10" s="45" t="n">
        <v>0</v>
      </c>
      <c r="W10" s="45" t="n">
        <v>0</v>
      </c>
    </row>
    <row r="11">
      <c r="A11" s="58" t="n">
        <v>1851</v>
      </c>
      <c r="B11" s="45" t="n">
        <v>0</v>
      </c>
      <c r="C11" s="45" t="n">
        <v>0</v>
      </c>
      <c r="D11" s="45" t="n">
        <v>0</v>
      </c>
      <c r="E11" s="45" t="n">
        <v>0</v>
      </c>
      <c r="F11" s="45" t="n">
        <v>0</v>
      </c>
      <c r="G11" s="45" t="n">
        <v>0</v>
      </c>
      <c r="H11" s="45" t="n">
        <v>0</v>
      </c>
      <c r="I11" s="45" t="n">
        <v>0</v>
      </c>
      <c r="J11" s="45" t="n">
        <v>0</v>
      </c>
      <c r="K11" s="68" t="n">
        <v>0</v>
      </c>
      <c r="L11" s="68" t="n">
        <v>0.41</v>
      </c>
      <c r="M11" s="68" t="n">
        <v>0</v>
      </c>
      <c r="N11" s="68" t="n">
        <v>0</v>
      </c>
      <c r="O11" s="68" t="n">
        <v>0</v>
      </c>
      <c r="P11" s="68" t="n">
        <v>0</v>
      </c>
      <c r="Q11" s="68" t="n">
        <v>0</v>
      </c>
      <c r="R11" s="68" t="n">
        <v>0</v>
      </c>
      <c r="S11" s="68" t="n">
        <v>0</v>
      </c>
      <c r="T11" s="45" t="n">
        <v>0</v>
      </c>
      <c r="U11" s="45" t="n">
        <v>0</v>
      </c>
      <c r="V11" s="45" t="n">
        <v>0</v>
      </c>
      <c r="W11" s="45" t="n">
        <v>0</v>
      </c>
    </row>
    <row r="12">
      <c r="A12" s="58" t="n">
        <v>1852</v>
      </c>
      <c r="B12" s="45" t="n">
        <v>0</v>
      </c>
      <c r="C12" s="45" t="n">
        <v>1</v>
      </c>
      <c r="D12" s="45" t="n">
        <v>0</v>
      </c>
      <c r="E12" s="45" t="n">
        <v>0</v>
      </c>
      <c r="F12" s="45" t="n">
        <v>0</v>
      </c>
      <c r="G12" s="45" t="n">
        <v>0</v>
      </c>
      <c r="H12" s="45" t="n">
        <v>0</v>
      </c>
      <c r="I12" s="45" t="n">
        <v>0</v>
      </c>
      <c r="J12" s="45" t="n">
        <v>0</v>
      </c>
      <c r="K12" s="68" t="n">
        <v>0</v>
      </c>
      <c r="L12" s="68" t="n">
        <v>0.42</v>
      </c>
      <c r="M12" s="68" t="n">
        <v>0</v>
      </c>
      <c r="N12" s="68" t="n">
        <v>0</v>
      </c>
      <c r="O12" s="68" t="n">
        <v>0</v>
      </c>
      <c r="P12" s="68" t="n">
        <v>0</v>
      </c>
      <c r="Q12" s="68" t="n">
        <v>0</v>
      </c>
      <c r="R12" s="68" t="n">
        <v>0</v>
      </c>
      <c r="S12" s="68" t="n">
        <v>0</v>
      </c>
      <c r="T12" s="45" t="n">
        <v>0</v>
      </c>
      <c r="U12" s="45" t="n">
        <v>0</v>
      </c>
      <c r="V12" s="45" t="n">
        <v>0</v>
      </c>
      <c r="W12" s="45" t="n">
        <v>0</v>
      </c>
    </row>
    <row r="13">
      <c r="A13" s="58" t="n">
        <v>1853</v>
      </c>
      <c r="B13" s="45" t="n">
        <v>0</v>
      </c>
      <c r="C13" s="45" t="n">
        <v>0</v>
      </c>
      <c r="D13" s="45" t="n">
        <v>0</v>
      </c>
      <c r="E13" s="45" t="n">
        <v>0</v>
      </c>
      <c r="F13" s="45" t="n">
        <v>0</v>
      </c>
      <c r="G13" s="45" t="n">
        <v>0</v>
      </c>
      <c r="H13" s="45" t="n">
        <v>0</v>
      </c>
      <c r="I13" s="45" t="n">
        <v>0</v>
      </c>
      <c r="J13" s="45" t="n">
        <v>0</v>
      </c>
      <c r="K13" s="68" t="n">
        <v>0</v>
      </c>
      <c r="L13" s="68" t="n">
        <v>0.43</v>
      </c>
      <c r="M13" s="68" t="n">
        <v>0</v>
      </c>
      <c r="N13" s="68" t="n">
        <v>0</v>
      </c>
      <c r="O13" s="68" t="n">
        <v>0</v>
      </c>
      <c r="P13" s="68" t="n">
        <v>0</v>
      </c>
      <c r="Q13" s="68" t="n">
        <v>0</v>
      </c>
      <c r="R13" s="68" t="n">
        <v>0</v>
      </c>
      <c r="S13" s="68" t="n">
        <v>0</v>
      </c>
      <c r="T13" s="45" t="n">
        <v>0</v>
      </c>
      <c r="U13" s="45" t="n">
        <v>0</v>
      </c>
      <c r="V13" s="45" t="n">
        <v>0</v>
      </c>
      <c r="W13" s="45" t="n">
        <v>0</v>
      </c>
    </row>
    <row r="14">
      <c r="A14" s="58" t="n">
        <v>1854</v>
      </c>
      <c r="B14" s="45" t="n">
        <v>0</v>
      </c>
      <c r="C14" s="45" t="n">
        <v>0</v>
      </c>
      <c r="D14" s="45" t="n">
        <v>0</v>
      </c>
      <c r="E14" s="45" t="n">
        <v>0</v>
      </c>
      <c r="F14" s="45" t="n">
        <v>0</v>
      </c>
      <c r="G14" s="45" t="n">
        <v>0</v>
      </c>
      <c r="H14" s="45" t="n">
        <v>0</v>
      </c>
      <c r="I14" s="45" t="n">
        <v>0</v>
      </c>
      <c r="J14" s="45" t="n">
        <v>0</v>
      </c>
      <c r="K14" s="68" t="n">
        <v>0</v>
      </c>
      <c r="L14" s="68" t="n">
        <v>0.44</v>
      </c>
      <c r="M14" s="68" t="n">
        <v>0</v>
      </c>
      <c r="N14" s="68" t="n">
        <v>0</v>
      </c>
      <c r="O14" s="68" t="n">
        <v>0</v>
      </c>
      <c r="P14" s="68" t="n">
        <v>0</v>
      </c>
      <c r="Q14" s="68" t="n">
        <v>0</v>
      </c>
      <c r="R14" s="68" t="n">
        <v>0</v>
      </c>
      <c r="S14" s="68" t="n">
        <v>0</v>
      </c>
      <c r="T14" s="45" t="n">
        <v>0</v>
      </c>
      <c r="U14" s="45" t="n">
        <v>0</v>
      </c>
      <c r="V14" s="45" t="n">
        <v>0</v>
      </c>
      <c r="W14" s="45" t="n">
        <v>0</v>
      </c>
    </row>
    <row r="15">
      <c r="A15" s="58" t="n">
        <v>1855</v>
      </c>
      <c r="B15" s="45" t="n">
        <v>0</v>
      </c>
      <c r="C15" s="45" t="n">
        <v>1</v>
      </c>
      <c r="D15" s="45" t="n">
        <v>0</v>
      </c>
      <c r="E15" s="45" t="n">
        <v>0</v>
      </c>
      <c r="F15" s="45" t="n">
        <v>0</v>
      </c>
      <c r="G15" s="45" t="n">
        <v>0</v>
      </c>
      <c r="H15" s="45" t="n">
        <v>0</v>
      </c>
      <c r="I15" s="45" t="n">
        <v>0</v>
      </c>
      <c r="J15" s="45" t="n">
        <v>0</v>
      </c>
      <c r="K15" s="68" t="n">
        <v>0.8</v>
      </c>
      <c r="L15" s="68" t="n">
        <v>0.45</v>
      </c>
      <c r="M15" s="68" t="n">
        <v>0</v>
      </c>
      <c r="N15" s="68" t="n">
        <v>0</v>
      </c>
      <c r="O15" s="68" t="n">
        <v>0</v>
      </c>
      <c r="P15" s="68" t="n">
        <v>0</v>
      </c>
      <c r="Q15" s="68" t="n">
        <v>0</v>
      </c>
      <c r="R15" s="68" t="n">
        <v>0</v>
      </c>
      <c r="S15" s="68" t="n">
        <v>0</v>
      </c>
      <c r="T15" s="45" t="n">
        <v>0</v>
      </c>
      <c r="U15" s="45" t="n">
        <v>0</v>
      </c>
      <c r="V15" s="45" t="n">
        <v>0</v>
      </c>
      <c r="W15" s="45" t="n">
        <v>0</v>
      </c>
    </row>
    <row r="16">
      <c r="A16" s="58" t="n">
        <v>1856</v>
      </c>
      <c r="B16" s="45" t="n">
        <v>0</v>
      </c>
      <c r="C16" s="45" t="n">
        <v>0</v>
      </c>
      <c r="D16" s="45" t="n">
        <v>0</v>
      </c>
      <c r="E16" s="45" t="n">
        <v>0</v>
      </c>
      <c r="F16" s="45" t="n">
        <v>0</v>
      </c>
      <c r="G16" s="45" t="n">
        <v>0</v>
      </c>
      <c r="H16" s="45" t="n">
        <v>0</v>
      </c>
      <c r="I16" s="45" t="n">
        <v>0</v>
      </c>
      <c r="J16" s="45" t="n">
        <v>0</v>
      </c>
      <c r="K16" s="68" t="n">
        <v>0.829</v>
      </c>
      <c r="L16" s="68" t="n">
        <v>0.46</v>
      </c>
      <c r="M16" s="68" t="n">
        <v>0</v>
      </c>
      <c r="N16" s="68" t="n">
        <v>0</v>
      </c>
      <c r="O16" s="68" t="n">
        <v>0</v>
      </c>
      <c r="P16" s="68" t="n">
        <v>0</v>
      </c>
      <c r="Q16" s="68" t="n">
        <v>0</v>
      </c>
      <c r="R16" s="68" t="n">
        <v>0</v>
      </c>
      <c r="S16" s="68" t="n">
        <v>0</v>
      </c>
      <c r="T16" s="45" t="n">
        <v>0</v>
      </c>
      <c r="U16" s="45" t="n">
        <v>0</v>
      </c>
      <c r="V16" s="45" t="n">
        <v>0</v>
      </c>
      <c r="W16" s="45" t="n">
        <v>0</v>
      </c>
    </row>
    <row r="17">
      <c r="A17" s="58" t="n">
        <v>1857</v>
      </c>
      <c r="B17" s="45" t="n">
        <v>0</v>
      </c>
      <c r="C17" s="45" t="n">
        <v>0</v>
      </c>
      <c r="D17" s="45" t="n">
        <v>0</v>
      </c>
      <c r="E17" s="45" t="n">
        <v>0</v>
      </c>
      <c r="F17" s="45" t="n">
        <v>0</v>
      </c>
      <c r="G17" s="45" t="n">
        <v>0</v>
      </c>
      <c r="H17" s="45" t="n">
        <v>0</v>
      </c>
      <c r="I17" s="45" t="n">
        <v>0</v>
      </c>
      <c r="J17" s="45" t="n">
        <v>0</v>
      </c>
      <c r="K17" s="68" t="n">
        <v>0.857</v>
      </c>
      <c r="L17" s="68" t="n">
        <v>0.47</v>
      </c>
      <c r="M17" s="68" t="n">
        <v>0</v>
      </c>
      <c r="N17" s="68" t="n">
        <v>0</v>
      </c>
      <c r="O17" s="68" t="n">
        <v>0</v>
      </c>
      <c r="P17" s="68" t="n">
        <v>0</v>
      </c>
      <c r="Q17" s="68" t="n">
        <v>0</v>
      </c>
      <c r="R17" s="68" t="n">
        <v>0</v>
      </c>
      <c r="S17" s="68" t="n">
        <v>0</v>
      </c>
      <c r="T17" s="45" t="n">
        <v>0</v>
      </c>
      <c r="U17" s="45" t="n">
        <v>0</v>
      </c>
      <c r="V17" s="45" t="n">
        <v>0</v>
      </c>
      <c r="W17" s="45" t="n">
        <v>0</v>
      </c>
    </row>
    <row r="18">
      <c r="A18" s="58" t="n">
        <v>1858</v>
      </c>
      <c r="B18" s="45" t="n">
        <v>0</v>
      </c>
      <c r="C18" s="45" t="n">
        <v>1</v>
      </c>
      <c r="D18" s="45" t="n">
        <v>0</v>
      </c>
      <c r="E18" s="45" t="n">
        <v>0</v>
      </c>
      <c r="F18" s="45" t="n">
        <v>0</v>
      </c>
      <c r="G18" s="45" t="n">
        <v>0</v>
      </c>
      <c r="H18" s="45" t="n">
        <v>0</v>
      </c>
      <c r="I18" s="45" t="n">
        <v>0</v>
      </c>
      <c r="J18" s="45" t="n">
        <v>0</v>
      </c>
      <c r="K18" s="68" t="n">
        <v>0.886</v>
      </c>
      <c r="L18" s="68" t="n">
        <v>0.48</v>
      </c>
      <c r="M18" s="68" t="n">
        <v>0</v>
      </c>
      <c r="N18" s="68" t="n">
        <v>0</v>
      </c>
      <c r="O18" s="68" t="n">
        <v>0</v>
      </c>
      <c r="P18" s="68" t="n">
        <v>0</v>
      </c>
      <c r="Q18" s="68" t="n">
        <v>0</v>
      </c>
      <c r="R18" s="68" t="n">
        <v>0</v>
      </c>
      <c r="S18" s="68" t="n">
        <v>0</v>
      </c>
      <c r="T18" s="45" t="n">
        <v>0</v>
      </c>
      <c r="U18" s="45" t="n">
        <v>0</v>
      </c>
      <c r="V18" s="45" t="n">
        <v>0</v>
      </c>
      <c r="W18" s="45" t="n">
        <v>0</v>
      </c>
    </row>
    <row r="19">
      <c r="A19" s="58" t="n">
        <v>1859</v>
      </c>
      <c r="B19" s="45" t="n">
        <v>0</v>
      </c>
      <c r="C19" s="45" t="n">
        <v>0</v>
      </c>
      <c r="D19" s="45" t="n">
        <v>0</v>
      </c>
      <c r="E19" s="45" t="n">
        <v>0</v>
      </c>
      <c r="F19" s="45" t="n">
        <v>0</v>
      </c>
      <c r="G19" s="45" t="n">
        <v>0</v>
      </c>
      <c r="H19" s="45" t="n">
        <v>0</v>
      </c>
      <c r="I19" s="45" t="n">
        <v>0</v>
      </c>
      <c r="J19" s="45" t="n">
        <v>0</v>
      </c>
      <c r="K19" s="68" t="n">
        <v>0.914</v>
      </c>
      <c r="L19" s="68" t="n">
        <v>0.49</v>
      </c>
      <c r="M19" s="68" t="n">
        <v>0</v>
      </c>
      <c r="N19" s="68" t="n">
        <v>0</v>
      </c>
      <c r="O19" s="68" t="n">
        <v>0</v>
      </c>
      <c r="P19" s="68" t="n">
        <v>0</v>
      </c>
      <c r="Q19" s="68" t="n">
        <v>0</v>
      </c>
      <c r="R19" s="68" t="n">
        <v>0</v>
      </c>
      <c r="S19" s="68" t="n">
        <v>0</v>
      </c>
      <c r="T19" s="45" t="n">
        <v>0</v>
      </c>
      <c r="U19" s="45" t="n">
        <v>0</v>
      </c>
      <c r="V19" s="45" t="n">
        <v>0</v>
      </c>
      <c r="W19" s="45" t="n">
        <v>0</v>
      </c>
    </row>
    <row r="20">
      <c r="A20" s="58" t="n">
        <v>1860</v>
      </c>
      <c r="B20" s="45" t="n">
        <v>0</v>
      </c>
      <c r="C20" s="45" t="n">
        <v>0</v>
      </c>
      <c r="D20" s="45" t="n">
        <v>0</v>
      </c>
      <c r="E20" s="45" t="n">
        <v>0</v>
      </c>
      <c r="F20" s="45" t="n">
        <v>0</v>
      </c>
      <c r="G20" s="45" t="n">
        <v>0</v>
      </c>
      <c r="H20" s="45" t="n">
        <v>0</v>
      </c>
      <c r="I20" s="45" t="n">
        <v>0</v>
      </c>
      <c r="J20" s="45" t="n">
        <v>0</v>
      </c>
      <c r="K20" s="68" t="n">
        <v>0.9429999999999999</v>
      </c>
      <c r="L20" s="68" t="n">
        <v>0.5</v>
      </c>
      <c r="M20" s="68" t="n">
        <v>0</v>
      </c>
      <c r="N20" s="68" t="n">
        <v>0</v>
      </c>
      <c r="O20" s="68" t="n">
        <v>0</v>
      </c>
      <c r="P20" s="68" t="n">
        <v>0</v>
      </c>
      <c r="Q20" s="68" t="n">
        <v>0</v>
      </c>
      <c r="R20" s="68" t="n">
        <v>0</v>
      </c>
      <c r="S20" s="68" t="n">
        <v>0</v>
      </c>
      <c r="T20" s="45" t="n">
        <v>0</v>
      </c>
      <c r="U20" s="45" t="n">
        <v>0</v>
      </c>
      <c r="V20" s="45" t="n">
        <v>0</v>
      </c>
      <c r="W20" s="45" t="n">
        <v>0</v>
      </c>
    </row>
    <row r="21">
      <c r="A21" s="58" t="n">
        <v>1861</v>
      </c>
      <c r="B21" s="45" t="n">
        <v>0</v>
      </c>
      <c r="C21" s="45" t="n">
        <v>2</v>
      </c>
      <c r="D21" s="45" t="n">
        <v>0</v>
      </c>
      <c r="E21" s="45" t="n">
        <v>0</v>
      </c>
      <c r="F21" s="45" t="n">
        <v>0</v>
      </c>
      <c r="G21" s="45" t="n">
        <v>0</v>
      </c>
      <c r="H21" s="45" t="n">
        <v>0</v>
      </c>
      <c r="I21" s="45" t="n">
        <v>0</v>
      </c>
      <c r="J21" s="45" t="n">
        <v>0</v>
      </c>
      <c r="K21" s="68" t="n">
        <v>0.971</v>
      </c>
      <c r="L21" s="68" t="n">
        <v>0.53</v>
      </c>
      <c r="M21" s="68" t="n">
        <v>0</v>
      </c>
      <c r="N21" s="68" t="n">
        <v>0</v>
      </c>
      <c r="O21" s="68" t="n">
        <v>0</v>
      </c>
      <c r="P21" s="68" t="n">
        <v>0</v>
      </c>
      <c r="Q21" s="68" t="n">
        <v>0</v>
      </c>
      <c r="R21" s="68" t="n">
        <v>0</v>
      </c>
      <c r="S21" s="68" t="n">
        <v>0</v>
      </c>
      <c r="T21" s="45" t="n">
        <v>0</v>
      </c>
      <c r="U21" s="45" t="n">
        <v>0</v>
      </c>
      <c r="V21" s="45" t="n">
        <v>0</v>
      </c>
      <c r="W21" s="45" t="n">
        <v>0</v>
      </c>
    </row>
    <row r="22">
      <c r="A22" s="58" t="n">
        <v>1862</v>
      </c>
      <c r="B22" s="45" t="n">
        <v>1</v>
      </c>
      <c r="C22" s="45" t="n">
        <v>0</v>
      </c>
      <c r="D22" s="45" t="n">
        <v>0</v>
      </c>
      <c r="E22" s="45" t="n">
        <v>0</v>
      </c>
      <c r="F22" s="45" t="n">
        <v>0</v>
      </c>
      <c r="G22" s="45" t="n">
        <v>0</v>
      </c>
      <c r="H22" s="45" t="n">
        <v>0</v>
      </c>
      <c r="I22" s="45" t="n">
        <v>0</v>
      </c>
      <c r="J22" s="45" t="n">
        <v>0</v>
      </c>
      <c r="K22" s="68" t="n">
        <v>1</v>
      </c>
      <c r="L22" s="68" t="n">
        <v>0.5600000000000001</v>
      </c>
      <c r="M22" s="68" t="n">
        <v>0</v>
      </c>
      <c r="N22" s="68" t="n">
        <v>0</v>
      </c>
      <c r="O22" s="68" t="n">
        <v>0</v>
      </c>
      <c r="P22" s="68" t="n">
        <v>0</v>
      </c>
      <c r="Q22" s="68" t="n">
        <v>0</v>
      </c>
      <c r="R22" s="68" t="n">
        <v>0</v>
      </c>
      <c r="S22" s="68" t="n">
        <v>0</v>
      </c>
      <c r="T22" s="45" t="n">
        <v>0</v>
      </c>
      <c r="U22" s="45" t="n">
        <v>0</v>
      </c>
      <c r="V22" s="45" t="n">
        <v>0</v>
      </c>
      <c r="W22" s="45" t="n">
        <v>0</v>
      </c>
    </row>
    <row r="23">
      <c r="A23" s="58" t="n">
        <v>1863</v>
      </c>
      <c r="B23" s="45" t="n">
        <v>2</v>
      </c>
      <c r="C23" s="45" t="n">
        <v>0</v>
      </c>
      <c r="D23" s="45" t="n">
        <v>0</v>
      </c>
      <c r="E23" s="45" t="n">
        <v>0</v>
      </c>
      <c r="F23" s="45" t="n">
        <v>0</v>
      </c>
      <c r="G23" s="45" t="n">
        <v>0</v>
      </c>
      <c r="H23" s="45" t="n">
        <v>0</v>
      </c>
      <c r="I23" s="45" t="n">
        <v>0</v>
      </c>
      <c r="J23" s="45" t="n">
        <v>0</v>
      </c>
      <c r="K23" s="68" t="n">
        <v>1.025</v>
      </c>
      <c r="L23" s="68" t="n">
        <v>0.59</v>
      </c>
      <c r="M23" s="68" t="n">
        <v>0</v>
      </c>
      <c r="N23" s="68" t="n">
        <v>0</v>
      </c>
      <c r="O23" s="68" t="n">
        <v>0</v>
      </c>
      <c r="P23" s="68" t="n">
        <v>0</v>
      </c>
      <c r="Q23" s="68" t="n">
        <v>0</v>
      </c>
      <c r="R23" s="68" t="n">
        <v>0</v>
      </c>
      <c r="S23" s="68" t="n">
        <v>0</v>
      </c>
      <c r="T23" s="45" t="n">
        <v>0</v>
      </c>
      <c r="U23" s="45" t="n">
        <v>0</v>
      </c>
      <c r="V23" s="45" t="n">
        <v>0</v>
      </c>
      <c r="W23" s="45" t="n">
        <v>0</v>
      </c>
    </row>
    <row r="24">
      <c r="A24" s="58" t="n">
        <v>1864</v>
      </c>
      <c r="B24" s="45" t="n">
        <v>2</v>
      </c>
      <c r="C24" s="45" t="n">
        <v>1</v>
      </c>
      <c r="D24" s="45" t="n">
        <v>0</v>
      </c>
      <c r="E24" s="45" t="n">
        <v>0</v>
      </c>
      <c r="F24" s="45" t="n">
        <v>0</v>
      </c>
      <c r="G24" s="45" t="n">
        <v>0</v>
      </c>
      <c r="H24" s="45" t="n">
        <v>0</v>
      </c>
      <c r="I24" s="45" t="n">
        <v>0</v>
      </c>
      <c r="J24" s="45" t="n">
        <v>0</v>
      </c>
      <c r="K24" s="68" t="n">
        <v>1.05</v>
      </c>
      <c r="L24" s="68" t="n">
        <v>0.62</v>
      </c>
      <c r="M24" s="68" t="n">
        <v>0</v>
      </c>
      <c r="N24" s="68" t="n">
        <v>0</v>
      </c>
      <c r="O24" s="68" t="n">
        <v>0</v>
      </c>
      <c r="P24" s="68" t="n">
        <v>0</v>
      </c>
      <c r="Q24" s="68" t="n">
        <v>0</v>
      </c>
      <c r="R24" s="68" t="n">
        <v>0</v>
      </c>
      <c r="S24" s="68" t="n">
        <v>0</v>
      </c>
      <c r="T24" s="45" t="n">
        <v>0</v>
      </c>
      <c r="U24" s="45" t="n">
        <v>0</v>
      </c>
      <c r="V24" s="45" t="n">
        <v>0</v>
      </c>
      <c r="W24" s="45" t="n">
        <v>0</v>
      </c>
    </row>
    <row r="25">
      <c r="A25" s="58" t="n">
        <v>1865</v>
      </c>
      <c r="B25" s="45" t="n">
        <v>1</v>
      </c>
      <c r="C25" s="45" t="n">
        <v>0</v>
      </c>
      <c r="D25" s="45" t="n">
        <v>0</v>
      </c>
      <c r="E25" s="45" t="n">
        <v>0</v>
      </c>
      <c r="F25" s="45" t="n">
        <v>0</v>
      </c>
      <c r="G25" s="45" t="n">
        <v>0</v>
      </c>
      <c r="H25" s="45" t="n">
        <v>0</v>
      </c>
      <c r="I25" s="45" t="n">
        <v>0</v>
      </c>
      <c r="J25" s="45" t="n">
        <v>0</v>
      </c>
      <c r="K25" s="68" t="n">
        <v>1.075</v>
      </c>
      <c r="L25" s="68" t="n">
        <v>0.65</v>
      </c>
      <c r="M25" s="68" t="n">
        <v>0</v>
      </c>
      <c r="N25" s="68" t="n">
        <v>0</v>
      </c>
      <c r="O25" s="68" t="n">
        <v>0</v>
      </c>
      <c r="P25" s="68" t="n">
        <v>0</v>
      </c>
      <c r="Q25" s="68" t="n">
        <v>0</v>
      </c>
      <c r="R25" s="68" t="n">
        <v>0</v>
      </c>
      <c r="S25" s="68" t="n">
        <v>0</v>
      </c>
      <c r="T25" s="45" t="n">
        <v>0</v>
      </c>
      <c r="U25" s="45" t="n">
        <v>0</v>
      </c>
      <c r="V25" s="45" t="n">
        <v>0</v>
      </c>
      <c r="W25" s="45" t="n">
        <v>0</v>
      </c>
    </row>
    <row r="26">
      <c r="A26" s="58" t="n">
        <v>1866</v>
      </c>
      <c r="B26" s="45" t="n">
        <v>0</v>
      </c>
      <c r="C26" s="45" t="n">
        <v>0</v>
      </c>
      <c r="D26" s="45" t="n">
        <v>0</v>
      </c>
      <c r="E26" s="45" t="n">
        <v>0</v>
      </c>
      <c r="F26" s="45" t="n">
        <v>0</v>
      </c>
      <c r="G26" s="45" t="n">
        <v>0</v>
      </c>
      <c r="H26" s="45" t="n">
        <v>0</v>
      </c>
      <c r="I26" s="45" t="n">
        <v>0</v>
      </c>
      <c r="J26" s="45" t="n">
        <v>0</v>
      </c>
      <c r="K26" s="68" t="n">
        <v>1.1</v>
      </c>
      <c r="L26" s="68" t="n">
        <v>0.68</v>
      </c>
      <c r="M26" s="68" t="n">
        <v>0</v>
      </c>
      <c r="N26" s="68" t="n">
        <v>0</v>
      </c>
      <c r="O26" s="68" t="n">
        <v>0</v>
      </c>
      <c r="P26" s="68" t="n">
        <v>0</v>
      </c>
      <c r="Q26" s="68" t="n">
        <v>0</v>
      </c>
      <c r="R26" s="68" t="n">
        <v>0</v>
      </c>
      <c r="S26" s="68" t="n">
        <v>0</v>
      </c>
      <c r="T26" s="45" t="n">
        <v>0</v>
      </c>
      <c r="U26" s="45" t="n">
        <v>0</v>
      </c>
      <c r="V26" s="45" t="n">
        <v>0</v>
      </c>
      <c r="W26" s="45" t="n">
        <v>0</v>
      </c>
    </row>
    <row r="27">
      <c r="A27" s="58" t="n">
        <v>1867</v>
      </c>
      <c r="B27" s="45" t="n">
        <v>1</v>
      </c>
      <c r="C27" s="45" t="n">
        <v>0</v>
      </c>
      <c r="D27" s="45" t="n">
        <v>0</v>
      </c>
      <c r="E27" s="45" t="n">
        <v>0</v>
      </c>
      <c r="F27" s="45" t="n">
        <v>0</v>
      </c>
      <c r="G27" s="45" t="n">
        <v>0</v>
      </c>
      <c r="H27" s="45" t="n">
        <v>0</v>
      </c>
      <c r="I27" s="45" t="n">
        <v>0</v>
      </c>
      <c r="J27" s="45" t="n">
        <v>0</v>
      </c>
      <c r="K27" s="68" t="n">
        <v>1.125</v>
      </c>
      <c r="L27" s="68" t="n">
        <v>0.71</v>
      </c>
      <c r="M27" s="68" t="n">
        <v>0</v>
      </c>
      <c r="N27" s="68" t="n">
        <v>0</v>
      </c>
      <c r="O27" s="68" t="n">
        <v>0</v>
      </c>
      <c r="P27" s="68" t="n">
        <v>0</v>
      </c>
      <c r="Q27" s="68" t="n">
        <v>0</v>
      </c>
      <c r="R27" s="68" t="n">
        <v>0</v>
      </c>
      <c r="S27" s="68" t="n">
        <v>0</v>
      </c>
      <c r="T27" s="45" t="n">
        <v>0</v>
      </c>
      <c r="U27" s="45" t="n">
        <v>0</v>
      </c>
      <c r="V27" s="45" t="n">
        <v>0</v>
      </c>
      <c r="W27" s="45" t="n">
        <v>0</v>
      </c>
    </row>
    <row r="28">
      <c r="A28" s="58" t="n">
        <v>1868</v>
      </c>
      <c r="B28" s="45" t="n">
        <v>0</v>
      </c>
      <c r="C28" s="45" t="n">
        <v>2</v>
      </c>
      <c r="D28" s="45" t="n">
        <v>0</v>
      </c>
      <c r="E28" s="45" t="n">
        <v>0</v>
      </c>
      <c r="F28" s="45" t="n">
        <v>0</v>
      </c>
      <c r="G28" s="45" t="n">
        <v>0</v>
      </c>
      <c r="H28" s="45" t="n">
        <v>0</v>
      </c>
      <c r="I28" s="45" t="n">
        <v>0</v>
      </c>
      <c r="J28" s="45" t="n">
        <v>0</v>
      </c>
      <c r="K28" s="68" t="n">
        <v>1.15</v>
      </c>
      <c r="L28" s="68" t="n">
        <v>0.74</v>
      </c>
      <c r="M28" s="68" t="n">
        <v>0</v>
      </c>
      <c r="N28" s="68" t="n">
        <v>0</v>
      </c>
      <c r="O28" s="68" t="n">
        <v>0</v>
      </c>
      <c r="P28" s="68" t="n">
        <v>0</v>
      </c>
      <c r="Q28" s="68" t="n">
        <v>0</v>
      </c>
      <c r="R28" s="68" t="n">
        <v>0</v>
      </c>
      <c r="S28" s="68" t="n">
        <v>0</v>
      </c>
      <c r="T28" s="45" t="n">
        <v>0</v>
      </c>
      <c r="U28" s="45" t="n">
        <v>0</v>
      </c>
      <c r="V28" s="45" t="n">
        <v>0</v>
      </c>
      <c r="W28" s="45" t="n">
        <v>0</v>
      </c>
    </row>
    <row r="29">
      <c r="A29" s="58" t="n">
        <v>1869</v>
      </c>
      <c r="B29" s="45" t="n">
        <v>2</v>
      </c>
      <c r="C29" s="45" t="n">
        <v>0</v>
      </c>
      <c r="D29" s="45" t="n">
        <v>0</v>
      </c>
      <c r="E29" s="45" t="n">
        <v>0</v>
      </c>
      <c r="F29" s="45" t="n">
        <v>0</v>
      </c>
      <c r="G29" s="45" t="n">
        <v>0</v>
      </c>
      <c r="H29" s="45" t="n">
        <v>0</v>
      </c>
      <c r="I29" s="45" t="n">
        <v>0</v>
      </c>
      <c r="J29" s="45" t="n">
        <v>0</v>
      </c>
      <c r="K29" s="68" t="n">
        <v>1.175</v>
      </c>
      <c r="L29" s="68" t="n">
        <v>0.77</v>
      </c>
      <c r="M29" s="68" t="n">
        <v>0</v>
      </c>
      <c r="N29" s="68" t="n">
        <v>0</v>
      </c>
      <c r="O29" s="68" t="n">
        <v>0</v>
      </c>
      <c r="P29" s="68" t="n">
        <v>0</v>
      </c>
      <c r="Q29" s="68" t="n">
        <v>0</v>
      </c>
      <c r="R29" s="68" t="n">
        <v>0</v>
      </c>
      <c r="S29" s="68" t="n">
        <v>0</v>
      </c>
      <c r="T29" s="45" t="n">
        <v>0</v>
      </c>
      <c r="U29" s="45" t="n">
        <v>0</v>
      </c>
      <c r="V29" s="45" t="n">
        <v>0</v>
      </c>
      <c r="W29" s="45" t="n">
        <v>0</v>
      </c>
    </row>
    <row r="30">
      <c r="A30" s="58" t="n">
        <v>1870</v>
      </c>
      <c r="B30" s="45" t="n">
        <v>2</v>
      </c>
      <c r="C30" s="45" t="n">
        <v>0</v>
      </c>
      <c r="D30" s="45" t="n">
        <v>0</v>
      </c>
      <c r="E30" s="45" t="n">
        <v>0</v>
      </c>
      <c r="F30" s="45" t="n">
        <v>0</v>
      </c>
      <c r="G30" s="45" t="n">
        <v>0</v>
      </c>
      <c r="H30" s="45" t="n">
        <v>0</v>
      </c>
      <c r="I30" s="45" t="n">
        <v>0</v>
      </c>
      <c r="J30" s="45" t="n">
        <v>0</v>
      </c>
      <c r="K30" s="68" t="n">
        <v>1.2</v>
      </c>
      <c r="L30" s="68" t="n">
        <v>0.8</v>
      </c>
      <c r="M30" s="68" t="n">
        <v>0</v>
      </c>
      <c r="N30" s="68" t="n">
        <v>0</v>
      </c>
      <c r="O30" s="68" t="n">
        <v>0</v>
      </c>
      <c r="P30" s="68" t="n">
        <v>0</v>
      </c>
      <c r="Q30" s="68" t="n">
        <v>0</v>
      </c>
      <c r="R30" s="68" t="n">
        <v>0</v>
      </c>
      <c r="S30" s="68" t="n">
        <v>0</v>
      </c>
      <c r="T30" s="45" t="n">
        <v>0</v>
      </c>
      <c r="U30" s="45" t="n">
        <v>0</v>
      </c>
      <c r="V30" s="45" t="n">
        <v>0</v>
      </c>
      <c r="W30" s="45" t="n">
        <v>0</v>
      </c>
    </row>
    <row r="31">
      <c r="A31" s="58" t="n">
        <v>1871</v>
      </c>
      <c r="B31" s="45" t="n">
        <v>0</v>
      </c>
      <c r="C31" s="45" t="n">
        <v>0</v>
      </c>
      <c r="D31" s="45" t="n">
        <v>0</v>
      </c>
      <c r="E31" s="45" t="n">
        <v>0</v>
      </c>
      <c r="F31" s="45" t="n">
        <v>0</v>
      </c>
      <c r="G31" s="45" t="n">
        <v>0</v>
      </c>
      <c r="H31" s="45" t="n">
        <v>0</v>
      </c>
      <c r="I31" s="45" t="n">
        <v>0</v>
      </c>
      <c r="J31" s="45" t="n">
        <v>0</v>
      </c>
      <c r="K31" s="68" t="n">
        <v>1.21</v>
      </c>
      <c r="L31" s="68" t="n">
        <v>0.82</v>
      </c>
      <c r="M31" s="68" t="n">
        <v>0</v>
      </c>
      <c r="N31" s="68" t="n">
        <v>0</v>
      </c>
      <c r="O31" s="68" t="n">
        <v>0</v>
      </c>
      <c r="P31" s="68" t="n">
        <v>0</v>
      </c>
      <c r="Q31" s="68" t="n">
        <v>0</v>
      </c>
      <c r="R31" s="68" t="n">
        <v>0</v>
      </c>
      <c r="S31" s="68" t="n">
        <v>0</v>
      </c>
      <c r="T31" s="45" t="n">
        <v>0</v>
      </c>
      <c r="U31" s="45" t="n">
        <v>0</v>
      </c>
      <c r="V31" s="45" t="n">
        <v>0</v>
      </c>
      <c r="W31" s="45" t="n">
        <v>0</v>
      </c>
    </row>
    <row r="32">
      <c r="A32" s="58" t="n">
        <v>1872</v>
      </c>
      <c r="B32" s="45" t="n">
        <v>1</v>
      </c>
      <c r="C32" s="45" t="n">
        <v>2</v>
      </c>
      <c r="D32" s="45" t="n">
        <v>0</v>
      </c>
      <c r="E32" s="45" t="n">
        <v>0</v>
      </c>
      <c r="F32" s="45" t="n">
        <v>0</v>
      </c>
      <c r="G32" s="45" t="n">
        <v>0</v>
      </c>
      <c r="H32" s="45" t="n">
        <v>0</v>
      </c>
      <c r="I32" s="45" t="n">
        <v>0</v>
      </c>
      <c r="J32" s="45" t="n">
        <v>0</v>
      </c>
      <c r="K32" s="68" t="n">
        <v>1.22</v>
      </c>
      <c r="L32" s="68" t="n">
        <v>0.84</v>
      </c>
      <c r="M32" s="68" t="n">
        <v>0</v>
      </c>
      <c r="N32" s="68" t="n">
        <v>0</v>
      </c>
      <c r="O32" s="68" t="n">
        <v>0</v>
      </c>
      <c r="P32" s="68" t="n">
        <v>0</v>
      </c>
      <c r="Q32" s="68" t="n">
        <v>0</v>
      </c>
      <c r="R32" s="68" t="n">
        <v>0</v>
      </c>
      <c r="S32" s="68" t="n">
        <v>0</v>
      </c>
      <c r="T32" s="45" t="n">
        <v>0</v>
      </c>
      <c r="U32" s="45" t="n">
        <v>0</v>
      </c>
      <c r="V32" s="45" t="n">
        <v>0</v>
      </c>
      <c r="W32" s="45" t="n">
        <v>0</v>
      </c>
    </row>
    <row r="33">
      <c r="A33" s="58" t="n">
        <v>1873</v>
      </c>
      <c r="B33" s="45" t="n">
        <v>0</v>
      </c>
      <c r="C33" s="45" t="n">
        <v>0</v>
      </c>
      <c r="D33" s="45" t="n">
        <v>0</v>
      </c>
      <c r="E33" s="45" t="n">
        <v>0</v>
      </c>
      <c r="F33" s="45" t="n">
        <v>0</v>
      </c>
      <c r="G33" s="45" t="n">
        <v>0</v>
      </c>
      <c r="H33" s="45" t="n">
        <v>0</v>
      </c>
      <c r="I33" s="45" t="n">
        <v>0</v>
      </c>
      <c r="J33" s="45" t="n">
        <v>0</v>
      </c>
      <c r="K33" s="68" t="n">
        <v>1.23</v>
      </c>
      <c r="L33" s="68" t="n">
        <v>0.86</v>
      </c>
      <c r="M33" s="68" t="n">
        <v>0</v>
      </c>
      <c r="N33" s="68" t="n">
        <v>0</v>
      </c>
      <c r="O33" s="68" t="n">
        <v>0</v>
      </c>
      <c r="P33" s="68" t="n">
        <v>0</v>
      </c>
      <c r="Q33" s="68" t="n">
        <v>0</v>
      </c>
      <c r="R33" s="68" t="n">
        <v>0</v>
      </c>
      <c r="S33" s="68" t="n">
        <v>0</v>
      </c>
      <c r="T33" s="45" t="n">
        <v>0</v>
      </c>
      <c r="U33" s="45" t="n">
        <v>0</v>
      </c>
      <c r="V33" s="45" t="n">
        <v>0</v>
      </c>
      <c r="W33" s="45" t="n">
        <v>0</v>
      </c>
    </row>
    <row r="34">
      <c r="A34" s="58" t="n">
        <v>1874</v>
      </c>
      <c r="B34" s="45" t="n">
        <v>0</v>
      </c>
      <c r="C34" s="45" t="n">
        <v>0</v>
      </c>
      <c r="D34" s="45" t="n">
        <v>0</v>
      </c>
      <c r="E34" s="45" t="n">
        <v>0</v>
      </c>
      <c r="F34" s="45" t="n">
        <v>0</v>
      </c>
      <c r="G34" s="45" t="n">
        <v>0</v>
      </c>
      <c r="H34" s="45" t="n">
        <v>0</v>
      </c>
      <c r="I34" s="45" t="n">
        <v>0</v>
      </c>
      <c r="J34" s="45" t="n">
        <v>0</v>
      </c>
      <c r="K34" s="68" t="n">
        <v>1.24</v>
      </c>
      <c r="L34" s="68" t="n">
        <v>0.88</v>
      </c>
      <c r="M34" s="68" t="n">
        <v>0</v>
      </c>
      <c r="N34" s="68" t="n">
        <v>0</v>
      </c>
      <c r="O34" s="68" t="n">
        <v>0</v>
      </c>
      <c r="P34" s="68" t="n">
        <v>0</v>
      </c>
      <c r="Q34" s="68" t="n">
        <v>0</v>
      </c>
      <c r="R34" s="68" t="n">
        <v>0</v>
      </c>
      <c r="S34" s="68" t="n">
        <v>0</v>
      </c>
      <c r="T34" s="45" t="n">
        <v>0</v>
      </c>
      <c r="U34" s="45" t="n">
        <v>0</v>
      </c>
      <c r="V34" s="45" t="n">
        <v>0</v>
      </c>
      <c r="W34" s="45" t="n">
        <v>0</v>
      </c>
    </row>
    <row r="35">
      <c r="A35" s="58" t="n">
        <v>1875</v>
      </c>
      <c r="B35" s="45" t="n">
        <v>1</v>
      </c>
      <c r="C35" s="45" t="n">
        <v>2</v>
      </c>
      <c r="D35" s="45" t="n">
        <v>0</v>
      </c>
      <c r="E35" s="45" t="n">
        <v>0</v>
      </c>
      <c r="F35" s="45" t="n">
        <v>0</v>
      </c>
      <c r="G35" s="45" t="n">
        <v>0</v>
      </c>
      <c r="H35" s="45" t="n">
        <v>0</v>
      </c>
      <c r="I35" s="45" t="n">
        <v>0</v>
      </c>
      <c r="J35" s="45" t="n">
        <v>0</v>
      </c>
      <c r="K35" s="68" t="n">
        <v>1.25</v>
      </c>
      <c r="L35" s="68" t="n">
        <v>0.9</v>
      </c>
      <c r="M35" s="68" t="n">
        <v>0</v>
      </c>
      <c r="N35" s="68" t="n">
        <v>0</v>
      </c>
      <c r="O35" s="68" t="n">
        <v>0</v>
      </c>
      <c r="P35" s="68" t="n">
        <v>0</v>
      </c>
      <c r="Q35" s="68" t="n">
        <v>0</v>
      </c>
      <c r="R35" s="68" t="n">
        <v>0</v>
      </c>
      <c r="S35" s="68" t="n">
        <v>0</v>
      </c>
      <c r="T35" s="45" t="n">
        <v>0</v>
      </c>
      <c r="U35" s="45" t="n">
        <v>0</v>
      </c>
      <c r="V35" s="45" t="n">
        <v>0</v>
      </c>
      <c r="W35" s="45" t="n">
        <v>0</v>
      </c>
    </row>
    <row r="36">
      <c r="A36" s="58" t="n">
        <v>1876</v>
      </c>
      <c r="B36" s="45" t="n">
        <v>0</v>
      </c>
      <c r="C36" s="45" t="n">
        <v>0</v>
      </c>
      <c r="D36" s="45" t="n">
        <v>0</v>
      </c>
      <c r="E36" s="45" t="n">
        <v>0</v>
      </c>
      <c r="F36" s="45" t="n">
        <v>0</v>
      </c>
      <c r="G36" s="45" t="n">
        <v>0</v>
      </c>
      <c r="H36" s="45" t="n">
        <v>0</v>
      </c>
      <c r="I36" s="45" t="n">
        <v>0</v>
      </c>
      <c r="J36" s="45" t="n">
        <v>0</v>
      </c>
      <c r="K36" s="68" t="n">
        <v>1.26</v>
      </c>
      <c r="L36" s="68" t="n">
        <v>0.92</v>
      </c>
      <c r="M36" s="68" t="n">
        <v>0</v>
      </c>
      <c r="N36" s="68" t="n">
        <v>0</v>
      </c>
      <c r="O36" s="68" t="n">
        <v>0</v>
      </c>
      <c r="P36" s="68" t="n">
        <v>0</v>
      </c>
      <c r="Q36" s="68" t="n">
        <v>0</v>
      </c>
      <c r="R36" s="68" t="n">
        <v>0</v>
      </c>
      <c r="S36" s="68" t="n">
        <v>0</v>
      </c>
      <c r="T36" s="45" t="n">
        <v>0</v>
      </c>
      <c r="U36" s="45" t="n">
        <v>0</v>
      </c>
      <c r="V36" s="45" t="n">
        <v>0</v>
      </c>
      <c r="W36" s="45" t="n">
        <v>0</v>
      </c>
    </row>
    <row r="37">
      <c r="A37" s="58" t="n">
        <v>1877</v>
      </c>
      <c r="B37" s="45" t="n">
        <v>0</v>
      </c>
      <c r="C37" s="45" t="n">
        <v>0</v>
      </c>
      <c r="D37" s="45" t="n">
        <v>0</v>
      </c>
      <c r="E37" s="45" t="n">
        <v>0</v>
      </c>
      <c r="F37" s="45" t="n">
        <v>0</v>
      </c>
      <c r="G37" s="45" t="n">
        <v>0</v>
      </c>
      <c r="H37" s="45" t="n">
        <v>0</v>
      </c>
      <c r="I37" s="45" t="n">
        <v>0</v>
      </c>
      <c r="J37" s="45" t="n">
        <v>0</v>
      </c>
      <c r="K37" s="68" t="n">
        <v>1.27</v>
      </c>
      <c r="L37" s="68" t="n">
        <v>0.9399999999999999</v>
      </c>
      <c r="M37" s="68" t="n">
        <v>0</v>
      </c>
      <c r="N37" s="68" t="n">
        <v>0</v>
      </c>
      <c r="O37" s="68" t="n">
        <v>0</v>
      </c>
      <c r="P37" s="68" t="n">
        <v>0</v>
      </c>
      <c r="Q37" s="68" t="n">
        <v>0</v>
      </c>
      <c r="R37" s="68" t="n">
        <v>0</v>
      </c>
      <c r="S37" s="68" t="n">
        <v>0</v>
      </c>
      <c r="T37" s="45" t="n">
        <v>0</v>
      </c>
      <c r="U37" s="45" t="n">
        <v>0</v>
      </c>
      <c r="V37" s="45" t="n">
        <v>0</v>
      </c>
      <c r="W37" s="45" t="n">
        <v>0</v>
      </c>
    </row>
    <row r="38">
      <c r="A38" s="58" t="n">
        <v>1878</v>
      </c>
      <c r="B38" s="45" t="n">
        <v>1</v>
      </c>
      <c r="C38" s="45" t="n">
        <v>2</v>
      </c>
      <c r="D38" s="45" t="n">
        <v>0</v>
      </c>
      <c r="E38" s="45" t="n">
        <v>0</v>
      </c>
      <c r="F38" s="45" t="n">
        <v>0</v>
      </c>
      <c r="G38" s="45" t="n">
        <v>0</v>
      </c>
      <c r="H38" s="45" t="n">
        <v>0</v>
      </c>
      <c r="I38" s="45" t="n">
        <v>0</v>
      </c>
      <c r="J38" s="45" t="n">
        <v>0</v>
      </c>
      <c r="K38" s="68" t="n">
        <v>1.28</v>
      </c>
      <c r="L38" s="68" t="n">
        <v>0.96</v>
      </c>
      <c r="M38" s="68" t="n">
        <v>0</v>
      </c>
      <c r="N38" s="68" t="n">
        <v>0</v>
      </c>
      <c r="O38" s="68" t="n">
        <v>0</v>
      </c>
      <c r="P38" s="68" t="n">
        <v>0</v>
      </c>
      <c r="Q38" s="68" t="n">
        <v>0</v>
      </c>
      <c r="R38" s="68" t="n">
        <v>0</v>
      </c>
      <c r="S38" s="68" t="n">
        <v>0</v>
      </c>
      <c r="T38" s="45" t="n">
        <v>0</v>
      </c>
      <c r="U38" s="45" t="n">
        <v>0</v>
      </c>
      <c r="V38" s="45" t="n">
        <v>0</v>
      </c>
      <c r="W38" s="45" t="n">
        <v>0</v>
      </c>
    </row>
    <row r="39">
      <c r="A39" s="58" t="n">
        <v>1879</v>
      </c>
      <c r="B39" s="45" t="n">
        <v>0</v>
      </c>
      <c r="C39" s="45" t="n">
        <v>0</v>
      </c>
      <c r="D39" s="45" t="n">
        <v>0</v>
      </c>
      <c r="E39" s="45" t="n">
        <v>0</v>
      </c>
      <c r="F39" s="45" t="n">
        <v>0</v>
      </c>
      <c r="G39" s="45" t="n">
        <v>0</v>
      </c>
      <c r="H39" s="45" t="n">
        <v>0</v>
      </c>
      <c r="I39" s="45" t="n">
        <v>0</v>
      </c>
      <c r="J39" s="45" t="n">
        <v>0</v>
      </c>
      <c r="K39" s="68" t="n">
        <v>1.29</v>
      </c>
      <c r="L39" s="68" t="n">
        <v>0.98</v>
      </c>
      <c r="M39" s="68" t="n">
        <v>0</v>
      </c>
      <c r="N39" s="68" t="n">
        <v>0</v>
      </c>
      <c r="O39" s="68" t="n">
        <v>0</v>
      </c>
      <c r="P39" s="68" t="n">
        <v>0</v>
      </c>
      <c r="Q39" s="68" t="n">
        <v>0</v>
      </c>
      <c r="R39" s="68" t="n">
        <v>0</v>
      </c>
      <c r="S39" s="68" t="n">
        <v>0</v>
      </c>
      <c r="T39" s="45" t="n">
        <v>0</v>
      </c>
      <c r="U39" s="45" t="n">
        <v>0</v>
      </c>
      <c r="V39" s="45" t="n">
        <v>0</v>
      </c>
      <c r="W39" s="45" t="n">
        <v>0</v>
      </c>
    </row>
    <row r="40">
      <c r="A40" s="58" t="n">
        <v>1880</v>
      </c>
      <c r="B40" s="45" t="n">
        <v>0</v>
      </c>
      <c r="C40" s="45" t="n">
        <v>0</v>
      </c>
      <c r="D40" s="45" t="n">
        <v>0</v>
      </c>
      <c r="E40" s="45" t="n">
        <v>0</v>
      </c>
      <c r="F40" s="45" t="n">
        <v>0</v>
      </c>
      <c r="G40" s="45" t="n">
        <v>0</v>
      </c>
      <c r="H40" s="45" t="n">
        <v>0</v>
      </c>
      <c r="I40" s="45" t="n">
        <v>0</v>
      </c>
      <c r="J40" s="45" t="n">
        <v>0</v>
      </c>
      <c r="K40" s="68" t="n">
        <v>1.3</v>
      </c>
      <c r="L40" s="68" t="n">
        <v>1</v>
      </c>
      <c r="M40" s="68" t="n">
        <v>0.07000000000000001</v>
      </c>
      <c r="N40" s="68" t="n">
        <v>0</v>
      </c>
      <c r="O40" s="68" t="n">
        <v>0</v>
      </c>
      <c r="P40" s="68" t="n">
        <v>0</v>
      </c>
      <c r="Q40" s="68" t="n">
        <v>0</v>
      </c>
      <c r="R40" s="68" t="n">
        <v>0</v>
      </c>
      <c r="S40" s="68" t="n">
        <v>0</v>
      </c>
      <c r="T40" s="45" t="n">
        <v>0</v>
      </c>
      <c r="U40" s="45" t="n">
        <v>0</v>
      </c>
      <c r="V40" s="45" t="n">
        <v>0</v>
      </c>
      <c r="W40" s="45" t="n">
        <v>0</v>
      </c>
    </row>
    <row r="41">
      <c r="A41" s="58" t="n">
        <v>1881</v>
      </c>
      <c r="B41" s="45" t="n">
        <v>1</v>
      </c>
      <c r="C41" s="45" t="n">
        <v>2</v>
      </c>
      <c r="D41" s="45" t="n">
        <v>0</v>
      </c>
      <c r="E41" s="45" t="n">
        <v>0</v>
      </c>
      <c r="F41" s="45" t="n">
        <v>0</v>
      </c>
      <c r="G41" s="45" t="n">
        <v>0</v>
      </c>
      <c r="H41" s="45" t="n">
        <v>0</v>
      </c>
      <c r="I41" s="45" t="n">
        <v>0</v>
      </c>
      <c r="J41" s="45" t="n">
        <v>0</v>
      </c>
      <c r="K41" s="68" t="n">
        <v>1.3</v>
      </c>
      <c r="L41" s="68" t="n">
        <v>1</v>
      </c>
      <c r="M41" s="68" t="n">
        <v>0.07099999999999999</v>
      </c>
      <c r="N41" s="68" t="n">
        <v>0</v>
      </c>
      <c r="O41" s="68" t="n">
        <v>0</v>
      </c>
      <c r="P41" s="68" t="n">
        <v>0</v>
      </c>
      <c r="Q41" s="68" t="n">
        <v>0</v>
      </c>
      <c r="R41" s="68" t="n">
        <v>0</v>
      </c>
      <c r="S41" s="68" t="n">
        <v>0</v>
      </c>
      <c r="T41" s="45" t="n">
        <v>0</v>
      </c>
      <c r="U41" s="45" t="n">
        <v>0</v>
      </c>
      <c r="V41" s="45" t="n">
        <v>0</v>
      </c>
      <c r="W41" s="45" t="n">
        <v>0</v>
      </c>
    </row>
    <row r="42">
      <c r="A42" s="58" t="n">
        <v>1882</v>
      </c>
      <c r="B42" s="45" t="n">
        <v>0</v>
      </c>
      <c r="C42" s="45" t="n">
        <v>0</v>
      </c>
      <c r="D42" s="45" t="n">
        <v>2</v>
      </c>
      <c r="E42" s="45" t="n">
        <v>0</v>
      </c>
      <c r="F42" s="45" t="n">
        <v>0</v>
      </c>
      <c r="G42" s="45" t="n">
        <v>0</v>
      </c>
      <c r="H42" s="45" t="n">
        <v>0</v>
      </c>
      <c r="I42" s="45" t="n">
        <v>0</v>
      </c>
      <c r="J42" s="45" t="n">
        <v>0</v>
      </c>
      <c r="K42" s="68" t="n">
        <v>1.3</v>
      </c>
      <c r="L42" s="68" t="n">
        <v>1</v>
      </c>
      <c r="M42" s="68" t="n">
        <v>0.07199999999999999</v>
      </c>
      <c r="N42" s="68" t="n">
        <v>0</v>
      </c>
      <c r="O42" s="68" t="n">
        <v>0</v>
      </c>
      <c r="P42" s="68" t="n">
        <v>0</v>
      </c>
      <c r="Q42" s="68" t="n">
        <v>0</v>
      </c>
      <c r="R42" s="68" t="n">
        <v>0</v>
      </c>
      <c r="S42" s="68" t="n">
        <v>0</v>
      </c>
      <c r="T42" s="45" t="n">
        <v>0</v>
      </c>
      <c r="U42" s="45" t="n">
        <v>0</v>
      </c>
      <c r="V42" s="45" t="n">
        <v>0</v>
      </c>
      <c r="W42" s="45" t="n">
        <v>0</v>
      </c>
    </row>
    <row r="43">
      <c r="A43" s="58" t="n">
        <v>1883</v>
      </c>
      <c r="B43" s="45" t="n">
        <v>0</v>
      </c>
      <c r="C43" s="45" t="n">
        <v>0</v>
      </c>
      <c r="D43" s="45" t="n">
        <v>0</v>
      </c>
      <c r="E43" s="45" t="n">
        <v>0</v>
      </c>
      <c r="F43" s="45" t="n">
        <v>0</v>
      </c>
      <c r="G43" s="45" t="n">
        <v>0</v>
      </c>
      <c r="H43" s="45" t="n">
        <v>0</v>
      </c>
      <c r="I43" s="45" t="n">
        <v>0</v>
      </c>
      <c r="J43" s="45" t="n">
        <v>0</v>
      </c>
      <c r="K43" s="68" t="n">
        <v>1.3</v>
      </c>
      <c r="L43" s="68" t="n">
        <v>1</v>
      </c>
      <c r="M43" s="68" t="n">
        <v>0.073</v>
      </c>
      <c r="N43" s="68" t="n">
        <v>0</v>
      </c>
      <c r="O43" s="68" t="n">
        <v>0</v>
      </c>
      <c r="P43" s="68" t="n">
        <v>0</v>
      </c>
      <c r="Q43" s="68" t="n">
        <v>0</v>
      </c>
      <c r="R43" s="68" t="n">
        <v>0</v>
      </c>
      <c r="S43" s="68" t="n">
        <v>0</v>
      </c>
      <c r="T43" s="45" t="n">
        <v>0</v>
      </c>
      <c r="U43" s="45" t="n">
        <v>0</v>
      </c>
      <c r="V43" s="45" t="n">
        <v>0</v>
      </c>
      <c r="W43" s="45" t="n">
        <v>0</v>
      </c>
    </row>
    <row r="44">
      <c r="A44" s="58" t="n">
        <v>1884</v>
      </c>
      <c r="B44" s="45" t="n">
        <v>1</v>
      </c>
      <c r="C44" s="45" t="n">
        <v>2</v>
      </c>
      <c r="D44" s="45" t="n">
        <v>4</v>
      </c>
      <c r="E44" s="45" t="n">
        <v>0</v>
      </c>
      <c r="F44" s="45" t="n">
        <v>0</v>
      </c>
      <c r="G44" s="45" t="n">
        <v>0</v>
      </c>
      <c r="H44" s="45" t="n">
        <v>0</v>
      </c>
      <c r="I44" s="45" t="n">
        <v>0</v>
      </c>
      <c r="J44" s="45" t="n">
        <v>0</v>
      </c>
      <c r="K44" s="68" t="n">
        <v>1.3</v>
      </c>
      <c r="L44" s="68" t="n">
        <v>1</v>
      </c>
      <c r="M44" s="68" t="n">
        <v>0.074</v>
      </c>
      <c r="N44" s="68" t="n">
        <v>0</v>
      </c>
      <c r="O44" s="68" t="n">
        <v>0</v>
      </c>
      <c r="P44" s="68" t="n">
        <v>0</v>
      </c>
      <c r="Q44" s="68" t="n">
        <v>0</v>
      </c>
      <c r="R44" s="68" t="n">
        <v>0</v>
      </c>
      <c r="S44" s="68" t="n">
        <v>0</v>
      </c>
      <c r="T44" s="45" t="n">
        <v>0</v>
      </c>
      <c r="U44" s="45" t="n">
        <v>0</v>
      </c>
      <c r="V44" s="45" t="n">
        <v>0</v>
      </c>
      <c r="W44" s="45" t="n">
        <v>0</v>
      </c>
    </row>
    <row r="45">
      <c r="A45" s="58" t="n">
        <v>1885</v>
      </c>
      <c r="B45" s="45" t="n">
        <v>0</v>
      </c>
      <c r="C45" s="45" t="n">
        <v>0</v>
      </c>
      <c r="D45" s="45" t="n">
        <v>0</v>
      </c>
      <c r="E45" s="45" t="n">
        <v>0</v>
      </c>
      <c r="F45" s="45" t="n">
        <v>0</v>
      </c>
      <c r="G45" s="45" t="n">
        <v>0</v>
      </c>
      <c r="H45" s="45" t="n">
        <v>0</v>
      </c>
      <c r="I45" s="45" t="n">
        <v>0</v>
      </c>
      <c r="J45" s="45" t="n">
        <v>0</v>
      </c>
      <c r="K45" s="68" t="n">
        <v>1.3</v>
      </c>
      <c r="L45" s="68" t="n">
        <v>1</v>
      </c>
      <c r="M45" s="68" t="n">
        <v>0.075</v>
      </c>
      <c r="N45" s="68" t="n">
        <v>0</v>
      </c>
      <c r="O45" s="68" t="n">
        <v>0</v>
      </c>
      <c r="P45" s="68" t="n">
        <v>0</v>
      </c>
      <c r="Q45" s="68" t="n">
        <v>0</v>
      </c>
      <c r="R45" s="68" t="n">
        <v>0</v>
      </c>
      <c r="S45" s="68" t="n">
        <v>0</v>
      </c>
      <c r="T45" s="45" t="n">
        <v>0</v>
      </c>
      <c r="U45" s="45" t="n">
        <v>0</v>
      </c>
      <c r="V45" s="45" t="n">
        <v>0</v>
      </c>
      <c r="W45" s="45" t="n">
        <v>0</v>
      </c>
    </row>
    <row r="46">
      <c r="A46" s="58" t="n">
        <v>1886</v>
      </c>
      <c r="B46" s="45" t="n">
        <v>0</v>
      </c>
      <c r="C46" s="45" t="n">
        <v>0</v>
      </c>
      <c r="D46" s="45" t="n">
        <v>6</v>
      </c>
      <c r="E46" s="45" t="n">
        <v>0</v>
      </c>
      <c r="F46" s="45" t="n">
        <v>0</v>
      </c>
      <c r="G46" s="45" t="n">
        <v>0</v>
      </c>
      <c r="H46" s="45" t="n">
        <v>0</v>
      </c>
      <c r="I46" s="45" t="n">
        <v>0</v>
      </c>
      <c r="J46" s="45" t="n">
        <v>0</v>
      </c>
      <c r="K46" s="68" t="n">
        <v>1.3</v>
      </c>
      <c r="L46" s="68" t="n">
        <v>1</v>
      </c>
      <c r="M46" s="68" t="n">
        <v>0.076</v>
      </c>
      <c r="N46" s="68" t="n">
        <v>0</v>
      </c>
      <c r="O46" s="68" t="n">
        <v>0</v>
      </c>
      <c r="P46" s="68" t="n">
        <v>0</v>
      </c>
      <c r="Q46" s="68" t="n">
        <v>0</v>
      </c>
      <c r="R46" s="68" t="n">
        <v>0</v>
      </c>
      <c r="S46" s="68" t="n">
        <v>0</v>
      </c>
      <c r="T46" s="45" t="n">
        <v>0</v>
      </c>
      <c r="U46" s="45" t="n">
        <v>0</v>
      </c>
      <c r="V46" s="45" t="n">
        <v>0</v>
      </c>
      <c r="W46" s="45" t="n">
        <v>0</v>
      </c>
    </row>
    <row r="47">
      <c r="A47" s="58" t="n">
        <v>1887</v>
      </c>
      <c r="B47" s="45" t="n">
        <v>0</v>
      </c>
      <c r="C47" s="45" t="n">
        <v>1</v>
      </c>
      <c r="D47" s="45" t="n">
        <v>0</v>
      </c>
      <c r="E47" s="45" t="n">
        <v>0</v>
      </c>
      <c r="F47" s="45" t="n">
        <v>0</v>
      </c>
      <c r="G47" s="45" t="n">
        <v>0</v>
      </c>
      <c r="H47" s="45" t="n">
        <v>0</v>
      </c>
      <c r="I47" s="45" t="n">
        <v>0</v>
      </c>
      <c r="J47" s="45" t="n">
        <v>0</v>
      </c>
      <c r="K47" s="68" t="n">
        <v>1.3</v>
      </c>
      <c r="L47" s="68" t="n">
        <v>1</v>
      </c>
      <c r="M47" s="68" t="n">
        <v>0.077</v>
      </c>
      <c r="N47" s="68" t="n">
        <v>0</v>
      </c>
      <c r="O47" s="68" t="n">
        <v>0</v>
      </c>
      <c r="P47" s="68" t="n">
        <v>0</v>
      </c>
      <c r="Q47" s="68" t="n">
        <v>0</v>
      </c>
      <c r="R47" s="68" t="n">
        <v>0</v>
      </c>
      <c r="S47" s="68" t="n">
        <v>0</v>
      </c>
      <c r="T47" s="45" t="n">
        <v>0</v>
      </c>
      <c r="U47" s="45" t="n">
        <v>0</v>
      </c>
      <c r="V47" s="45" t="n">
        <v>0</v>
      </c>
      <c r="W47" s="45" t="n">
        <v>0</v>
      </c>
    </row>
    <row r="48">
      <c r="A48" s="58" t="n">
        <v>1888</v>
      </c>
      <c r="B48" s="45" t="n">
        <v>0</v>
      </c>
      <c r="C48" s="45" t="n">
        <v>0</v>
      </c>
      <c r="D48" s="45" t="n">
        <v>6</v>
      </c>
      <c r="E48" s="45" t="n">
        <v>0</v>
      </c>
      <c r="F48" s="45" t="n">
        <v>0</v>
      </c>
      <c r="G48" s="45" t="n">
        <v>0</v>
      </c>
      <c r="H48" s="45" t="n">
        <v>0</v>
      </c>
      <c r="I48" s="45" t="n">
        <v>0</v>
      </c>
      <c r="J48" s="45" t="n">
        <v>0</v>
      </c>
      <c r="K48" s="68" t="n">
        <v>1.3</v>
      </c>
      <c r="L48" s="68" t="n">
        <v>1</v>
      </c>
      <c r="M48" s="68" t="n">
        <v>0.078</v>
      </c>
      <c r="N48" s="68" t="n">
        <v>1.6</v>
      </c>
      <c r="O48" s="68" t="n">
        <v>0</v>
      </c>
      <c r="P48" s="68" t="n">
        <v>0</v>
      </c>
      <c r="Q48" s="68" t="n">
        <v>0</v>
      </c>
      <c r="R48" s="68" t="n">
        <v>0</v>
      </c>
      <c r="S48" s="68" t="n">
        <v>0</v>
      </c>
      <c r="T48" s="45" t="n">
        <v>0</v>
      </c>
      <c r="U48" s="45" t="n">
        <v>0</v>
      </c>
      <c r="V48" s="45" t="n">
        <v>0</v>
      </c>
      <c r="W48" s="45" t="n">
        <v>0</v>
      </c>
    </row>
    <row r="49">
      <c r="A49" s="58" t="n">
        <v>1889</v>
      </c>
      <c r="B49" s="45" t="n">
        <v>0</v>
      </c>
      <c r="C49" s="45" t="n">
        <v>0</v>
      </c>
      <c r="D49" s="45" t="n">
        <v>0</v>
      </c>
      <c r="E49" s="45" t="n">
        <v>0</v>
      </c>
      <c r="F49" s="45" t="n">
        <v>0</v>
      </c>
      <c r="G49" s="45" t="n">
        <v>0</v>
      </c>
      <c r="H49" s="45" t="n">
        <v>0</v>
      </c>
      <c r="I49" s="45" t="n">
        <v>0</v>
      </c>
      <c r="J49" s="45" t="n">
        <v>0</v>
      </c>
      <c r="K49" s="68" t="n">
        <v>1.3</v>
      </c>
      <c r="L49" s="68" t="n">
        <v>1</v>
      </c>
      <c r="M49" s="68" t="n">
        <v>0.079</v>
      </c>
      <c r="N49" s="68" t="n">
        <v>1.7</v>
      </c>
      <c r="O49" s="68" t="n">
        <v>0</v>
      </c>
      <c r="P49" s="68" t="n">
        <v>0</v>
      </c>
      <c r="Q49" s="68" t="n">
        <v>0</v>
      </c>
      <c r="R49" s="68" t="n">
        <v>0</v>
      </c>
      <c r="S49" s="68" t="n">
        <v>0</v>
      </c>
      <c r="T49" s="45" t="n">
        <v>0</v>
      </c>
      <c r="U49" s="45" t="n">
        <v>0</v>
      </c>
      <c r="V49" s="45" t="n">
        <v>0</v>
      </c>
      <c r="W49" s="45" t="n">
        <v>0</v>
      </c>
    </row>
    <row r="50">
      <c r="A50" s="58" t="n">
        <v>1890</v>
      </c>
      <c r="B50" s="45" t="n">
        <v>0</v>
      </c>
      <c r="C50" s="45" t="n">
        <v>0</v>
      </c>
      <c r="D50" s="45" t="n">
        <v>4</v>
      </c>
      <c r="E50" s="45" t="n">
        <v>2</v>
      </c>
      <c r="F50" s="45" t="n">
        <v>0</v>
      </c>
      <c r="G50" s="45" t="n">
        <v>0</v>
      </c>
      <c r="H50" s="45" t="n">
        <v>0</v>
      </c>
      <c r="I50" s="45" t="n">
        <v>0</v>
      </c>
      <c r="J50" s="45" t="n">
        <v>0</v>
      </c>
      <c r="K50" s="68" t="n">
        <v>1.3</v>
      </c>
      <c r="L50" s="68" t="n">
        <v>1</v>
      </c>
      <c r="M50" s="68" t="n">
        <v>0.08</v>
      </c>
      <c r="N50" s="68" t="n">
        <v>1.8</v>
      </c>
      <c r="O50" s="68" t="n">
        <v>0</v>
      </c>
      <c r="P50" s="68" t="n">
        <v>0</v>
      </c>
      <c r="Q50" s="68" t="n">
        <v>0</v>
      </c>
      <c r="R50" s="68" t="n">
        <v>0</v>
      </c>
      <c r="S50" s="68" t="n">
        <v>0</v>
      </c>
      <c r="T50" s="45" t="n">
        <v>0</v>
      </c>
      <c r="U50" s="45" t="n">
        <v>0</v>
      </c>
      <c r="V50" s="45" t="n">
        <v>0</v>
      </c>
      <c r="W50" s="45" t="n">
        <v>0</v>
      </c>
    </row>
    <row r="51">
      <c r="A51" s="58" t="n">
        <v>1891</v>
      </c>
      <c r="B51" s="45" t="n">
        <v>0</v>
      </c>
      <c r="C51" s="45" t="n">
        <v>0</v>
      </c>
      <c r="D51" s="45" t="n">
        <v>0</v>
      </c>
      <c r="E51" s="45" t="n">
        <v>0</v>
      </c>
      <c r="F51" s="45" t="n">
        <v>0</v>
      </c>
      <c r="G51" s="45" t="n">
        <v>0</v>
      </c>
      <c r="H51" s="45" t="n">
        <v>0</v>
      </c>
      <c r="I51" s="45" t="n">
        <v>0</v>
      </c>
      <c r="J51" s="45" t="n">
        <v>0</v>
      </c>
      <c r="K51" s="68" t="n">
        <v>1.3</v>
      </c>
      <c r="L51" s="68" t="n">
        <v>1</v>
      </c>
      <c r="M51" s="68" t="n">
        <v>0.08</v>
      </c>
      <c r="N51" s="68" t="n">
        <v>1.81</v>
      </c>
      <c r="O51" s="68" t="n">
        <v>0</v>
      </c>
      <c r="P51" s="68" t="n">
        <v>0</v>
      </c>
      <c r="Q51" s="68" t="n">
        <v>0</v>
      </c>
      <c r="R51" s="68" t="n">
        <v>0</v>
      </c>
      <c r="S51" s="68" t="n">
        <v>0</v>
      </c>
      <c r="T51" s="45" t="n">
        <v>0</v>
      </c>
      <c r="U51" s="45" t="n">
        <v>0</v>
      </c>
      <c r="V51" s="45" t="n">
        <v>0</v>
      </c>
      <c r="W51" s="45" t="n">
        <v>0</v>
      </c>
    </row>
    <row r="52">
      <c r="A52" s="58" t="n">
        <v>1892</v>
      </c>
      <c r="B52" s="45" t="n">
        <v>0</v>
      </c>
      <c r="C52" s="45" t="n">
        <v>0</v>
      </c>
      <c r="D52" s="45" t="n">
        <v>4</v>
      </c>
      <c r="E52" s="45" t="n">
        <v>2</v>
      </c>
      <c r="F52" s="45" t="n">
        <v>0</v>
      </c>
      <c r="G52" s="45" t="n">
        <v>0</v>
      </c>
      <c r="H52" s="45" t="n">
        <v>0</v>
      </c>
      <c r="I52" s="45" t="n">
        <v>0</v>
      </c>
      <c r="J52" s="45" t="n">
        <v>0</v>
      </c>
      <c r="K52" s="68" t="n">
        <v>1.3</v>
      </c>
      <c r="L52" s="68" t="n">
        <v>1</v>
      </c>
      <c r="M52" s="68" t="n">
        <v>0.08</v>
      </c>
      <c r="N52" s="68" t="n">
        <v>1.82</v>
      </c>
      <c r="O52" s="68" t="n">
        <v>0</v>
      </c>
      <c r="P52" s="68" t="n">
        <v>0</v>
      </c>
      <c r="Q52" s="68" t="n">
        <v>0</v>
      </c>
      <c r="R52" s="68" t="n">
        <v>0</v>
      </c>
      <c r="S52" s="68" t="n">
        <v>0</v>
      </c>
      <c r="T52" s="45" t="n">
        <v>0</v>
      </c>
      <c r="U52" s="45" t="n">
        <v>0</v>
      </c>
      <c r="V52" s="45" t="n">
        <v>0</v>
      </c>
      <c r="W52" s="45" t="n">
        <v>0</v>
      </c>
    </row>
    <row r="53">
      <c r="A53" s="58" t="n">
        <v>1893</v>
      </c>
      <c r="B53" s="45" t="n">
        <v>0</v>
      </c>
      <c r="C53" s="45" t="n">
        <v>0</v>
      </c>
      <c r="D53" s="45" t="n">
        <v>0</v>
      </c>
      <c r="E53" s="45" t="n">
        <v>0</v>
      </c>
      <c r="F53" s="45" t="n">
        <v>0</v>
      </c>
      <c r="G53" s="45" t="n">
        <v>0</v>
      </c>
      <c r="H53" s="45" t="n">
        <v>0</v>
      </c>
      <c r="I53" s="45" t="n">
        <v>0</v>
      </c>
      <c r="J53" s="45" t="n">
        <v>0</v>
      </c>
      <c r="K53" s="68" t="n">
        <v>1.3</v>
      </c>
      <c r="L53" s="68" t="n">
        <v>1</v>
      </c>
      <c r="M53" s="68" t="n">
        <v>0.08</v>
      </c>
      <c r="N53" s="68" t="n">
        <v>1.83</v>
      </c>
      <c r="O53" s="68" t="n">
        <v>0.3</v>
      </c>
      <c r="P53" s="68" t="n">
        <v>0</v>
      </c>
      <c r="Q53" s="68" t="n">
        <v>0</v>
      </c>
      <c r="R53" s="68" t="n">
        <v>0</v>
      </c>
      <c r="S53" s="68" t="n">
        <v>0</v>
      </c>
      <c r="T53" s="45" t="n">
        <v>0</v>
      </c>
      <c r="U53" s="45" t="n">
        <v>0</v>
      </c>
      <c r="V53" s="45" t="n">
        <v>0</v>
      </c>
      <c r="W53" s="45" t="n">
        <v>0</v>
      </c>
    </row>
    <row r="54">
      <c r="A54" s="58" t="n">
        <v>1894</v>
      </c>
      <c r="B54" s="45" t="n">
        <v>0</v>
      </c>
      <c r="C54" s="45" t="n">
        <v>0</v>
      </c>
      <c r="D54" s="45" t="n">
        <v>0</v>
      </c>
      <c r="E54" s="45" t="n">
        <v>2</v>
      </c>
      <c r="F54" s="45" t="n">
        <v>2</v>
      </c>
      <c r="G54" s="45" t="n">
        <v>0</v>
      </c>
      <c r="H54" s="45" t="n">
        <v>0</v>
      </c>
      <c r="I54" s="45" t="n">
        <v>0</v>
      </c>
      <c r="J54" s="45" t="n">
        <v>0</v>
      </c>
      <c r="K54" s="68" t="n">
        <v>1.3</v>
      </c>
      <c r="L54" s="68" t="n">
        <v>1</v>
      </c>
      <c r="M54" s="68" t="n">
        <v>0.08</v>
      </c>
      <c r="N54" s="68" t="n">
        <v>1.84</v>
      </c>
      <c r="O54" s="68" t="n">
        <v>0.307</v>
      </c>
      <c r="P54" s="68" t="n">
        <v>0</v>
      </c>
      <c r="Q54" s="68" t="n">
        <v>0</v>
      </c>
      <c r="R54" s="68" t="n">
        <v>0</v>
      </c>
      <c r="S54" s="68" t="n">
        <v>0</v>
      </c>
      <c r="T54" s="45" t="n">
        <v>0</v>
      </c>
      <c r="U54" s="45" t="n">
        <v>0</v>
      </c>
      <c r="V54" s="45" t="n">
        <v>0</v>
      </c>
      <c r="W54" s="45" t="n">
        <v>0</v>
      </c>
    </row>
    <row r="55">
      <c r="A55" s="58" t="n">
        <v>1895</v>
      </c>
      <c r="B55" s="45" t="n">
        <v>0</v>
      </c>
      <c r="C55" s="45" t="n">
        <v>0</v>
      </c>
      <c r="D55" s="45" t="n">
        <v>0</v>
      </c>
      <c r="E55" s="45" t="n">
        <v>0</v>
      </c>
      <c r="F55" s="45" t="n">
        <v>3</v>
      </c>
      <c r="G55" s="45" t="n">
        <v>0</v>
      </c>
      <c r="H55" s="45" t="n">
        <v>0</v>
      </c>
      <c r="I55" s="45" t="n">
        <v>0</v>
      </c>
      <c r="J55" s="45" t="n">
        <v>0</v>
      </c>
      <c r="K55" s="68" t="n">
        <v>1.3</v>
      </c>
      <c r="L55" s="68" t="n">
        <v>1</v>
      </c>
      <c r="M55" s="68" t="n">
        <v>0.08</v>
      </c>
      <c r="N55" s="68" t="n">
        <v>1.85</v>
      </c>
      <c r="O55" s="68" t="n">
        <v>0.314</v>
      </c>
      <c r="P55" s="68" t="n">
        <v>0</v>
      </c>
      <c r="Q55" s="68" t="n">
        <v>0</v>
      </c>
      <c r="R55" s="68" t="n">
        <v>0</v>
      </c>
      <c r="S55" s="68" t="n">
        <v>0</v>
      </c>
      <c r="T55" s="45" t="n">
        <v>0</v>
      </c>
      <c r="U55" s="45" t="n">
        <v>0</v>
      </c>
      <c r="V55" s="45" t="n">
        <v>0</v>
      </c>
      <c r="W55" s="45" t="n">
        <v>0</v>
      </c>
    </row>
    <row r="56">
      <c r="A56" s="58" t="n">
        <v>1896</v>
      </c>
      <c r="B56" s="45" t="n">
        <v>0</v>
      </c>
      <c r="C56" s="45" t="n">
        <v>0</v>
      </c>
      <c r="D56" s="45" t="n">
        <v>0</v>
      </c>
      <c r="E56" s="45" t="n">
        <v>2</v>
      </c>
      <c r="F56" s="45" t="n">
        <v>3</v>
      </c>
      <c r="G56" s="45" t="n">
        <v>0</v>
      </c>
      <c r="H56" s="45" t="n">
        <v>0</v>
      </c>
      <c r="I56" s="45" t="n">
        <v>0</v>
      </c>
      <c r="J56" s="45" t="n">
        <v>0</v>
      </c>
      <c r="K56" s="68" t="n">
        <v>1.3</v>
      </c>
      <c r="L56" s="68" t="n">
        <v>1</v>
      </c>
      <c r="M56" s="68" t="n">
        <v>0.08</v>
      </c>
      <c r="N56" s="68" t="n">
        <v>1.86</v>
      </c>
      <c r="O56" s="68" t="n">
        <v>0.321</v>
      </c>
      <c r="P56" s="68" t="n">
        <v>0</v>
      </c>
      <c r="Q56" s="68" t="n">
        <v>0</v>
      </c>
      <c r="R56" s="68" t="n">
        <v>0</v>
      </c>
      <c r="S56" s="68" t="n">
        <v>0</v>
      </c>
      <c r="T56" s="45" t="n">
        <v>0</v>
      </c>
      <c r="U56" s="45" t="n">
        <v>0</v>
      </c>
      <c r="V56" s="45" t="n">
        <v>0</v>
      </c>
      <c r="W56" s="45" t="n">
        <v>0</v>
      </c>
    </row>
    <row r="57">
      <c r="A57" s="58" t="n">
        <v>1897</v>
      </c>
      <c r="B57" s="45" t="n">
        <v>0</v>
      </c>
      <c r="C57" s="45" t="n">
        <v>0</v>
      </c>
      <c r="D57" s="45" t="n">
        <v>0</v>
      </c>
      <c r="E57" s="45" t="n">
        <v>0</v>
      </c>
      <c r="F57" s="45" t="n">
        <v>3</v>
      </c>
      <c r="G57" s="45" t="n">
        <v>0</v>
      </c>
      <c r="H57" s="45" t="n">
        <v>0</v>
      </c>
      <c r="I57" s="45" t="n">
        <v>0</v>
      </c>
      <c r="J57" s="45" t="n">
        <v>0</v>
      </c>
      <c r="K57" s="68" t="n">
        <v>1.3</v>
      </c>
      <c r="L57" s="68" t="n">
        <v>1</v>
      </c>
      <c r="M57" s="68" t="n">
        <v>0.08</v>
      </c>
      <c r="N57" s="68" t="n">
        <v>1.87</v>
      </c>
      <c r="O57" s="68" t="n">
        <v>0.329</v>
      </c>
      <c r="P57" s="68" t="n">
        <v>2.5</v>
      </c>
      <c r="Q57" s="68" t="n">
        <v>0</v>
      </c>
      <c r="R57" s="68" t="n">
        <v>0</v>
      </c>
      <c r="S57" s="68" t="n">
        <v>0</v>
      </c>
      <c r="T57" s="45" t="n">
        <v>0</v>
      </c>
      <c r="U57" s="45" t="n">
        <v>0</v>
      </c>
      <c r="V57" s="45" t="n">
        <v>0</v>
      </c>
      <c r="W57" s="45" t="n">
        <v>0</v>
      </c>
    </row>
    <row r="58">
      <c r="A58" s="58" t="n">
        <v>1898</v>
      </c>
      <c r="B58" s="45" t="n">
        <v>0</v>
      </c>
      <c r="C58" s="45" t="n">
        <v>0</v>
      </c>
      <c r="D58" s="45" t="n">
        <v>0</v>
      </c>
      <c r="E58" s="45" t="n">
        <v>0</v>
      </c>
      <c r="F58" s="45" t="n">
        <v>4</v>
      </c>
      <c r="G58" s="45" t="n">
        <v>2</v>
      </c>
      <c r="H58" s="45" t="n">
        <v>0</v>
      </c>
      <c r="I58" s="45" t="n">
        <v>0</v>
      </c>
      <c r="J58" s="45" t="n">
        <v>0</v>
      </c>
      <c r="K58" s="68" t="n">
        <v>1.3</v>
      </c>
      <c r="L58" s="68" t="n">
        <v>1</v>
      </c>
      <c r="M58" s="68" t="n">
        <v>0.08</v>
      </c>
      <c r="N58" s="68" t="n">
        <v>1.88</v>
      </c>
      <c r="O58" s="68" t="n">
        <v>0.336</v>
      </c>
      <c r="P58" s="68" t="n">
        <v>2.625</v>
      </c>
      <c r="Q58" s="68" t="n">
        <v>0</v>
      </c>
      <c r="R58" s="68" t="n">
        <v>0</v>
      </c>
      <c r="S58" s="68" t="n">
        <v>0</v>
      </c>
      <c r="T58" s="45" t="n">
        <v>0</v>
      </c>
      <c r="U58" s="45" t="n">
        <v>0</v>
      </c>
      <c r="V58" s="45" t="n">
        <v>0</v>
      </c>
      <c r="W58" s="45" t="n">
        <v>0</v>
      </c>
    </row>
    <row r="59">
      <c r="A59" s="58" t="n">
        <v>1899</v>
      </c>
      <c r="B59" s="45" t="n">
        <v>0</v>
      </c>
      <c r="C59" s="45" t="n">
        <v>0</v>
      </c>
      <c r="D59" s="45" t="n">
        <v>0</v>
      </c>
      <c r="E59" s="45" t="n">
        <v>0</v>
      </c>
      <c r="F59" s="45" t="n">
        <v>4</v>
      </c>
      <c r="G59" s="45" t="n">
        <v>2</v>
      </c>
      <c r="H59" s="45" t="n">
        <v>0</v>
      </c>
      <c r="I59" s="45" t="n">
        <v>0</v>
      </c>
      <c r="J59" s="45" t="n">
        <v>0</v>
      </c>
      <c r="K59" s="68" t="n">
        <v>1.3</v>
      </c>
      <c r="L59" s="68" t="n">
        <v>1</v>
      </c>
      <c r="M59" s="68" t="n">
        <v>0.08</v>
      </c>
      <c r="N59" s="68" t="n">
        <v>1.89</v>
      </c>
      <c r="O59" s="68" t="n">
        <v>0.343</v>
      </c>
      <c r="P59" s="68" t="n">
        <v>2.75</v>
      </c>
      <c r="Q59" s="68" t="n">
        <v>0</v>
      </c>
      <c r="R59" s="68" t="n">
        <v>0.2</v>
      </c>
      <c r="S59" s="68" t="n">
        <v>0</v>
      </c>
      <c r="T59" s="45" t="n">
        <v>0</v>
      </c>
      <c r="U59" s="45" t="n">
        <v>0</v>
      </c>
      <c r="V59" s="45" t="n">
        <v>0</v>
      </c>
      <c r="W59" s="45" t="n">
        <v>0</v>
      </c>
    </row>
    <row r="60">
      <c r="A60" s="58" t="n">
        <v>1900</v>
      </c>
      <c r="B60" s="45" t="n">
        <v>0</v>
      </c>
      <c r="C60" s="45" t="n">
        <v>0</v>
      </c>
      <c r="D60" s="45" t="n">
        <v>0</v>
      </c>
      <c r="E60" s="45" t="n">
        <v>0</v>
      </c>
      <c r="F60" s="45" t="n">
        <v>3</v>
      </c>
      <c r="G60" s="45" t="n">
        <v>0</v>
      </c>
      <c r="H60" s="45" t="n">
        <v>0</v>
      </c>
      <c r="I60" s="45" t="n">
        <v>2</v>
      </c>
      <c r="J60" s="45" t="n">
        <v>0</v>
      </c>
      <c r="K60" s="68" t="n">
        <v>1.3</v>
      </c>
      <c r="L60" s="68" t="n">
        <v>1</v>
      </c>
      <c r="M60" s="68" t="n">
        <v>0.08</v>
      </c>
      <c r="N60" s="68" t="n">
        <v>1.9</v>
      </c>
      <c r="O60" s="68" t="n">
        <v>0.35</v>
      </c>
      <c r="P60" s="68" t="n">
        <v>2.875</v>
      </c>
      <c r="Q60" s="68" t="n">
        <v>0</v>
      </c>
      <c r="R60" s="68" t="n">
        <v>0.218</v>
      </c>
      <c r="S60" s="68" t="n">
        <v>0</v>
      </c>
      <c r="T60" s="45" t="n">
        <v>0</v>
      </c>
      <c r="U60" s="45" t="n">
        <v>0</v>
      </c>
      <c r="V60" s="45" t="n">
        <v>0</v>
      </c>
      <c r="W60" s="45" t="n">
        <v>0</v>
      </c>
    </row>
    <row r="61">
      <c r="A61" s="58" t="n">
        <v>1901</v>
      </c>
      <c r="B61" s="45" t="n">
        <v>0</v>
      </c>
      <c r="C61" s="45" t="n">
        <v>0</v>
      </c>
      <c r="D61" s="45" t="n">
        <v>0</v>
      </c>
      <c r="E61" s="45" t="n">
        <v>0</v>
      </c>
      <c r="F61" s="45" t="n">
        <v>3</v>
      </c>
      <c r="G61" s="45" t="n">
        <v>2</v>
      </c>
      <c r="H61" s="45" t="n">
        <v>0</v>
      </c>
      <c r="I61" s="45" t="n">
        <v>0</v>
      </c>
      <c r="J61" s="45" t="n">
        <v>0</v>
      </c>
      <c r="K61" s="68" t="n">
        <v>1.3</v>
      </c>
      <c r="L61" s="68" t="n">
        <v>1</v>
      </c>
      <c r="M61" s="68" t="n">
        <v>0.08</v>
      </c>
      <c r="N61" s="68" t="n">
        <v>1.938</v>
      </c>
      <c r="O61" s="68" t="n">
        <v>0.37</v>
      </c>
      <c r="P61" s="68" t="n">
        <v>3</v>
      </c>
      <c r="Q61" s="68" t="n">
        <v>0</v>
      </c>
      <c r="R61" s="68" t="n">
        <v>0.236</v>
      </c>
      <c r="S61" s="68" t="n">
        <v>0</v>
      </c>
      <c r="T61" s="45" t="n">
        <v>0</v>
      </c>
      <c r="U61" s="45" t="n">
        <v>0</v>
      </c>
      <c r="V61" s="45" t="n">
        <v>0</v>
      </c>
      <c r="W61" s="45" t="n">
        <v>0</v>
      </c>
    </row>
    <row r="62">
      <c r="A62" s="58" t="n">
        <v>1902</v>
      </c>
      <c r="B62" s="45" t="n">
        <v>0</v>
      </c>
      <c r="C62" s="45" t="n">
        <v>0</v>
      </c>
      <c r="D62" s="45" t="n">
        <v>0</v>
      </c>
      <c r="E62" s="45" t="n">
        <v>0</v>
      </c>
      <c r="F62" s="45" t="n">
        <v>3</v>
      </c>
      <c r="G62" s="45" t="n">
        <v>0</v>
      </c>
      <c r="H62" s="45" t="n">
        <v>0</v>
      </c>
      <c r="I62" s="45" t="n">
        <v>2</v>
      </c>
      <c r="J62" s="45" t="n">
        <v>0</v>
      </c>
      <c r="K62" s="68" t="n">
        <v>1.3</v>
      </c>
      <c r="L62" s="68" t="n">
        <v>1</v>
      </c>
      <c r="M62" s="68" t="n">
        <v>0.08</v>
      </c>
      <c r="N62" s="68" t="n">
        <v>1.977</v>
      </c>
      <c r="O62" s="68" t="n">
        <v>0.39</v>
      </c>
      <c r="P62" s="68" t="n">
        <v>3.125</v>
      </c>
      <c r="Q62" s="68" t="n">
        <v>6</v>
      </c>
      <c r="R62" s="68" t="n">
        <v>0.255</v>
      </c>
      <c r="S62" s="68" t="n">
        <v>0</v>
      </c>
      <c r="T62" s="45" t="n">
        <v>0</v>
      </c>
      <c r="U62" s="45" t="n">
        <v>0</v>
      </c>
      <c r="V62" s="45" t="n">
        <v>0</v>
      </c>
      <c r="W62" s="45" t="n">
        <v>0</v>
      </c>
    </row>
    <row r="63">
      <c r="A63" s="58" t="n">
        <v>1903</v>
      </c>
      <c r="B63" s="45" t="n">
        <v>0</v>
      </c>
      <c r="C63" s="45" t="n">
        <v>0</v>
      </c>
      <c r="D63" s="45" t="n">
        <v>0</v>
      </c>
      <c r="E63" s="45" t="n">
        <v>0</v>
      </c>
      <c r="F63" s="45" t="n">
        <v>3</v>
      </c>
      <c r="G63" s="45" t="n">
        <v>1</v>
      </c>
      <c r="H63" s="45" t="n">
        <v>1</v>
      </c>
      <c r="I63" s="45" t="n">
        <v>0</v>
      </c>
      <c r="J63" s="45" t="n">
        <v>0</v>
      </c>
      <c r="K63" s="68" t="n">
        <v>1.3</v>
      </c>
      <c r="L63" s="68" t="n">
        <v>1</v>
      </c>
      <c r="M63" s="68" t="n">
        <v>0.08</v>
      </c>
      <c r="N63" s="68" t="n">
        <v>2.015</v>
      </c>
      <c r="O63" s="68" t="n">
        <v>0.41</v>
      </c>
      <c r="P63" s="68" t="n">
        <v>3.25</v>
      </c>
      <c r="Q63" s="68" t="n">
        <v>6.5</v>
      </c>
      <c r="R63" s="68" t="n">
        <v>0.273</v>
      </c>
      <c r="S63" s="68" t="n">
        <v>0</v>
      </c>
      <c r="T63" s="45" t="n">
        <v>0</v>
      </c>
      <c r="U63" s="45" t="n">
        <v>0</v>
      </c>
      <c r="V63" s="45" t="n">
        <v>0</v>
      </c>
      <c r="W63" s="45" t="n">
        <v>0</v>
      </c>
    </row>
    <row r="64">
      <c r="A64" s="58" t="n">
        <v>1904</v>
      </c>
      <c r="B64" s="45" t="n">
        <v>0</v>
      </c>
      <c r="C64" s="45" t="n">
        <v>0</v>
      </c>
      <c r="D64" s="45" t="n">
        <v>0</v>
      </c>
      <c r="E64" s="45" t="n">
        <v>0</v>
      </c>
      <c r="F64" s="45" t="n">
        <v>3</v>
      </c>
      <c r="G64" s="45" t="n">
        <v>0</v>
      </c>
      <c r="H64" s="45" t="n">
        <v>0</v>
      </c>
      <c r="I64" s="45" t="n">
        <v>2</v>
      </c>
      <c r="J64" s="45" t="n">
        <v>0</v>
      </c>
      <c r="K64" s="68" t="n">
        <v>1.3</v>
      </c>
      <c r="L64" s="68" t="n">
        <v>1</v>
      </c>
      <c r="M64" s="68" t="n">
        <v>0.08</v>
      </c>
      <c r="N64" s="68" t="n">
        <v>2.054</v>
      </c>
      <c r="O64" s="68" t="n">
        <v>0.43</v>
      </c>
      <c r="P64" s="68" t="n">
        <v>3.375</v>
      </c>
      <c r="Q64" s="68" t="n">
        <v>7</v>
      </c>
      <c r="R64" s="68" t="n">
        <v>0.291</v>
      </c>
      <c r="S64" s="68" t="n">
        <v>0</v>
      </c>
      <c r="T64" s="45" t="n">
        <v>0</v>
      </c>
      <c r="U64" s="45" t="n">
        <v>0</v>
      </c>
      <c r="V64" s="45" t="n">
        <v>0</v>
      </c>
      <c r="W64" s="45" t="n">
        <v>0</v>
      </c>
    </row>
    <row r="65">
      <c r="A65" s="58" t="n">
        <v>1905</v>
      </c>
      <c r="B65" s="45" t="n">
        <v>0</v>
      </c>
      <c r="C65" s="45" t="n">
        <v>0</v>
      </c>
      <c r="D65" s="45" t="n">
        <v>0</v>
      </c>
      <c r="E65" s="45" t="n">
        <v>0</v>
      </c>
      <c r="F65" s="45" t="n">
        <v>3</v>
      </c>
      <c r="G65" s="45" t="n">
        <v>1</v>
      </c>
      <c r="H65" s="45" t="n">
        <v>1</v>
      </c>
      <c r="I65" s="45" t="n">
        <v>0</v>
      </c>
      <c r="J65" s="45" t="n">
        <v>0</v>
      </c>
      <c r="K65" s="68" t="n">
        <v>1.3</v>
      </c>
      <c r="L65" s="68" t="n">
        <v>1</v>
      </c>
      <c r="M65" s="68" t="n">
        <v>0.08</v>
      </c>
      <c r="N65" s="68" t="n">
        <v>2.092</v>
      </c>
      <c r="O65" s="68" t="n">
        <v>0.45</v>
      </c>
      <c r="P65" s="68" t="n">
        <v>3.5</v>
      </c>
      <c r="Q65" s="68" t="n">
        <v>7.5</v>
      </c>
      <c r="R65" s="68" t="n">
        <v>0.309</v>
      </c>
      <c r="S65" s="68" t="n">
        <v>0</v>
      </c>
      <c r="T65" s="45" t="n">
        <v>0</v>
      </c>
      <c r="U65" s="45" t="n">
        <v>0</v>
      </c>
      <c r="V65" s="45" t="n">
        <v>0</v>
      </c>
      <c r="W65" s="45" t="n">
        <v>0</v>
      </c>
    </row>
    <row r="66">
      <c r="A66" s="58" t="n">
        <v>1906</v>
      </c>
      <c r="B66" s="45" t="n">
        <v>0</v>
      </c>
      <c r="C66" s="45" t="n">
        <v>0</v>
      </c>
      <c r="D66" s="45" t="n">
        <v>0</v>
      </c>
      <c r="E66" s="45" t="n">
        <v>0</v>
      </c>
      <c r="F66" s="45" t="n">
        <v>4</v>
      </c>
      <c r="G66" s="45" t="n">
        <v>0</v>
      </c>
      <c r="H66" s="45" t="n">
        <v>1</v>
      </c>
      <c r="I66" s="45" t="n">
        <v>3</v>
      </c>
      <c r="J66" s="45" t="n">
        <v>0</v>
      </c>
      <c r="K66" s="68" t="n">
        <v>1.3</v>
      </c>
      <c r="L66" s="68" t="n">
        <v>1</v>
      </c>
      <c r="M66" s="68" t="n">
        <v>0.08</v>
      </c>
      <c r="N66" s="68" t="n">
        <v>2.131</v>
      </c>
      <c r="O66" s="68" t="n">
        <v>0.49</v>
      </c>
      <c r="P66" s="68" t="n">
        <v>3.688</v>
      </c>
      <c r="Q66" s="68" t="n">
        <v>8</v>
      </c>
      <c r="R66" s="68" t="n">
        <v>0.327</v>
      </c>
      <c r="S66" s="68" t="n">
        <v>0</v>
      </c>
      <c r="T66" s="45" t="n">
        <v>0</v>
      </c>
      <c r="U66" s="45" t="n">
        <v>1</v>
      </c>
      <c r="V66" s="45" t="n">
        <v>0</v>
      </c>
      <c r="W66" s="45" t="n">
        <v>0</v>
      </c>
    </row>
    <row r="67">
      <c r="A67" s="58" t="n">
        <v>1907</v>
      </c>
      <c r="B67" s="45" t="n">
        <v>0</v>
      </c>
      <c r="C67" s="45" t="n">
        <v>0</v>
      </c>
      <c r="D67" s="45" t="n">
        <v>0</v>
      </c>
      <c r="E67" s="45" t="n">
        <v>0</v>
      </c>
      <c r="F67" s="45" t="n">
        <v>4</v>
      </c>
      <c r="G67" s="45" t="n">
        <v>2</v>
      </c>
      <c r="H67" s="45" t="n">
        <v>1</v>
      </c>
      <c r="I67" s="45" t="n">
        <v>0</v>
      </c>
      <c r="J67" s="45" t="n">
        <v>0</v>
      </c>
      <c r="K67" s="68" t="n">
        <v>1.3</v>
      </c>
      <c r="L67" s="68" t="n">
        <v>1</v>
      </c>
      <c r="M67" s="68" t="n">
        <v>0.08</v>
      </c>
      <c r="N67" s="68" t="n">
        <v>2.169</v>
      </c>
      <c r="O67" s="68" t="n">
        <v>0.53</v>
      </c>
      <c r="P67" s="68" t="n">
        <v>3.875</v>
      </c>
      <c r="Q67" s="68" t="n">
        <v>8.75</v>
      </c>
      <c r="R67" s="68" t="n">
        <v>0.345</v>
      </c>
      <c r="S67" s="68" t="n">
        <v>0</v>
      </c>
      <c r="T67" s="45" t="n">
        <v>0</v>
      </c>
      <c r="U67" s="45" t="n">
        <v>3</v>
      </c>
      <c r="V67" s="45" t="n">
        <v>0</v>
      </c>
      <c r="W67" s="45" t="n">
        <v>0</v>
      </c>
    </row>
    <row r="68">
      <c r="A68" s="58" t="n">
        <v>1908</v>
      </c>
      <c r="B68" s="45" t="n">
        <v>0</v>
      </c>
      <c r="C68" s="45" t="n">
        <v>0</v>
      </c>
      <c r="D68" s="45" t="n">
        <v>0</v>
      </c>
      <c r="E68" s="45" t="n">
        <v>0</v>
      </c>
      <c r="F68" s="45" t="n">
        <v>4</v>
      </c>
      <c r="G68" s="45" t="n">
        <v>0</v>
      </c>
      <c r="H68" s="45" t="n">
        <v>0</v>
      </c>
      <c r="I68" s="45" t="n">
        <v>3</v>
      </c>
      <c r="J68" s="45" t="n">
        <v>0</v>
      </c>
      <c r="K68" s="68" t="n">
        <v>1.3</v>
      </c>
      <c r="L68" s="68" t="n">
        <v>1</v>
      </c>
      <c r="M68" s="68" t="n">
        <v>0.08</v>
      </c>
      <c r="N68" s="68" t="n">
        <v>2.208</v>
      </c>
      <c r="O68" s="68" t="n">
        <v>0.57</v>
      </c>
      <c r="P68" s="68" t="n">
        <v>4.062</v>
      </c>
      <c r="Q68" s="68" t="n">
        <v>9.5</v>
      </c>
      <c r="R68" s="68" t="n">
        <v>0.364</v>
      </c>
      <c r="S68" s="68" t="n">
        <v>0</v>
      </c>
      <c r="T68" s="45" t="n">
        <v>0</v>
      </c>
      <c r="U68" s="45" t="n">
        <v>5</v>
      </c>
      <c r="V68" s="45" t="n">
        <v>0</v>
      </c>
      <c r="W68" s="45" t="n">
        <v>0</v>
      </c>
    </row>
    <row r="69">
      <c r="A69" s="58" t="n">
        <v>1909</v>
      </c>
      <c r="B69" s="45" t="n">
        <v>0</v>
      </c>
      <c r="C69" s="45" t="n">
        <v>0</v>
      </c>
      <c r="D69" s="45" t="n">
        <v>0</v>
      </c>
      <c r="E69" s="45" t="n">
        <v>0</v>
      </c>
      <c r="F69" s="45" t="n">
        <v>4</v>
      </c>
      <c r="G69" s="45" t="n">
        <v>2</v>
      </c>
      <c r="H69" s="45" t="n">
        <v>1</v>
      </c>
      <c r="I69" s="45" t="n">
        <v>0</v>
      </c>
      <c r="J69" s="45" t="n">
        <v>0</v>
      </c>
      <c r="K69" s="68" t="n">
        <v>1.3</v>
      </c>
      <c r="L69" s="68" t="n">
        <v>1</v>
      </c>
      <c r="M69" s="68" t="n">
        <v>0.08</v>
      </c>
      <c r="N69" s="68" t="n">
        <v>2.246</v>
      </c>
      <c r="O69" s="68" t="n">
        <v>0.61</v>
      </c>
      <c r="P69" s="68" t="n">
        <v>4.25</v>
      </c>
      <c r="Q69" s="68" t="n">
        <v>10.25</v>
      </c>
      <c r="R69" s="68" t="n">
        <v>0.382</v>
      </c>
      <c r="S69" s="68" t="n">
        <v>0</v>
      </c>
      <c r="T69" s="45" t="n">
        <v>0</v>
      </c>
      <c r="U69" s="45" t="n">
        <v>8</v>
      </c>
      <c r="V69" s="45" t="n">
        <v>0</v>
      </c>
      <c r="W69" s="45" t="n">
        <v>4</v>
      </c>
    </row>
    <row r="70">
      <c r="A70" s="58" t="n">
        <v>1910</v>
      </c>
      <c r="B70" s="45" t="n">
        <v>0</v>
      </c>
      <c r="C70" s="45" t="n">
        <v>0</v>
      </c>
      <c r="D70" s="45" t="n">
        <v>0</v>
      </c>
      <c r="E70" s="45" t="n">
        <v>0</v>
      </c>
      <c r="F70" s="45" t="n">
        <v>4</v>
      </c>
      <c r="G70" s="45" t="n">
        <v>0</v>
      </c>
      <c r="H70" s="45" t="n">
        <v>1</v>
      </c>
      <c r="I70" s="45" t="n">
        <v>4</v>
      </c>
      <c r="J70" s="45" t="n">
        <v>0</v>
      </c>
      <c r="K70" s="68" t="n">
        <v>1.3</v>
      </c>
      <c r="L70" s="68" t="n">
        <v>1</v>
      </c>
      <c r="M70" s="68" t="n">
        <v>0.08</v>
      </c>
      <c r="N70" s="68" t="n">
        <v>2.285</v>
      </c>
      <c r="O70" s="68" t="n">
        <v>0.65</v>
      </c>
      <c r="P70" s="68" t="n">
        <v>4.438</v>
      </c>
      <c r="Q70" s="68" t="n">
        <v>11</v>
      </c>
      <c r="R70" s="68" t="n">
        <v>0.4</v>
      </c>
      <c r="S70" s="68" t="n">
        <v>0</v>
      </c>
      <c r="T70" s="45" t="n">
        <v>2</v>
      </c>
      <c r="U70" s="45" t="n">
        <v>10</v>
      </c>
      <c r="V70" s="45" t="n">
        <v>4</v>
      </c>
      <c r="W70" s="45" t="n">
        <v>8</v>
      </c>
    </row>
    <row r="71">
      <c r="A71" s="58" t="n">
        <v>1911</v>
      </c>
      <c r="B71" s="45" t="n">
        <v>0</v>
      </c>
      <c r="C71" s="45" t="n">
        <v>0</v>
      </c>
      <c r="D71" s="45" t="n">
        <v>0</v>
      </c>
      <c r="E71" s="45" t="n">
        <v>0</v>
      </c>
      <c r="F71" s="45" t="n">
        <v>4</v>
      </c>
      <c r="G71" s="45" t="n">
        <v>2</v>
      </c>
      <c r="H71" s="45" t="n">
        <v>1</v>
      </c>
      <c r="I71" s="45" t="n">
        <v>0</v>
      </c>
      <c r="J71" s="45" t="n">
        <v>0</v>
      </c>
      <c r="K71" s="68" t="n">
        <v>1.3</v>
      </c>
      <c r="L71" s="68" t="n">
        <v>1</v>
      </c>
      <c r="M71" s="68" t="n">
        <v>0.08</v>
      </c>
      <c r="N71" s="68" t="n">
        <v>2.323</v>
      </c>
      <c r="O71" s="68" t="n">
        <v>0.717</v>
      </c>
      <c r="P71" s="68" t="n">
        <v>4.625</v>
      </c>
      <c r="Q71" s="68" t="n">
        <v>12</v>
      </c>
      <c r="R71" s="68" t="n">
        <v>0.514</v>
      </c>
      <c r="S71" s="68" t="n">
        <v>0</v>
      </c>
      <c r="T71" s="45" t="n">
        <v>2</v>
      </c>
      <c r="U71" s="45" t="n">
        <v>14</v>
      </c>
      <c r="V71" s="45" t="n">
        <v>4</v>
      </c>
      <c r="W71" s="45" t="n">
        <v>8</v>
      </c>
    </row>
    <row r="72">
      <c r="A72" s="58" t="n">
        <v>1912</v>
      </c>
      <c r="B72" s="45" t="n">
        <v>0</v>
      </c>
      <c r="C72" s="45" t="n">
        <v>0</v>
      </c>
      <c r="D72" s="45" t="n">
        <v>0</v>
      </c>
      <c r="E72" s="45" t="n">
        <v>0</v>
      </c>
      <c r="F72" s="45" t="n">
        <v>4</v>
      </c>
      <c r="G72" s="45" t="n">
        <v>0</v>
      </c>
      <c r="H72" s="45" t="n">
        <v>1</v>
      </c>
      <c r="I72" s="45" t="n">
        <v>4</v>
      </c>
      <c r="J72" s="45" t="n">
        <v>0</v>
      </c>
      <c r="K72" s="68" t="n">
        <v>1.3</v>
      </c>
      <c r="L72" s="68" t="n">
        <v>1</v>
      </c>
      <c r="M72" s="68" t="n">
        <v>0.08</v>
      </c>
      <c r="N72" s="68" t="n">
        <v>2.362</v>
      </c>
      <c r="O72" s="68" t="n">
        <v>0.783</v>
      </c>
      <c r="P72" s="68" t="n">
        <v>4.812</v>
      </c>
      <c r="Q72" s="68" t="n">
        <v>13</v>
      </c>
      <c r="R72" s="68" t="n">
        <v>0.629</v>
      </c>
      <c r="S72" s="68" t="n">
        <v>0</v>
      </c>
      <c r="T72" s="45" t="n">
        <v>3</v>
      </c>
      <c r="U72" s="45" t="n">
        <v>18</v>
      </c>
      <c r="V72" s="45" t="n">
        <v>6</v>
      </c>
      <c r="W72" s="45" t="n">
        <v>12</v>
      </c>
    </row>
    <row r="73">
      <c r="A73" s="58" t="n">
        <v>1913</v>
      </c>
      <c r="B73" s="45" t="n">
        <v>0</v>
      </c>
      <c r="C73" s="45" t="n">
        <v>0</v>
      </c>
      <c r="D73" s="45" t="n">
        <v>0</v>
      </c>
      <c r="E73" s="45" t="n">
        <v>0</v>
      </c>
      <c r="F73" s="45" t="n">
        <v>4</v>
      </c>
      <c r="G73" s="45" t="n">
        <v>2</v>
      </c>
      <c r="H73" s="45" t="n">
        <v>1</v>
      </c>
      <c r="I73" s="45" t="n">
        <v>0</v>
      </c>
      <c r="J73" s="45" t="n">
        <v>0</v>
      </c>
      <c r="K73" s="68" t="n">
        <v>1.3</v>
      </c>
      <c r="L73" s="68" t="n">
        <v>1</v>
      </c>
      <c r="M73" s="68" t="n">
        <v>0.08</v>
      </c>
      <c r="N73" s="68" t="n">
        <v>2.4</v>
      </c>
      <c r="O73" s="68" t="n">
        <v>0.85</v>
      </c>
      <c r="P73" s="68" t="n">
        <v>5</v>
      </c>
      <c r="Q73" s="68" t="n">
        <v>14</v>
      </c>
      <c r="R73" s="68" t="n">
        <v>0.743</v>
      </c>
      <c r="S73" s="68" t="n">
        <v>0</v>
      </c>
      <c r="T73" s="45" t="n">
        <v>4</v>
      </c>
      <c r="U73" s="45" t="n">
        <v>22</v>
      </c>
      <c r="V73" s="45" t="n">
        <v>6</v>
      </c>
      <c r="W73" s="45" t="n">
        <v>12</v>
      </c>
    </row>
    <row r="74">
      <c r="A74" s="58" t="n">
        <v>1914</v>
      </c>
      <c r="B74" s="45" t="n">
        <v>0</v>
      </c>
      <c r="C74" s="45" t="n">
        <v>0</v>
      </c>
      <c r="D74" s="45" t="n">
        <v>0</v>
      </c>
      <c r="E74" s="45" t="n">
        <v>0</v>
      </c>
      <c r="F74" s="45" t="n">
        <v>6</v>
      </c>
      <c r="G74" s="45" t="n">
        <v>0</v>
      </c>
      <c r="H74" s="45" t="n">
        <v>1</v>
      </c>
      <c r="I74" s="45" t="n">
        <v>6</v>
      </c>
      <c r="J74" s="45" t="n">
        <v>0</v>
      </c>
      <c r="K74" s="68" t="n">
        <v>1.3</v>
      </c>
      <c r="L74" s="68" t="n">
        <v>1</v>
      </c>
      <c r="M74" s="68" t="n">
        <v>0.08</v>
      </c>
      <c r="N74" s="68" t="n">
        <v>2.7</v>
      </c>
      <c r="O74" s="68" t="n">
        <v>1.038</v>
      </c>
      <c r="P74" s="68" t="n">
        <v>5.8</v>
      </c>
      <c r="Q74" s="68" t="n">
        <v>15.5</v>
      </c>
      <c r="R74" s="68" t="n">
        <v>0.857</v>
      </c>
      <c r="S74" s="68" t="n">
        <v>0</v>
      </c>
      <c r="T74" s="45" t="n">
        <v>4</v>
      </c>
      <c r="U74" s="45" t="n">
        <v>29</v>
      </c>
      <c r="V74" s="45" t="n">
        <v>8</v>
      </c>
      <c r="W74" s="45" t="n">
        <v>17</v>
      </c>
    </row>
    <row r="75">
      <c r="A75" s="58" t="n">
        <v>1915</v>
      </c>
      <c r="B75" s="45" t="n">
        <v>0</v>
      </c>
      <c r="C75" s="45" t="n">
        <v>0</v>
      </c>
      <c r="D75" s="45" t="n">
        <v>0</v>
      </c>
      <c r="E75" s="45" t="n">
        <v>0</v>
      </c>
      <c r="F75" s="45" t="n">
        <v>10</v>
      </c>
      <c r="G75" s="45" t="n">
        <v>2</v>
      </c>
      <c r="H75" s="45" t="n">
        <v>1</v>
      </c>
      <c r="I75" s="45" t="n">
        <v>8</v>
      </c>
      <c r="J75" s="45" t="n">
        <v>0</v>
      </c>
      <c r="K75" s="68" t="n">
        <v>1.3</v>
      </c>
      <c r="L75" s="68" t="n">
        <v>1</v>
      </c>
      <c r="M75" s="68" t="n">
        <v>0.08</v>
      </c>
      <c r="N75" s="68" t="n">
        <v>3</v>
      </c>
      <c r="O75" s="68" t="n">
        <v>1.225</v>
      </c>
      <c r="P75" s="68" t="n">
        <v>6.6</v>
      </c>
      <c r="Q75" s="68" t="n">
        <v>17</v>
      </c>
      <c r="R75" s="68" t="n">
        <v>0.971</v>
      </c>
      <c r="S75" s="68" t="n">
        <v>0</v>
      </c>
      <c r="T75" s="45" t="n">
        <v>6</v>
      </c>
      <c r="U75" s="45" t="n">
        <v>33</v>
      </c>
      <c r="V75" s="45" t="n">
        <v>8</v>
      </c>
      <c r="W75" s="45" t="n">
        <v>17</v>
      </c>
    </row>
    <row r="76">
      <c r="A76" s="58" t="n">
        <v>1916</v>
      </c>
      <c r="B76" s="45" t="n">
        <v>0</v>
      </c>
      <c r="C76" s="45" t="n">
        <v>0</v>
      </c>
      <c r="D76" s="45" t="n">
        <v>0</v>
      </c>
      <c r="E76" s="45" t="n">
        <v>0</v>
      </c>
      <c r="F76" s="45" t="n">
        <v>10</v>
      </c>
      <c r="G76" s="45" t="n">
        <v>3</v>
      </c>
      <c r="H76" s="45" t="n">
        <v>1</v>
      </c>
      <c r="I76" s="45" t="n">
        <v>8</v>
      </c>
      <c r="J76" s="45" t="n">
        <v>0</v>
      </c>
      <c r="K76" s="68" t="n">
        <v>1.3</v>
      </c>
      <c r="L76" s="68" t="n">
        <v>1</v>
      </c>
      <c r="M76" s="68" t="n">
        <v>0.08</v>
      </c>
      <c r="N76" s="68" t="n">
        <v>3.3</v>
      </c>
      <c r="O76" s="68" t="n">
        <v>1.413</v>
      </c>
      <c r="P76" s="68" t="n">
        <v>7.4</v>
      </c>
      <c r="Q76" s="68" t="n">
        <v>18.5</v>
      </c>
      <c r="R76" s="68" t="n">
        <v>1.086</v>
      </c>
      <c r="S76" s="68" t="n">
        <v>0</v>
      </c>
      <c r="T76" s="45" t="n">
        <v>6</v>
      </c>
      <c r="U76" s="45" t="n">
        <v>37</v>
      </c>
      <c r="V76" s="45" t="n">
        <v>10</v>
      </c>
      <c r="W76" s="45" t="n">
        <v>21</v>
      </c>
    </row>
    <row r="77">
      <c r="A77" s="58" t="n">
        <v>1917</v>
      </c>
      <c r="B77" s="45" t="n">
        <v>0</v>
      </c>
      <c r="C77" s="45" t="n">
        <v>0</v>
      </c>
      <c r="D77" s="45" t="n">
        <v>0</v>
      </c>
      <c r="E77" s="45" t="n">
        <v>0</v>
      </c>
      <c r="F77" s="45" t="n">
        <v>10</v>
      </c>
      <c r="G77" s="45" t="n">
        <v>3</v>
      </c>
      <c r="H77" s="45" t="n">
        <v>1</v>
      </c>
      <c r="I77" s="45" t="n">
        <v>8</v>
      </c>
      <c r="J77" s="45" t="n">
        <v>0</v>
      </c>
      <c r="K77" s="68" t="n">
        <v>1.3</v>
      </c>
      <c r="L77" s="68" t="n">
        <v>1</v>
      </c>
      <c r="M77" s="68" t="n">
        <v>0.08</v>
      </c>
      <c r="N77" s="68" t="n">
        <v>3.6</v>
      </c>
      <c r="O77" s="68" t="n">
        <v>1.6</v>
      </c>
      <c r="P77" s="68" t="n">
        <v>8.199999999999999</v>
      </c>
      <c r="Q77" s="68" t="n">
        <v>20</v>
      </c>
      <c r="R77" s="68" t="n">
        <v>1.2</v>
      </c>
      <c r="S77" s="68" t="n">
        <v>0</v>
      </c>
      <c r="T77" s="45" t="n">
        <v>8</v>
      </c>
      <c r="U77" s="45" t="n">
        <v>40</v>
      </c>
      <c r="V77" s="45" t="n">
        <v>10</v>
      </c>
      <c r="W77" s="45" t="n">
        <v>21</v>
      </c>
    </row>
    <row r="78">
      <c r="A78" s="58" t="n">
        <v>1918</v>
      </c>
      <c r="B78" s="45" t="n">
        <v>0</v>
      </c>
      <c r="C78" s="45" t="n">
        <v>0</v>
      </c>
      <c r="D78" s="45" t="n">
        <v>0</v>
      </c>
      <c r="E78" s="45" t="n">
        <v>0</v>
      </c>
      <c r="F78" s="45" t="n">
        <v>8</v>
      </c>
      <c r="G78" s="45" t="n">
        <v>2</v>
      </c>
      <c r="H78" s="45" t="n">
        <v>1</v>
      </c>
      <c r="I78" s="45" t="n">
        <v>6</v>
      </c>
      <c r="J78" s="45" t="n">
        <v>0</v>
      </c>
      <c r="K78" s="68" t="n">
        <v>1.3</v>
      </c>
      <c r="L78" s="68" t="n">
        <v>1</v>
      </c>
      <c r="M78" s="68" t="n">
        <v>0.08</v>
      </c>
      <c r="N78" s="68" t="n">
        <v>3.9</v>
      </c>
      <c r="O78" s="68" t="n">
        <v>1.733</v>
      </c>
      <c r="P78" s="68" t="n">
        <v>9</v>
      </c>
      <c r="Q78" s="68" t="n">
        <v>23.333</v>
      </c>
      <c r="R78" s="68" t="n">
        <v>1.238</v>
      </c>
      <c r="S78" s="68" t="n">
        <v>0</v>
      </c>
      <c r="T78" s="45" t="n">
        <v>8</v>
      </c>
      <c r="U78" s="45" t="n">
        <v>42</v>
      </c>
      <c r="V78" s="45" t="n">
        <v>12</v>
      </c>
      <c r="W78" s="45" t="n">
        <v>24</v>
      </c>
    </row>
    <row r="79">
      <c r="A79" s="58" t="n">
        <v>1919</v>
      </c>
      <c r="B79" s="45" t="n">
        <v>0</v>
      </c>
      <c r="C79" s="45" t="n">
        <v>0</v>
      </c>
      <c r="D79" s="45" t="n">
        <v>0</v>
      </c>
      <c r="E79" s="45" t="n">
        <v>0</v>
      </c>
      <c r="F79" s="45" t="n">
        <v>2</v>
      </c>
      <c r="G79" s="45" t="n">
        <v>0</v>
      </c>
      <c r="H79" s="45" t="n">
        <v>0</v>
      </c>
      <c r="I79" s="45" t="n">
        <v>0</v>
      </c>
      <c r="J79" s="45" t="n">
        <v>0</v>
      </c>
      <c r="K79" s="68" t="n">
        <v>1.3</v>
      </c>
      <c r="L79" s="68" t="n">
        <v>1</v>
      </c>
      <c r="M79" s="68" t="n">
        <v>0.08</v>
      </c>
      <c r="N79" s="68" t="n">
        <v>4.2</v>
      </c>
      <c r="O79" s="68" t="n">
        <v>1.867</v>
      </c>
      <c r="P79" s="68" t="n">
        <v>9.143000000000001</v>
      </c>
      <c r="Q79" s="68" t="n">
        <v>26.667</v>
      </c>
      <c r="R79" s="68" t="n">
        <v>1.275</v>
      </c>
      <c r="S79" s="68" t="n">
        <v>0</v>
      </c>
      <c r="T79" s="45" t="n">
        <v>10</v>
      </c>
      <c r="U79" s="45" t="n">
        <v>42</v>
      </c>
      <c r="V79" s="45" t="n">
        <v>12</v>
      </c>
      <c r="W79" s="45" t="n">
        <v>24</v>
      </c>
    </row>
    <row r="80">
      <c r="A80" s="58" t="n">
        <v>1920</v>
      </c>
      <c r="B80" s="45" t="n">
        <v>0</v>
      </c>
      <c r="C80" s="45" t="n">
        <v>0</v>
      </c>
      <c r="D80" s="45" t="n">
        <v>0</v>
      </c>
      <c r="E80" s="45" t="n">
        <v>0</v>
      </c>
      <c r="F80" s="45" t="n">
        <v>3</v>
      </c>
      <c r="G80" s="45" t="n">
        <v>0</v>
      </c>
      <c r="H80" s="45" t="n">
        <v>0</v>
      </c>
      <c r="I80" s="45" t="n">
        <v>2</v>
      </c>
      <c r="J80" s="45" t="n">
        <v>0</v>
      </c>
      <c r="K80" s="68" t="n">
        <v>1.3</v>
      </c>
      <c r="L80" s="68" t="n">
        <v>1</v>
      </c>
      <c r="M80" s="68" t="n">
        <v>0.08</v>
      </c>
      <c r="N80" s="68" t="n">
        <v>4.5</v>
      </c>
      <c r="O80" s="68" t="n">
        <v>2</v>
      </c>
      <c r="P80" s="68" t="n">
        <v>9.286</v>
      </c>
      <c r="Q80" s="68" t="n">
        <v>30</v>
      </c>
      <c r="R80" s="68" t="n">
        <v>1.312</v>
      </c>
      <c r="S80" s="68" t="n">
        <v>0</v>
      </c>
      <c r="T80" s="45" t="n">
        <v>10</v>
      </c>
      <c r="U80" s="45" t="n">
        <v>36</v>
      </c>
      <c r="V80" s="45" t="n">
        <v>15</v>
      </c>
      <c r="W80" s="45" t="n">
        <v>21</v>
      </c>
    </row>
    <row r="81">
      <c r="A81" s="58" t="n">
        <v>1921</v>
      </c>
      <c r="B81" s="45" t="n">
        <v>0</v>
      </c>
      <c r="C81" s="45" t="n">
        <v>0</v>
      </c>
      <c r="D81" s="45" t="n">
        <v>0</v>
      </c>
      <c r="E81" s="45" t="n">
        <v>0</v>
      </c>
      <c r="F81" s="45" t="n">
        <v>3</v>
      </c>
      <c r="G81" s="45" t="n">
        <v>1</v>
      </c>
      <c r="H81" s="45" t="n">
        <v>0</v>
      </c>
      <c r="I81" s="45" t="n">
        <v>0</v>
      </c>
      <c r="J81" s="45" t="n">
        <v>0</v>
      </c>
      <c r="K81" s="68" t="n">
        <v>1.3</v>
      </c>
      <c r="L81" s="68" t="n">
        <v>1</v>
      </c>
      <c r="M81" s="68" t="n">
        <v>0.08</v>
      </c>
      <c r="N81" s="68" t="n">
        <v>4.417</v>
      </c>
      <c r="O81" s="68" t="n">
        <v>1.96</v>
      </c>
      <c r="P81" s="68" t="n">
        <v>9.429</v>
      </c>
      <c r="Q81" s="68" t="n">
        <v>29.6</v>
      </c>
      <c r="R81" s="68" t="n">
        <v>1.35</v>
      </c>
      <c r="S81" s="68" t="n">
        <v>15</v>
      </c>
      <c r="T81" s="45" t="n">
        <v>10</v>
      </c>
      <c r="U81" s="45" t="n">
        <v>30</v>
      </c>
      <c r="V81" s="45" t="n">
        <v>15</v>
      </c>
      <c r="W81" s="45" t="n">
        <v>18</v>
      </c>
    </row>
    <row r="82">
      <c r="A82" s="58" t="n">
        <v>1922</v>
      </c>
      <c r="B82" s="45" t="n">
        <v>0</v>
      </c>
      <c r="C82" s="45" t="n">
        <v>0</v>
      </c>
      <c r="D82" s="45" t="n">
        <v>0</v>
      </c>
      <c r="E82" s="45" t="n">
        <v>0</v>
      </c>
      <c r="F82" s="45" t="n">
        <v>3</v>
      </c>
      <c r="G82" s="45" t="n">
        <v>0</v>
      </c>
      <c r="H82" s="45" t="n">
        <v>0</v>
      </c>
      <c r="I82" s="45" t="n">
        <v>3</v>
      </c>
      <c r="J82" s="45" t="n">
        <v>1</v>
      </c>
      <c r="K82" s="68" t="n">
        <v>1.3</v>
      </c>
      <c r="L82" s="68" t="n">
        <v>1</v>
      </c>
      <c r="M82" s="68" t="n">
        <v>0.08</v>
      </c>
      <c r="N82" s="68" t="n">
        <v>4.333</v>
      </c>
      <c r="O82" s="68" t="n">
        <v>1.92</v>
      </c>
      <c r="P82" s="68" t="n">
        <v>9.571</v>
      </c>
      <c r="Q82" s="68" t="n">
        <v>29.2</v>
      </c>
      <c r="R82" s="68" t="n">
        <v>1.387</v>
      </c>
      <c r="S82" s="68" t="n">
        <v>16.75</v>
      </c>
      <c r="T82" s="45" t="n">
        <v>10</v>
      </c>
      <c r="U82" s="45" t="n">
        <v>24</v>
      </c>
      <c r="V82" s="45" t="n">
        <v>16</v>
      </c>
      <c r="W82" s="45" t="n">
        <v>16</v>
      </c>
    </row>
    <row r="83">
      <c r="A83" s="58" t="n">
        <v>1923</v>
      </c>
      <c r="B83" s="45" t="n">
        <v>0</v>
      </c>
      <c r="C83" s="45" t="n">
        <v>0</v>
      </c>
      <c r="D83" s="45" t="n">
        <v>0</v>
      </c>
      <c r="E83" s="45" t="n">
        <v>0</v>
      </c>
      <c r="F83" s="45" t="n">
        <v>3</v>
      </c>
      <c r="G83" s="45" t="n">
        <v>1</v>
      </c>
      <c r="H83" s="45" t="n">
        <v>0</v>
      </c>
      <c r="I83" s="45" t="n">
        <v>3</v>
      </c>
      <c r="J83" s="45" t="n">
        <v>0</v>
      </c>
      <c r="K83" s="68" t="n">
        <v>1.3</v>
      </c>
      <c r="L83" s="68" t="n">
        <v>1</v>
      </c>
      <c r="M83" s="68" t="n">
        <v>0.08</v>
      </c>
      <c r="N83" s="68" t="n">
        <v>4.25</v>
      </c>
      <c r="O83" s="68" t="n">
        <v>1.88</v>
      </c>
      <c r="P83" s="68" t="n">
        <v>9.714</v>
      </c>
      <c r="Q83" s="68" t="n">
        <v>28.8</v>
      </c>
      <c r="R83" s="68" t="n">
        <v>1.425</v>
      </c>
      <c r="S83" s="68" t="n">
        <v>18.5</v>
      </c>
      <c r="T83" s="45" t="n">
        <v>10</v>
      </c>
      <c r="U83" s="45" t="n">
        <v>24</v>
      </c>
      <c r="V83" s="45" t="n">
        <v>16</v>
      </c>
      <c r="W83" s="45" t="n">
        <v>16</v>
      </c>
    </row>
    <row r="84">
      <c r="A84" s="58" t="n">
        <v>1924</v>
      </c>
      <c r="B84" s="45" t="n">
        <v>0</v>
      </c>
      <c r="C84" s="45" t="n">
        <v>0</v>
      </c>
      <c r="D84" s="45" t="n">
        <v>0</v>
      </c>
      <c r="E84" s="45" t="n">
        <v>0</v>
      </c>
      <c r="F84" s="45" t="n">
        <v>3</v>
      </c>
      <c r="G84" s="45" t="n">
        <v>0</v>
      </c>
      <c r="H84" s="45" t="n">
        <v>0</v>
      </c>
      <c r="I84" s="45" t="n">
        <v>3</v>
      </c>
      <c r="J84" s="45" t="n">
        <v>0</v>
      </c>
      <c r="K84" s="68" t="n">
        <v>1.3</v>
      </c>
      <c r="L84" s="68" t="n">
        <v>1</v>
      </c>
      <c r="M84" s="68" t="n">
        <v>0.08</v>
      </c>
      <c r="N84" s="68" t="n">
        <v>4.167</v>
      </c>
      <c r="O84" s="68" t="n">
        <v>1.84</v>
      </c>
      <c r="P84" s="68" t="n">
        <v>9.856999999999999</v>
      </c>
      <c r="Q84" s="68" t="n">
        <v>28.4</v>
      </c>
      <c r="R84" s="68" t="n">
        <v>1.462</v>
      </c>
      <c r="S84" s="68" t="n">
        <v>20.25</v>
      </c>
      <c r="T84" s="45" t="n">
        <v>10</v>
      </c>
      <c r="U84" s="45" t="n">
        <v>24</v>
      </c>
      <c r="V84" s="45" t="n">
        <v>16</v>
      </c>
      <c r="W84" s="45" t="n">
        <v>16</v>
      </c>
    </row>
    <row r="85">
      <c r="A85" s="58" t="n">
        <v>1925</v>
      </c>
      <c r="B85" s="45" t="n">
        <v>0</v>
      </c>
      <c r="C85" s="45" t="n">
        <v>0</v>
      </c>
      <c r="D85" s="45" t="n">
        <v>0</v>
      </c>
      <c r="E85" s="45" t="n">
        <v>0</v>
      </c>
      <c r="F85" s="45" t="n">
        <v>3</v>
      </c>
      <c r="G85" s="45" t="n">
        <v>1</v>
      </c>
      <c r="H85" s="45" t="n">
        <v>1</v>
      </c>
      <c r="I85" s="45" t="n">
        <v>3</v>
      </c>
      <c r="J85" s="45" t="n">
        <v>1</v>
      </c>
      <c r="K85" s="68" t="n">
        <v>1.3</v>
      </c>
      <c r="L85" s="68" t="n">
        <v>1</v>
      </c>
      <c r="M85" s="68" t="n">
        <v>0.08</v>
      </c>
      <c r="N85" s="68" t="n">
        <v>4.083</v>
      </c>
      <c r="O85" s="68" t="n">
        <v>1.8</v>
      </c>
      <c r="P85" s="68" t="n">
        <v>10</v>
      </c>
      <c r="Q85" s="68" t="n">
        <v>28</v>
      </c>
      <c r="R85" s="68" t="n">
        <v>1.5</v>
      </c>
      <c r="S85" s="68" t="n">
        <v>22</v>
      </c>
      <c r="T85" s="45" t="n">
        <v>10</v>
      </c>
      <c r="U85" s="45" t="n">
        <v>24</v>
      </c>
      <c r="V85" s="45" t="n">
        <v>18</v>
      </c>
      <c r="W85" s="45" t="n">
        <v>16</v>
      </c>
    </row>
    <row r="86">
      <c r="A86" s="58" t="n">
        <v>1926</v>
      </c>
      <c r="B86" s="45" t="n">
        <v>0</v>
      </c>
      <c r="C86" s="45" t="n">
        <v>0</v>
      </c>
      <c r="D86" s="45" t="n">
        <v>0</v>
      </c>
      <c r="E86" s="45" t="n">
        <v>0</v>
      </c>
      <c r="F86" s="45" t="n">
        <v>3</v>
      </c>
      <c r="G86" s="45" t="n">
        <v>0</v>
      </c>
      <c r="H86" s="45" t="n">
        <v>0</v>
      </c>
      <c r="I86" s="45" t="n">
        <v>3</v>
      </c>
      <c r="J86" s="45" t="n">
        <v>0</v>
      </c>
      <c r="K86" s="68" t="n">
        <v>1.3</v>
      </c>
      <c r="L86" s="68" t="n">
        <v>1</v>
      </c>
      <c r="M86" s="68" t="n">
        <v>0.08</v>
      </c>
      <c r="N86" s="68" t="n">
        <v>4</v>
      </c>
      <c r="O86" s="68" t="n">
        <v>1.771</v>
      </c>
      <c r="P86" s="68" t="n">
        <v>9.856999999999999</v>
      </c>
      <c r="Q86" s="68" t="n">
        <v>27.571</v>
      </c>
      <c r="R86" s="68" t="n">
        <v>1.486</v>
      </c>
      <c r="S86" s="68" t="n">
        <v>23</v>
      </c>
      <c r="T86" s="45" t="n">
        <v>10</v>
      </c>
      <c r="U86" s="45" t="n">
        <v>24</v>
      </c>
      <c r="V86" s="45" t="n">
        <v>18</v>
      </c>
      <c r="W86" s="45" t="n">
        <v>16</v>
      </c>
    </row>
    <row r="87">
      <c r="A87" s="58" t="n">
        <v>1927</v>
      </c>
      <c r="B87" s="45" t="n">
        <v>0</v>
      </c>
      <c r="C87" s="45" t="n">
        <v>0</v>
      </c>
      <c r="D87" s="45" t="n">
        <v>0</v>
      </c>
      <c r="E87" s="45" t="n">
        <v>0</v>
      </c>
      <c r="F87" s="45" t="n">
        <v>3</v>
      </c>
      <c r="G87" s="45" t="n">
        <v>1</v>
      </c>
      <c r="H87" s="45" t="n">
        <v>1</v>
      </c>
      <c r="I87" s="45" t="n">
        <v>3</v>
      </c>
      <c r="J87" s="45" t="n">
        <v>0</v>
      </c>
      <c r="K87" s="68" t="n">
        <v>1.3</v>
      </c>
      <c r="L87" s="68" t="n">
        <v>1</v>
      </c>
      <c r="M87" s="68" t="n">
        <v>0.08</v>
      </c>
      <c r="N87" s="68" t="n">
        <v>3.917</v>
      </c>
      <c r="O87" s="68" t="n">
        <v>1.743</v>
      </c>
      <c r="P87" s="68" t="n">
        <v>9.714</v>
      </c>
      <c r="Q87" s="68" t="n">
        <v>27.143</v>
      </c>
      <c r="R87" s="68" t="n">
        <v>1.471</v>
      </c>
      <c r="S87" s="68" t="n">
        <v>24</v>
      </c>
      <c r="T87" s="45" t="n">
        <v>10</v>
      </c>
      <c r="U87" s="45" t="n">
        <v>24</v>
      </c>
      <c r="V87" s="45" t="n">
        <v>19</v>
      </c>
      <c r="W87" s="45" t="n">
        <v>16</v>
      </c>
    </row>
    <row r="88">
      <c r="A88" s="58" t="n">
        <v>1928</v>
      </c>
      <c r="B88" s="45" t="n">
        <v>0</v>
      </c>
      <c r="C88" s="45" t="n">
        <v>0</v>
      </c>
      <c r="D88" s="45" t="n">
        <v>0</v>
      </c>
      <c r="E88" s="45" t="n">
        <v>0</v>
      </c>
      <c r="F88" s="45" t="n">
        <v>3</v>
      </c>
      <c r="G88" s="45" t="n">
        <v>0</v>
      </c>
      <c r="H88" s="45" t="n">
        <v>1</v>
      </c>
      <c r="I88" s="45" t="n">
        <v>3</v>
      </c>
      <c r="J88" s="45" t="n">
        <v>1</v>
      </c>
      <c r="K88" s="68" t="n">
        <v>1.3</v>
      </c>
      <c r="L88" s="68" t="n">
        <v>1</v>
      </c>
      <c r="M88" s="68" t="n">
        <v>0.08</v>
      </c>
      <c r="N88" s="68" t="n">
        <v>3.833</v>
      </c>
      <c r="O88" s="68" t="n">
        <v>1.714</v>
      </c>
      <c r="P88" s="68" t="n">
        <v>9.571</v>
      </c>
      <c r="Q88" s="68" t="n">
        <v>26.714</v>
      </c>
      <c r="R88" s="68" t="n">
        <v>1.457</v>
      </c>
      <c r="S88" s="68" t="n">
        <v>25</v>
      </c>
      <c r="T88" s="45" t="n">
        <v>10</v>
      </c>
      <c r="U88" s="45" t="n">
        <v>24</v>
      </c>
      <c r="V88" s="45" t="n">
        <v>20</v>
      </c>
      <c r="W88" s="45" t="n">
        <v>16</v>
      </c>
    </row>
    <row r="89">
      <c r="A89" s="58" t="n">
        <v>1929</v>
      </c>
      <c r="B89" s="45" t="n">
        <v>0</v>
      </c>
      <c r="C89" s="45" t="n">
        <v>0</v>
      </c>
      <c r="D89" s="45" t="n">
        <v>0</v>
      </c>
      <c r="E89" s="45" t="n">
        <v>0</v>
      </c>
      <c r="F89" s="45" t="n">
        <v>3</v>
      </c>
      <c r="G89" s="45" t="n">
        <v>1</v>
      </c>
      <c r="H89" s="45" t="n">
        <v>1</v>
      </c>
      <c r="I89" s="45" t="n">
        <v>3</v>
      </c>
      <c r="J89" s="45" t="n">
        <v>0</v>
      </c>
      <c r="K89" s="68" t="n">
        <v>1.3</v>
      </c>
      <c r="L89" s="68" t="n">
        <v>1</v>
      </c>
      <c r="M89" s="68" t="n">
        <v>0.08</v>
      </c>
      <c r="N89" s="68" t="n">
        <v>3.75</v>
      </c>
      <c r="O89" s="68" t="n">
        <v>1.686</v>
      </c>
      <c r="P89" s="68" t="n">
        <v>9.429</v>
      </c>
      <c r="Q89" s="68" t="n">
        <v>26.286</v>
      </c>
      <c r="R89" s="68" t="n">
        <v>1.443</v>
      </c>
      <c r="S89" s="68" t="n">
        <v>25</v>
      </c>
      <c r="T89" s="45" t="n">
        <v>10</v>
      </c>
      <c r="U89" s="45" t="n">
        <v>24</v>
      </c>
      <c r="V89" s="45" t="n">
        <v>21</v>
      </c>
      <c r="W89" s="45" t="n">
        <v>16</v>
      </c>
    </row>
    <row r="90">
      <c r="A90" s="58" t="n">
        <v>1930</v>
      </c>
      <c r="B90" s="45" t="n">
        <v>0</v>
      </c>
      <c r="C90" s="45" t="n">
        <v>0</v>
      </c>
      <c r="D90" s="45" t="n">
        <v>0</v>
      </c>
      <c r="E90" s="45" t="n">
        <v>0</v>
      </c>
      <c r="F90" s="45" t="n">
        <v>4</v>
      </c>
      <c r="G90" s="45" t="n">
        <v>2</v>
      </c>
      <c r="H90" s="45" t="n">
        <v>0</v>
      </c>
      <c r="I90" s="45" t="n">
        <v>3</v>
      </c>
      <c r="J90" s="45" t="n">
        <v>0</v>
      </c>
      <c r="K90" s="68" t="n">
        <v>1.3</v>
      </c>
      <c r="L90" s="68" t="n">
        <v>1</v>
      </c>
      <c r="M90" s="68" t="n">
        <v>0.08</v>
      </c>
      <c r="N90" s="68" t="n">
        <v>3.667</v>
      </c>
      <c r="O90" s="68" t="n">
        <v>1.657</v>
      </c>
      <c r="P90" s="68" t="n">
        <v>9.286</v>
      </c>
      <c r="Q90" s="68" t="n">
        <v>25.857</v>
      </c>
      <c r="R90" s="68" t="n">
        <v>1.429</v>
      </c>
      <c r="S90" s="68" t="n">
        <v>25</v>
      </c>
      <c r="T90" s="45" t="n">
        <v>10</v>
      </c>
      <c r="U90" s="45" t="n">
        <v>24</v>
      </c>
      <c r="V90" s="45" t="n">
        <v>21</v>
      </c>
      <c r="W90" s="45" t="n">
        <v>16</v>
      </c>
    </row>
    <row r="91">
      <c r="A91" s="58" t="n">
        <v>1931</v>
      </c>
      <c r="B91" s="45" t="n">
        <v>0</v>
      </c>
      <c r="C91" s="45" t="n">
        <v>0</v>
      </c>
      <c r="D91" s="45" t="n">
        <v>0</v>
      </c>
      <c r="E91" s="45" t="n">
        <v>0</v>
      </c>
      <c r="F91" s="45" t="n">
        <v>4</v>
      </c>
      <c r="G91" s="45" t="n">
        <v>0</v>
      </c>
      <c r="H91" s="45" t="n">
        <v>1</v>
      </c>
      <c r="I91" s="45" t="n">
        <v>3</v>
      </c>
      <c r="J91" s="45" t="n">
        <v>1</v>
      </c>
      <c r="K91" s="68" t="n">
        <v>1.3</v>
      </c>
      <c r="L91" s="68" t="n">
        <v>1</v>
      </c>
      <c r="M91" s="68" t="n">
        <v>0.08</v>
      </c>
      <c r="N91" s="68" t="n">
        <v>3.583</v>
      </c>
      <c r="O91" s="68" t="n">
        <v>1.629</v>
      </c>
      <c r="P91" s="68" t="n">
        <v>9.143000000000001</v>
      </c>
      <c r="Q91" s="68" t="n">
        <v>25.429</v>
      </c>
      <c r="R91" s="68" t="n">
        <v>1.414</v>
      </c>
      <c r="S91" s="68" t="n">
        <v>25</v>
      </c>
      <c r="T91" s="45" t="n">
        <v>10</v>
      </c>
      <c r="U91" s="45" t="n">
        <v>24</v>
      </c>
      <c r="V91" s="45" t="n">
        <v>21</v>
      </c>
      <c r="W91" s="45" t="n">
        <v>16</v>
      </c>
    </row>
    <row r="92">
      <c r="A92" s="58" t="n">
        <v>1932</v>
      </c>
      <c r="B92" s="45" t="n">
        <v>0</v>
      </c>
      <c r="C92" s="45" t="n">
        <v>0</v>
      </c>
      <c r="D92" s="45" t="n">
        <v>0</v>
      </c>
      <c r="E92" s="45" t="n">
        <v>0</v>
      </c>
      <c r="F92" s="45" t="n">
        <v>4</v>
      </c>
      <c r="G92" s="45" t="n">
        <v>0</v>
      </c>
      <c r="H92" s="45" t="n">
        <v>1</v>
      </c>
      <c r="I92" s="45" t="n">
        <v>3</v>
      </c>
      <c r="J92" s="45" t="n">
        <v>0</v>
      </c>
      <c r="K92" s="68" t="n">
        <v>1.3</v>
      </c>
      <c r="L92" s="68" t="n">
        <v>1</v>
      </c>
      <c r="M92" s="68" t="n">
        <v>0.08</v>
      </c>
      <c r="N92" s="68" t="n">
        <v>3.5</v>
      </c>
      <c r="O92" s="68" t="n">
        <v>1.6</v>
      </c>
      <c r="P92" s="68" t="n">
        <v>9</v>
      </c>
      <c r="Q92" s="68" t="n">
        <v>25</v>
      </c>
      <c r="R92" s="68" t="n">
        <v>1.4</v>
      </c>
      <c r="S92" s="68" t="n">
        <v>25</v>
      </c>
      <c r="T92" s="45" t="n">
        <v>10</v>
      </c>
      <c r="U92" s="45" t="n">
        <v>24</v>
      </c>
      <c r="V92" s="45" t="n">
        <v>21</v>
      </c>
      <c r="W92" s="45" t="n">
        <v>16</v>
      </c>
    </row>
  </sheetData>
  <mergeCells count="3">
    <mergeCell ref="T4:W4"/>
    <mergeCell ref="K4:S4"/>
    <mergeCell ref="B4:J4"/>
  </mergeCells>
  <pageMargins left="0.75" right="0.75" top="1" bottom="1" header="0.5" footer="0.5"/>
  <pageSetup orientation="landscape" fitToHeight="0" fitToWidth="1"/>
  <legacyDrawing xmlns:r="http://schemas.openxmlformats.org/officeDocument/2006/relationships" r:id="anysvml"/>
</worksheet>
</file>

<file path=xl/worksheets/sheet17.xml><?xml version="1.0" encoding="utf-8"?>
<worksheet xmlns="http://schemas.openxmlformats.org/spreadsheetml/2006/main">
  <sheetPr>
    <tabColor rgb="002F5597"/>
    <outlinePr summaryBelow="1" summaryRight="1"/>
    <pageSetUpPr fitToPage="1"/>
  </sheetPr>
  <dimension ref="A1:AE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 width="12.5" customWidth="1" min="30" max="30"/>
    <col width="12.5" customWidth="1" min="31" max="31"/>
  </cols>
  <sheetData>
    <row r="1">
      <c r="A1" s="18" t="inlineStr">
        <is>
          <t>Navy: fleet and cost</t>
        </is>
      </c>
    </row>
    <row r="2">
      <c r="A2" s="2" t="inlineStr">
        <is>
          <t>Fleet in service, its cost, and what oil firing saves. Change the plan on 'Navy plan'.</t>
        </is>
      </c>
    </row>
    <row r="3">
      <c r="A3" s="19" t="inlineStr">
        <is>
          <t>Years run down the page. Blue = input you can change · black = formula · green = link to another sheet. Hover a column heading for its definition.</t>
        </is>
      </c>
    </row>
    <row r="4">
      <c r="B4" s="56" t="inlineStr">
        <is>
          <t>Ships in service</t>
        </is>
      </c>
      <c r="K4" s="56" t="inlineStr">
        <is>
          <t>Fleet</t>
        </is>
      </c>
      <c r="L4" s="56" t="inlineStr">
        <is>
          <t>Cost, $m</t>
        </is>
      </c>
      <c r="M4" s="56" t="inlineStr">
        <is>
          <t>Fleet</t>
        </is>
      </c>
      <c r="N4" s="56" t="inlineStr">
        <is>
          <t>What oil saves</t>
        </is>
      </c>
      <c r="P4" s="56" t="inlineStr">
        <is>
          <t>Cost, $m</t>
        </is>
      </c>
      <c r="S4" s="56" t="inlineStr">
        <is>
          <t>What oil saves</t>
        </is>
      </c>
      <c r="U4" s="56" t="inlineStr">
        <is>
          <t>Cost, $m</t>
        </is>
      </c>
      <c r="W4" s="56" t="inlineStr">
        <is>
          <t>Common navy from 1927</t>
        </is>
      </c>
      <c r="Z4" s="56" t="inlineStr">
        <is>
          <t>Fleet</t>
        </is>
      </c>
      <c r="AA4" s="56" t="inlineStr">
        <is>
          <t>Capital ships</t>
        </is>
      </c>
    </row>
    <row r="5" ht="54" customHeight="1">
      <c r="A5" s="57" t="inlineStr">
        <is>
          <t>Year</t>
        </is>
      </c>
      <c r="B5" s="6" t="inlineStr">
        <is>
          <t>In service: Turret ships &amp; coastal ironclads</t>
        </is>
      </c>
      <c r="C5" s="6" t="inlineStr">
        <is>
          <t>In service: Steam cruisers (coal)</t>
        </is>
      </c>
      <c r="D5" s="6" t="inlineStr">
        <is>
          <t>In service: Oil-fired torpedo boats</t>
        </is>
      </c>
      <c r="E5" s="6" t="inlineStr">
        <is>
          <t>In service: Oil-fired protected cruisers</t>
        </is>
      </c>
      <c r="F5" s="6" t="inlineStr">
        <is>
          <t>In service: Turbine destroyers</t>
        </is>
      </c>
      <c r="G5" s="6" t="inlineStr">
        <is>
          <t>In service: Turbine cruisers</t>
        </is>
      </c>
      <c r="H5" s="6" t="inlineStr">
        <is>
          <t>In service: Turbine capital ships</t>
        </is>
      </c>
      <c r="I5" s="6" t="inlineStr">
        <is>
          <t>In service: Submarines</t>
        </is>
      </c>
      <c r="J5" s="6" t="inlineStr">
        <is>
          <t>In service: Aircraft carriers</t>
        </is>
      </c>
      <c r="K5" s="6" t="inlineStr">
        <is>
          <t>Ships in service</t>
        </is>
      </c>
      <c r="L5" s="6" t="inlineStr">
        <is>
          <t>Construction ($m)</t>
        </is>
      </c>
      <c r="M5" s="6" t="inlineStr">
        <is>
          <t>Sailors</t>
        </is>
      </c>
      <c r="N5" s="6" t="inlineStr">
        <is>
          <t>Sailors a coal-fired fleet would need</t>
        </is>
      </c>
      <c r="O5" s="6" t="inlineStr">
        <is>
          <t>Sailors saved by oil</t>
        </is>
      </c>
      <c r="P5" s="6" t="inlineStr">
        <is>
          <t>Pay and keep ($m)</t>
        </is>
      </c>
      <c r="Q5" s="6" t="inlineStr">
        <is>
          <t>Maintenance ($m)</t>
        </is>
      </c>
      <c r="R5" s="6" t="inlineStr">
        <is>
          <t>Fuel ($m)</t>
        </is>
      </c>
      <c r="S5" s="6" t="inlineStr">
        <is>
          <t>Fuel saved vs bought coal ($m)</t>
        </is>
      </c>
      <c r="T5" s="6" t="inlineStr">
        <is>
          <t>Total running cost saved by oil ($m)</t>
        </is>
      </c>
      <c r="U5" s="6" t="inlineStr">
        <is>
          <t>Bases, yards and training ($m)</t>
        </is>
      </c>
      <c r="V5" s="6" t="inlineStr">
        <is>
          <t>Pacifica's own fleet ($m)</t>
        </is>
      </c>
      <c r="W5" s="6" t="inlineStr">
        <is>
          <t>Japan's fleet ($m)</t>
        </is>
      </c>
      <c r="X5" s="6" t="inlineStr">
        <is>
          <t>Common navy ($m)</t>
        </is>
      </c>
      <c r="Y5" s="6" t="inlineStr">
        <is>
          <t>Pacifica's navy bill ($m)</t>
        </is>
      </c>
      <c r="Z5" s="6" t="inlineStr">
        <is>
          <t>Navy oil burned (m barrels)</t>
        </is>
      </c>
      <c r="AA5" s="6" t="inlineStr">
        <is>
          <t>Pacifica capital ships</t>
        </is>
      </c>
      <c r="AB5" s="6" t="inlineStr">
        <is>
          <t>Pacifica + Japan</t>
        </is>
      </c>
      <c r="AC5" s="6" t="inlineStr">
        <is>
          <t>Britain</t>
        </is>
      </c>
      <c r="AD5" s="6" t="inlineStr">
        <is>
          <t>Union</t>
        </is>
      </c>
      <c r="AE5" s="6" t="inlineStr">
        <is>
          <t>Pacifica + Japan / Britain</t>
        </is>
      </c>
    </row>
    <row r="6">
      <c r="A6" s="58" t="n">
        <v>1846</v>
      </c>
      <c r="B6" s="47">
        <f>'Navy plan'!B6</f>
        <v/>
      </c>
      <c r="C6" s="47">
        <f>'Navy plan'!C6</f>
        <v/>
      </c>
      <c r="D6" s="47">
        <f>'Navy plan'!D6</f>
        <v/>
      </c>
      <c r="E6" s="47">
        <f>'Navy plan'!E6</f>
        <v/>
      </c>
      <c r="F6" s="47">
        <f>'Navy plan'!F6</f>
        <v/>
      </c>
      <c r="G6" s="47">
        <f>'Navy plan'!G6</f>
        <v/>
      </c>
      <c r="H6" s="47">
        <f>'Navy plan'!H6</f>
        <v/>
      </c>
      <c r="I6" s="47">
        <f>'Navy plan'!I6</f>
        <v/>
      </c>
      <c r="J6" s="47">
        <f>'Navy plan'!J6</f>
        <v/>
      </c>
      <c r="K6" s="47">
        <f>SUM(B6:J6)</f>
        <v/>
      </c>
      <c r="L6" s="53">
        <f>0.5*SUMPRODUCT('Navy plan'!B6:'Navy plan'!J6,'Navy plan'!K6:'Navy plan'!S6)+0.5*SUMPRODUCT('Navy plan'!B7:'Navy plan'!J7,'Navy plan'!K7:'Navy plan'!S7)</f>
        <v/>
      </c>
      <c r="M6" s="47">
        <f>SUMPRODUCT(B6:J6,Levers!$C$192:$K$192)</f>
        <v/>
      </c>
      <c r="N6" s="47">
        <f>SUMPRODUCT(B6:J6,Levers!$C$195:$K$195)</f>
        <v/>
      </c>
      <c r="O6" s="47">
        <f>N6-M6</f>
        <v/>
      </c>
      <c r="P6" s="53">
        <f>M6*sailor_pay*Economy!H6/1000000</f>
        <v/>
      </c>
      <c r="Q6" s="53">
        <f>SUMPRODUCT(B6:J6,'Navy plan'!K6:'Navy plan'!S6)*maint_rate</f>
        <v/>
      </c>
      <c r="R6" s="53">
        <f>SUMPRODUCT(B6:J6,Levers!$C$193:$K$193)*Economy!H6</f>
        <v/>
      </c>
      <c r="S6" s="53">
        <f>SUMPRODUCT(B6:J6,Levers!$C$193:$K$193,Levers!$C$194:$K$194)*(1/oil_fuel-1)*Economy!H6</f>
        <v/>
      </c>
      <c r="T6" s="53">
        <f>S6+O6*sailor_pay*Economy!H6/1000000</f>
        <v/>
      </c>
      <c r="U6" s="53">
        <f>(P6+Q6+R6)*navy_overhead</f>
        <v/>
      </c>
      <c r="V6" s="53">
        <f>L6+P6+Q6+R6+U6</f>
        <v/>
      </c>
      <c r="W6" s="69">
        <f>Japan!I6</f>
        <v/>
      </c>
      <c r="X6" s="53">
        <f>IF($A6&gt;=1927,V6+W6,0)</f>
        <v/>
      </c>
      <c r="Y6" s="53">
        <f>IF($A6&gt;=1927,pac_quota*X6,V6)</f>
        <v/>
      </c>
      <c r="Z6" s="67">
        <f>SUMPRODUCT(B6:J6,Levers!$C$193:$K$193,Levers!$C$194:$K$194)/0.6</f>
        <v/>
      </c>
      <c r="AA6" s="62">
        <f>H6</f>
        <v/>
      </c>
      <c r="AB6" s="47">
        <f>AA6+'Navy plan'!T6</f>
        <v/>
      </c>
      <c r="AC6" s="62">
        <f>'Navy plan'!U6</f>
        <v/>
      </c>
      <c r="AD6" s="62">
        <f>'Navy plan'!V6</f>
        <v/>
      </c>
      <c r="AE6" s="67">
        <f>IF(AC6&gt;0,AB6/AC6,0)</f>
        <v/>
      </c>
    </row>
    <row r="7">
      <c r="A7" s="58" t="n">
        <v>1847</v>
      </c>
      <c r="B7" s="47">
        <f>B6+'Navy plan'!B7-IF($A7-Levers!$C$191&gt;=1846,INDEX('Navy plan'!B$6:B$92,$A7-1845-Levers!$C$191),0)</f>
        <v/>
      </c>
      <c r="C7" s="47">
        <f>C6+'Navy plan'!C7-IF($A7-Levers!$D$191&gt;=1846,INDEX('Navy plan'!C$6:C$92,$A7-1845-Levers!$D$191),0)</f>
        <v/>
      </c>
      <c r="D7" s="47">
        <f>D6+'Navy plan'!D7-IF($A7-Levers!$E$191&gt;=1846,INDEX('Navy plan'!D$6:D$92,$A7-1845-Levers!$E$191),0)</f>
        <v/>
      </c>
      <c r="E7" s="47">
        <f>E6+'Navy plan'!E7-IF($A7-Levers!$F$191&gt;=1846,INDEX('Navy plan'!E$6:E$92,$A7-1845-Levers!$F$191),0)</f>
        <v/>
      </c>
      <c r="F7" s="47">
        <f>F6+'Navy plan'!F7-IF($A7-Levers!$G$191&gt;=1846,INDEX('Navy plan'!F$6:F$92,$A7-1845-Levers!$G$191),0)</f>
        <v/>
      </c>
      <c r="G7" s="47">
        <f>G6+'Navy plan'!G7-IF($A7-Levers!$H$191&gt;=1846,INDEX('Navy plan'!G$6:G$92,$A7-1845-Levers!$H$191),0)</f>
        <v/>
      </c>
      <c r="H7" s="47">
        <f>H6+'Navy plan'!H7-IF($A7-Levers!$I$191&gt;=1846,INDEX('Navy plan'!H$6:H$92,$A7-1845-Levers!$I$191),0)</f>
        <v/>
      </c>
      <c r="I7" s="47">
        <f>I6+'Navy plan'!I7-IF($A7-Levers!$J$191&gt;=1846,INDEX('Navy plan'!I$6:I$92,$A7-1845-Levers!$J$191),0)</f>
        <v/>
      </c>
      <c r="J7" s="47">
        <f>J6+'Navy plan'!J7-IF($A7-Levers!$K$191&gt;=1846,INDEX('Navy plan'!J$6:J$92,$A7-1845-Levers!$K$191),0)</f>
        <v/>
      </c>
      <c r="K7" s="47">
        <f>SUM(B7:J7)</f>
        <v/>
      </c>
      <c r="L7" s="53">
        <f>0.5*SUMPRODUCT('Navy plan'!B7:'Navy plan'!J7,'Navy plan'!K7:'Navy plan'!S7)+0.5*SUMPRODUCT('Navy plan'!B8:'Navy plan'!J8,'Navy plan'!K8:'Navy plan'!S8)</f>
        <v/>
      </c>
      <c r="M7" s="47">
        <f>SUMPRODUCT(B7:J7,Levers!$C$192:$K$192)</f>
        <v/>
      </c>
      <c r="N7" s="47">
        <f>SUMPRODUCT(B7:J7,Levers!$C$195:$K$195)</f>
        <v/>
      </c>
      <c r="O7" s="47">
        <f>N7-M7</f>
        <v/>
      </c>
      <c r="P7" s="53">
        <f>M7*sailor_pay*Economy!H7/1000000</f>
        <v/>
      </c>
      <c r="Q7" s="53">
        <f>SUMPRODUCT(B7:J7,'Navy plan'!K7:'Navy plan'!S7)*maint_rate</f>
        <v/>
      </c>
      <c r="R7" s="53">
        <f>SUMPRODUCT(B7:J7,Levers!$C$193:$K$193)*Economy!H7</f>
        <v/>
      </c>
      <c r="S7" s="53">
        <f>SUMPRODUCT(B7:J7,Levers!$C$193:$K$193,Levers!$C$194:$K$194)*(1/oil_fuel-1)*Economy!H7</f>
        <v/>
      </c>
      <c r="T7" s="53">
        <f>S7+O7*sailor_pay*Economy!H7/1000000</f>
        <v/>
      </c>
      <c r="U7" s="53">
        <f>(P7+Q7+R7)*navy_overhead</f>
        <v/>
      </c>
      <c r="V7" s="53">
        <f>L7+P7+Q7+R7+U7</f>
        <v/>
      </c>
      <c r="W7" s="69">
        <f>Japan!I7</f>
        <v/>
      </c>
      <c r="X7" s="53">
        <f>IF($A7&gt;=1927,V7+W7,0)</f>
        <v/>
      </c>
      <c r="Y7" s="53">
        <f>IF($A7&gt;=1927,pac_quota*X7,V7)</f>
        <v/>
      </c>
      <c r="Z7" s="67">
        <f>SUMPRODUCT(B7:J7,Levers!$C$193:$K$193,Levers!$C$194:$K$194)/0.6</f>
        <v/>
      </c>
      <c r="AA7" s="62">
        <f>H7</f>
        <v/>
      </c>
      <c r="AB7" s="47">
        <f>AA7+'Navy plan'!T7</f>
        <v/>
      </c>
      <c r="AC7" s="62">
        <f>'Navy plan'!U7</f>
        <v/>
      </c>
      <c r="AD7" s="62">
        <f>'Navy plan'!V7</f>
        <v/>
      </c>
      <c r="AE7" s="67">
        <f>IF(AC7&gt;0,AB7/AC7,0)</f>
        <v/>
      </c>
    </row>
    <row r="8">
      <c r="A8" s="58" t="n">
        <v>1848</v>
      </c>
      <c r="B8" s="47">
        <f>B7+'Navy plan'!B8-IF($A8-Levers!$C$191&gt;=1846,INDEX('Navy plan'!B$6:B$92,$A8-1845-Levers!$C$191),0)</f>
        <v/>
      </c>
      <c r="C8" s="47">
        <f>C7+'Navy plan'!C8-IF($A8-Levers!$D$191&gt;=1846,INDEX('Navy plan'!C$6:C$92,$A8-1845-Levers!$D$191),0)</f>
        <v/>
      </c>
      <c r="D8" s="47">
        <f>D7+'Navy plan'!D8-IF($A8-Levers!$E$191&gt;=1846,INDEX('Navy plan'!D$6:D$92,$A8-1845-Levers!$E$191),0)</f>
        <v/>
      </c>
      <c r="E8" s="47">
        <f>E7+'Navy plan'!E8-IF($A8-Levers!$F$191&gt;=1846,INDEX('Navy plan'!E$6:E$92,$A8-1845-Levers!$F$191),0)</f>
        <v/>
      </c>
      <c r="F8" s="47">
        <f>F7+'Navy plan'!F8-IF($A8-Levers!$G$191&gt;=1846,INDEX('Navy plan'!F$6:F$92,$A8-1845-Levers!$G$191),0)</f>
        <v/>
      </c>
      <c r="G8" s="47">
        <f>G7+'Navy plan'!G8-IF($A8-Levers!$H$191&gt;=1846,INDEX('Navy plan'!G$6:G$92,$A8-1845-Levers!$H$191),0)</f>
        <v/>
      </c>
      <c r="H8" s="47">
        <f>H7+'Navy plan'!H8-IF($A8-Levers!$I$191&gt;=1846,INDEX('Navy plan'!H$6:H$92,$A8-1845-Levers!$I$191),0)</f>
        <v/>
      </c>
      <c r="I8" s="47">
        <f>I7+'Navy plan'!I8-IF($A8-Levers!$J$191&gt;=1846,INDEX('Navy plan'!I$6:I$92,$A8-1845-Levers!$J$191),0)</f>
        <v/>
      </c>
      <c r="J8" s="47">
        <f>J7+'Navy plan'!J8-IF($A8-Levers!$K$191&gt;=1846,INDEX('Navy plan'!J$6:J$92,$A8-1845-Levers!$K$191),0)</f>
        <v/>
      </c>
      <c r="K8" s="47">
        <f>SUM(B8:J8)</f>
        <v/>
      </c>
      <c r="L8" s="53">
        <f>0.5*SUMPRODUCT('Navy plan'!B8:'Navy plan'!J8,'Navy plan'!K8:'Navy plan'!S8)+0.5*SUMPRODUCT('Navy plan'!B9:'Navy plan'!J9,'Navy plan'!K9:'Navy plan'!S9)</f>
        <v/>
      </c>
      <c r="M8" s="47">
        <f>SUMPRODUCT(B8:J8,Levers!$C$192:$K$192)</f>
        <v/>
      </c>
      <c r="N8" s="47">
        <f>SUMPRODUCT(B8:J8,Levers!$C$195:$K$195)</f>
        <v/>
      </c>
      <c r="O8" s="47">
        <f>N8-M8</f>
        <v/>
      </c>
      <c r="P8" s="53">
        <f>M8*sailor_pay*Economy!H8/1000000</f>
        <v/>
      </c>
      <c r="Q8" s="53">
        <f>SUMPRODUCT(B8:J8,'Navy plan'!K8:'Navy plan'!S8)*maint_rate</f>
        <v/>
      </c>
      <c r="R8" s="53">
        <f>SUMPRODUCT(B8:J8,Levers!$C$193:$K$193)*Economy!H8</f>
        <v/>
      </c>
      <c r="S8" s="53">
        <f>SUMPRODUCT(B8:J8,Levers!$C$193:$K$193,Levers!$C$194:$K$194)*(1/oil_fuel-1)*Economy!H8</f>
        <v/>
      </c>
      <c r="T8" s="53">
        <f>S8+O8*sailor_pay*Economy!H8/1000000</f>
        <v/>
      </c>
      <c r="U8" s="53">
        <f>(P8+Q8+R8)*navy_overhead</f>
        <v/>
      </c>
      <c r="V8" s="53">
        <f>L8+P8+Q8+R8+U8</f>
        <v/>
      </c>
      <c r="W8" s="69">
        <f>Japan!I8</f>
        <v/>
      </c>
      <c r="X8" s="53">
        <f>IF($A8&gt;=1927,V8+W8,0)</f>
        <v/>
      </c>
      <c r="Y8" s="53">
        <f>IF($A8&gt;=1927,pac_quota*X8,V8)</f>
        <v/>
      </c>
      <c r="Z8" s="67">
        <f>SUMPRODUCT(B8:J8,Levers!$C$193:$K$193,Levers!$C$194:$K$194)/0.6</f>
        <v/>
      </c>
      <c r="AA8" s="62">
        <f>H8</f>
        <v/>
      </c>
      <c r="AB8" s="47">
        <f>AA8+'Navy plan'!T8</f>
        <v/>
      </c>
      <c r="AC8" s="62">
        <f>'Navy plan'!U8</f>
        <v/>
      </c>
      <c r="AD8" s="62">
        <f>'Navy plan'!V8</f>
        <v/>
      </c>
      <c r="AE8" s="67">
        <f>IF(AC8&gt;0,AB8/AC8,0)</f>
        <v/>
      </c>
    </row>
    <row r="9">
      <c r="A9" s="58" t="n">
        <v>1849</v>
      </c>
      <c r="B9" s="47">
        <f>B8+'Navy plan'!B9-IF($A9-Levers!$C$191&gt;=1846,INDEX('Navy plan'!B$6:B$92,$A9-1845-Levers!$C$191),0)</f>
        <v/>
      </c>
      <c r="C9" s="47">
        <f>C8+'Navy plan'!C9-IF($A9-Levers!$D$191&gt;=1846,INDEX('Navy plan'!C$6:C$92,$A9-1845-Levers!$D$191),0)</f>
        <v/>
      </c>
      <c r="D9" s="47">
        <f>D8+'Navy plan'!D9-IF($A9-Levers!$E$191&gt;=1846,INDEX('Navy plan'!D$6:D$92,$A9-1845-Levers!$E$191),0)</f>
        <v/>
      </c>
      <c r="E9" s="47">
        <f>E8+'Navy plan'!E9-IF($A9-Levers!$F$191&gt;=1846,INDEX('Navy plan'!E$6:E$92,$A9-1845-Levers!$F$191),0)</f>
        <v/>
      </c>
      <c r="F9" s="47">
        <f>F8+'Navy plan'!F9-IF($A9-Levers!$G$191&gt;=1846,INDEX('Navy plan'!F$6:F$92,$A9-1845-Levers!$G$191),0)</f>
        <v/>
      </c>
      <c r="G9" s="47">
        <f>G8+'Navy plan'!G9-IF($A9-Levers!$H$191&gt;=1846,INDEX('Navy plan'!G$6:G$92,$A9-1845-Levers!$H$191),0)</f>
        <v/>
      </c>
      <c r="H9" s="47">
        <f>H8+'Navy plan'!H9-IF($A9-Levers!$I$191&gt;=1846,INDEX('Navy plan'!H$6:H$92,$A9-1845-Levers!$I$191),0)</f>
        <v/>
      </c>
      <c r="I9" s="47">
        <f>I8+'Navy plan'!I9-IF($A9-Levers!$J$191&gt;=1846,INDEX('Navy plan'!I$6:I$92,$A9-1845-Levers!$J$191),0)</f>
        <v/>
      </c>
      <c r="J9" s="47">
        <f>J8+'Navy plan'!J9-IF($A9-Levers!$K$191&gt;=1846,INDEX('Navy plan'!J$6:J$92,$A9-1845-Levers!$K$191),0)</f>
        <v/>
      </c>
      <c r="K9" s="47">
        <f>SUM(B9:J9)</f>
        <v/>
      </c>
      <c r="L9" s="53">
        <f>0.5*SUMPRODUCT('Navy plan'!B9:'Navy plan'!J9,'Navy plan'!K9:'Navy plan'!S9)+0.5*SUMPRODUCT('Navy plan'!B10:'Navy plan'!J10,'Navy plan'!K10:'Navy plan'!S10)</f>
        <v/>
      </c>
      <c r="M9" s="47">
        <f>SUMPRODUCT(B9:J9,Levers!$C$192:$K$192)</f>
        <v/>
      </c>
      <c r="N9" s="47">
        <f>SUMPRODUCT(B9:J9,Levers!$C$195:$K$195)</f>
        <v/>
      </c>
      <c r="O9" s="47">
        <f>N9-M9</f>
        <v/>
      </c>
      <c r="P9" s="53">
        <f>M9*sailor_pay*Economy!H9/1000000</f>
        <v/>
      </c>
      <c r="Q9" s="53">
        <f>SUMPRODUCT(B9:J9,'Navy plan'!K9:'Navy plan'!S9)*maint_rate</f>
        <v/>
      </c>
      <c r="R9" s="53">
        <f>SUMPRODUCT(B9:J9,Levers!$C$193:$K$193)*Economy!H9</f>
        <v/>
      </c>
      <c r="S9" s="53">
        <f>SUMPRODUCT(B9:J9,Levers!$C$193:$K$193,Levers!$C$194:$K$194)*(1/oil_fuel-1)*Economy!H9</f>
        <v/>
      </c>
      <c r="T9" s="53">
        <f>S9+O9*sailor_pay*Economy!H9/1000000</f>
        <v/>
      </c>
      <c r="U9" s="53">
        <f>(P9+Q9+R9)*navy_overhead</f>
        <v/>
      </c>
      <c r="V9" s="53">
        <f>L9+P9+Q9+R9+U9</f>
        <v/>
      </c>
      <c r="W9" s="69">
        <f>Japan!I9</f>
        <v/>
      </c>
      <c r="X9" s="53">
        <f>IF($A9&gt;=1927,V9+W9,0)</f>
        <v/>
      </c>
      <c r="Y9" s="53">
        <f>IF($A9&gt;=1927,pac_quota*X9,V9)</f>
        <v/>
      </c>
      <c r="Z9" s="67">
        <f>SUMPRODUCT(B9:J9,Levers!$C$193:$K$193,Levers!$C$194:$K$194)/0.6</f>
        <v/>
      </c>
      <c r="AA9" s="62">
        <f>H9</f>
        <v/>
      </c>
      <c r="AB9" s="47">
        <f>AA9+'Navy plan'!T9</f>
        <v/>
      </c>
      <c r="AC9" s="62">
        <f>'Navy plan'!U9</f>
        <v/>
      </c>
      <c r="AD9" s="62">
        <f>'Navy plan'!V9</f>
        <v/>
      </c>
      <c r="AE9" s="67">
        <f>IF(AC9&gt;0,AB9/AC9,0)</f>
        <v/>
      </c>
    </row>
    <row r="10">
      <c r="A10" s="58" t="n">
        <v>1850</v>
      </c>
      <c r="B10" s="47">
        <f>B9+'Navy plan'!B10-IF($A10-Levers!$C$191&gt;=1846,INDEX('Navy plan'!B$6:B$92,$A10-1845-Levers!$C$191),0)</f>
        <v/>
      </c>
      <c r="C10" s="47">
        <f>C9+'Navy plan'!C10-IF($A10-Levers!$D$191&gt;=1846,INDEX('Navy plan'!C$6:C$92,$A10-1845-Levers!$D$191),0)</f>
        <v/>
      </c>
      <c r="D10" s="47">
        <f>D9+'Navy plan'!D10-IF($A10-Levers!$E$191&gt;=1846,INDEX('Navy plan'!D$6:D$92,$A10-1845-Levers!$E$191),0)</f>
        <v/>
      </c>
      <c r="E10" s="47">
        <f>E9+'Navy plan'!E10-IF($A10-Levers!$F$191&gt;=1846,INDEX('Navy plan'!E$6:E$92,$A10-1845-Levers!$F$191),0)</f>
        <v/>
      </c>
      <c r="F10" s="47">
        <f>F9+'Navy plan'!F10-IF($A10-Levers!$G$191&gt;=1846,INDEX('Navy plan'!F$6:F$92,$A10-1845-Levers!$G$191),0)</f>
        <v/>
      </c>
      <c r="G10" s="47">
        <f>G9+'Navy plan'!G10-IF($A10-Levers!$H$191&gt;=1846,INDEX('Navy plan'!G$6:G$92,$A10-1845-Levers!$H$191),0)</f>
        <v/>
      </c>
      <c r="H10" s="47">
        <f>H9+'Navy plan'!H10-IF($A10-Levers!$I$191&gt;=1846,INDEX('Navy plan'!H$6:H$92,$A10-1845-Levers!$I$191),0)</f>
        <v/>
      </c>
      <c r="I10" s="47">
        <f>I9+'Navy plan'!I10-IF($A10-Levers!$J$191&gt;=1846,INDEX('Navy plan'!I$6:I$92,$A10-1845-Levers!$J$191),0)</f>
        <v/>
      </c>
      <c r="J10" s="47">
        <f>J9+'Navy plan'!J10-IF($A10-Levers!$K$191&gt;=1846,INDEX('Navy plan'!J$6:J$92,$A10-1845-Levers!$K$191),0)</f>
        <v/>
      </c>
      <c r="K10" s="47">
        <f>SUM(B10:J10)</f>
        <v/>
      </c>
      <c r="L10" s="53">
        <f>0.5*SUMPRODUCT('Navy plan'!B10:'Navy plan'!J10,'Navy plan'!K10:'Navy plan'!S10)+0.5*SUMPRODUCT('Navy plan'!B11:'Navy plan'!J11,'Navy plan'!K11:'Navy plan'!S11)</f>
        <v/>
      </c>
      <c r="M10" s="47">
        <f>SUMPRODUCT(B10:J10,Levers!$C$192:$K$192)</f>
        <v/>
      </c>
      <c r="N10" s="47">
        <f>SUMPRODUCT(B10:J10,Levers!$C$195:$K$195)</f>
        <v/>
      </c>
      <c r="O10" s="47">
        <f>N10-M10</f>
        <v/>
      </c>
      <c r="P10" s="53">
        <f>M10*sailor_pay*Economy!H10/1000000</f>
        <v/>
      </c>
      <c r="Q10" s="53">
        <f>SUMPRODUCT(B10:J10,'Navy plan'!K10:'Navy plan'!S10)*maint_rate</f>
        <v/>
      </c>
      <c r="R10" s="53">
        <f>SUMPRODUCT(B10:J10,Levers!$C$193:$K$193)*Economy!H10</f>
        <v/>
      </c>
      <c r="S10" s="53">
        <f>SUMPRODUCT(B10:J10,Levers!$C$193:$K$193,Levers!$C$194:$K$194)*(1/oil_fuel-1)*Economy!H10</f>
        <v/>
      </c>
      <c r="T10" s="53">
        <f>S10+O10*sailor_pay*Economy!H10/1000000</f>
        <v/>
      </c>
      <c r="U10" s="53">
        <f>(P10+Q10+R10)*navy_overhead</f>
        <v/>
      </c>
      <c r="V10" s="53">
        <f>L10+P10+Q10+R10+U10</f>
        <v/>
      </c>
      <c r="W10" s="69">
        <f>Japan!I10</f>
        <v/>
      </c>
      <c r="X10" s="53">
        <f>IF($A10&gt;=1927,V10+W10,0)</f>
        <v/>
      </c>
      <c r="Y10" s="53">
        <f>IF($A10&gt;=1927,pac_quota*X10,V10)</f>
        <v/>
      </c>
      <c r="Z10" s="67">
        <f>SUMPRODUCT(B10:J10,Levers!$C$193:$K$193,Levers!$C$194:$K$194)/0.6</f>
        <v/>
      </c>
      <c r="AA10" s="62">
        <f>H10</f>
        <v/>
      </c>
      <c r="AB10" s="47">
        <f>AA10+'Navy plan'!T10</f>
        <v/>
      </c>
      <c r="AC10" s="62">
        <f>'Navy plan'!U10</f>
        <v/>
      </c>
      <c r="AD10" s="62">
        <f>'Navy plan'!V10</f>
        <v/>
      </c>
      <c r="AE10" s="67">
        <f>IF(AC10&gt;0,AB10/AC10,0)</f>
        <v/>
      </c>
    </row>
    <row r="11">
      <c r="A11" s="58" t="n">
        <v>1851</v>
      </c>
      <c r="B11" s="47">
        <f>B10+'Navy plan'!B11-IF($A11-Levers!$C$191&gt;=1846,INDEX('Navy plan'!B$6:B$92,$A11-1845-Levers!$C$191),0)</f>
        <v/>
      </c>
      <c r="C11" s="47">
        <f>C10+'Navy plan'!C11-IF($A11-Levers!$D$191&gt;=1846,INDEX('Navy plan'!C$6:C$92,$A11-1845-Levers!$D$191),0)</f>
        <v/>
      </c>
      <c r="D11" s="47">
        <f>D10+'Navy plan'!D11-IF($A11-Levers!$E$191&gt;=1846,INDEX('Navy plan'!D$6:D$92,$A11-1845-Levers!$E$191),0)</f>
        <v/>
      </c>
      <c r="E11" s="47">
        <f>E10+'Navy plan'!E11-IF($A11-Levers!$F$191&gt;=1846,INDEX('Navy plan'!E$6:E$92,$A11-1845-Levers!$F$191),0)</f>
        <v/>
      </c>
      <c r="F11" s="47">
        <f>F10+'Navy plan'!F11-IF($A11-Levers!$G$191&gt;=1846,INDEX('Navy plan'!F$6:F$92,$A11-1845-Levers!$G$191),0)</f>
        <v/>
      </c>
      <c r="G11" s="47">
        <f>G10+'Navy plan'!G11-IF($A11-Levers!$H$191&gt;=1846,INDEX('Navy plan'!G$6:G$92,$A11-1845-Levers!$H$191),0)</f>
        <v/>
      </c>
      <c r="H11" s="47">
        <f>H10+'Navy plan'!H11-IF($A11-Levers!$I$191&gt;=1846,INDEX('Navy plan'!H$6:H$92,$A11-1845-Levers!$I$191),0)</f>
        <v/>
      </c>
      <c r="I11" s="47">
        <f>I10+'Navy plan'!I11-IF($A11-Levers!$J$191&gt;=1846,INDEX('Navy plan'!I$6:I$92,$A11-1845-Levers!$J$191),0)</f>
        <v/>
      </c>
      <c r="J11" s="47">
        <f>J10+'Navy plan'!J11-IF($A11-Levers!$K$191&gt;=1846,INDEX('Navy plan'!J$6:J$92,$A11-1845-Levers!$K$191),0)</f>
        <v/>
      </c>
      <c r="K11" s="47">
        <f>SUM(B11:J11)</f>
        <v/>
      </c>
      <c r="L11" s="53">
        <f>0.5*SUMPRODUCT('Navy plan'!B11:'Navy plan'!J11,'Navy plan'!K11:'Navy plan'!S11)+0.5*SUMPRODUCT('Navy plan'!B12:'Navy plan'!J12,'Navy plan'!K12:'Navy plan'!S12)</f>
        <v/>
      </c>
      <c r="M11" s="47">
        <f>SUMPRODUCT(B11:J11,Levers!$C$192:$K$192)</f>
        <v/>
      </c>
      <c r="N11" s="47">
        <f>SUMPRODUCT(B11:J11,Levers!$C$195:$K$195)</f>
        <v/>
      </c>
      <c r="O11" s="47">
        <f>N11-M11</f>
        <v/>
      </c>
      <c r="P11" s="53">
        <f>M11*sailor_pay*Economy!H11/1000000</f>
        <v/>
      </c>
      <c r="Q11" s="53">
        <f>SUMPRODUCT(B11:J11,'Navy plan'!K11:'Navy plan'!S11)*maint_rate</f>
        <v/>
      </c>
      <c r="R11" s="53">
        <f>SUMPRODUCT(B11:J11,Levers!$C$193:$K$193)*Economy!H11</f>
        <v/>
      </c>
      <c r="S11" s="53">
        <f>SUMPRODUCT(B11:J11,Levers!$C$193:$K$193,Levers!$C$194:$K$194)*(1/oil_fuel-1)*Economy!H11</f>
        <v/>
      </c>
      <c r="T11" s="53">
        <f>S11+O11*sailor_pay*Economy!H11/1000000</f>
        <v/>
      </c>
      <c r="U11" s="53">
        <f>(P11+Q11+R11)*navy_overhead</f>
        <v/>
      </c>
      <c r="V11" s="53">
        <f>L11+P11+Q11+R11+U11</f>
        <v/>
      </c>
      <c r="W11" s="69">
        <f>Japan!I11</f>
        <v/>
      </c>
      <c r="X11" s="53">
        <f>IF($A11&gt;=1927,V11+W11,0)</f>
        <v/>
      </c>
      <c r="Y11" s="53">
        <f>IF($A11&gt;=1927,pac_quota*X11,V11)</f>
        <v/>
      </c>
      <c r="Z11" s="67">
        <f>SUMPRODUCT(B11:J11,Levers!$C$193:$K$193,Levers!$C$194:$K$194)/0.6</f>
        <v/>
      </c>
      <c r="AA11" s="62">
        <f>H11</f>
        <v/>
      </c>
      <c r="AB11" s="47">
        <f>AA11+'Navy plan'!T11</f>
        <v/>
      </c>
      <c r="AC11" s="62">
        <f>'Navy plan'!U11</f>
        <v/>
      </c>
      <c r="AD11" s="62">
        <f>'Navy plan'!V11</f>
        <v/>
      </c>
      <c r="AE11" s="67">
        <f>IF(AC11&gt;0,AB11/AC11,0)</f>
        <v/>
      </c>
    </row>
    <row r="12">
      <c r="A12" s="58" t="n">
        <v>1852</v>
      </c>
      <c r="B12" s="47">
        <f>B11+'Navy plan'!B12-IF($A12-Levers!$C$191&gt;=1846,INDEX('Navy plan'!B$6:B$92,$A12-1845-Levers!$C$191),0)</f>
        <v/>
      </c>
      <c r="C12" s="47">
        <f>C11+'Navy plan'!C12-IF($A12-Levers!$D$191&gt;=1846,INDEX('Navy plan'!C$6:C$92,$A12-1845-Levers!$D$191),0)</f>
        <v/>
      </c>
      <c r="D12" s="47">
        <f>D11+'Navy plan'!D12-IF($A12-Levers!$E$191&gt;=1846,INDEX('Navy plan'!D$6:D$92,$A12-1845-Levers!$E$191),0)</f>
        <v/>
      </c>
      <c r="E12" s="47">
        <f>E11+'Navy plan'!E12-IF($A12-Levers!$F$191&gt;=1846,INDEX('Navy plan'!E$6:E$92,$A12-1845-Levers!$F$191),0)</f>
        <v/>
      </c>
      <c r="F12" s="47">
        <f>F11+'Navy plan'!F12-IF($A12-Levers!$G$191&gt;=1846,INDEX('Navy plan'!F$6:F$92,$A12-1845-Levers!$G$191),0)</f>
        <v/>
      </c>
      <c r="G12" s="47">
        <f>G11+'Navy plan'!G12-IF($A12-Levers!$H$191&gt;=1846,INDEX('Navy plan'!G$6:G$92,$A12-1845-Levers!$H$191),0)</f>
        <v/>
      </c>
      <c r="H12" s="47">
        <f>H11+'Navy plan'!H12-IF($A12-Levers!$I$191&gt;=1846,INDEX('Navy plan'!H$6:H$92,$A12-1845-Levers!$I$191),0)</f>
        <v/>
      </c>
      <c r="I12" s="47">
        <f>I11+'Navy plan'!I12-IF($A12-Levers!$J$191&gt;=1846,INDEX('Navy plan'!I$6:I$92,$A12-1845-Levers!$J$191),0)</f>
        <v/>
      </c>
      <c r="J12" s="47">
        <f>J11+'Navy plan'!J12-IF($A12-Levers!$K$191&gt;=1846,INDEX('Navy plan'!J$6:J$92,$A12-1845-Levers!$K$191),0)</f>
        <v/>
      </c>
      <c r="K12" s="47">
        <f>SUM(B12:J12)</f>
        <v/>
      </c>
      <c r="L12" s="53">
        <f>0.5*SUMPRODUCT('Navy plan'!B12:'Navy plan'!J12,'Navy plan'!K12:'Navy plan'!S12)+0.5*SUMPRODUCT('Navy plan'!B13:'Navy plan'!J13,'Navy plan'!K13:'Navy plan'!S13)</f>
        <v/>
      </c>
      <c r="M12" s="47">
        <f>SUMPRODUCT(B12:J12,Levers!$C$192:$K$192)</f>
        <v/>
      </c>
      <c r="N12" s="47">
        <f>SUMPRODUCT(B12:J12,Levers!$C$195:$K$195)</f>
        <v/>
      </c>
      <c r="O12" s="47">
        <f>N12-M12</f>
        <v/>
      </c>
      <c r="P12" s="53">
        <f>M12*sailor_pay*Economy!H12/1000000</f>
        <v/>
      </c>
      <c r="Q12" s="53">
        <f>SUMPRODUCT(B12:J12,'Navy plan'!K12:'Navy plan'!S12)*maint_rate</f>
        <v/>
      </c>
      <c r="R12" s="53">
        <f>SUMPRODUCT(B12:J12,Levers!$C$193:$K$193)*Economy!H12</f>
        <v/>
      </c>
      <c r="S12" s="53">
        <f>SUMPRODUCT(B12:J12,Levers!$C$193:$K$193,Levers!$C$194:$K$194)*(1/oil_fuel-1)*Economy!H12</f>
        <v/>
      </c>
      <c r="T12" s="53">
        <f>S12+O12*sailor_pay*Economy!H12/1000000</f>
        <v/>
      </c>
      <c r="U12" s="53">
        <f>(P12+Q12+R12)*navy_overhead</f>
        <v/>
      </c>
      <c r="V12" s="53">
        <f>L12+P12+Q12+R12+U12</f>
        <v/>
      </c>
      <c r="W12" s="69">
        <f>Japan!I12</f>
        <v/>
      </c>
      <c r="X12" s="53">
        <f>IF($A12&gt;=1927,V12+W12,0)</f>
        <v/>
      </c>
      <c r="Y12" s="53">
        <f>IF($A12&gt;=1927,pac_quota*X12,V12)</f>
        <v/>
      </c>
      <c r="Z12" s="67">
        <f>SUMPRODUCT(B12:J12,Levers!$C$193:$K$193,Levers!$C$194:$K$194)/0.6</f>
        <v/>
      </c>
      <c r="AA12" s="62">
        <f>H12</f>
        <v/>
      </c>
      <c r="AB12" s="47">
        <f>AA12+'Navy plan'!T12</f>
        <v/>
      </c>
      <c r="AC12" s="62">
        <f>'Navy plan'!U12</f>
        <v/>
      </c>
      <c r="AD12" s="62">
        <f>'Navy plan'!V12</f>
        <v/>
      </c>
      <c r="AE12" s="67">
        <f>IF(AC12&gt;0,AB12/AC12,0)</f>
        <v/>
      </c>
    </row>
    <row r="13">
      <c r="A13" s="58" t="n">
        <v>1853</v>
      </c>
      <c r="B13" s="47">
        <f>B12+'Navy plan'!B13-IF($A13-Levers!$C$191&gt;=1846,INDEX('Navy plan'!B$6:B$92,$A13-1845-Levers!$C$191),0)</f>
        <v/>
      </c>
      <c r="C13" s="47">
        <f>C12+'Navy plan'!C13-IF($A13-Levers!$D$191&gt;=1846,INDEX('Navy plan'!C$6:C$92,$A13-1845-Levers!$D$191),0)</f>
        <v/>
      </c>
      <c r="D13" s="47">
        <f>D12+'Navy plan'!D13-IF($A13-Levers!$E$191&gt;=1846,INDEX('Navy plan'!D$6:D$92,$A13-1845-Levers!$E$191),0)</f>
        <v/>
      </c>
      <c r="E13" s="47">
        <f>E12+'Navy plan'!E13-IF($A13-Levers!$F$191&gt;=1846,INDEX('Navy plan'!E$6:E$92,$A13-1845-Levers!$F$191),0)</f>
        <v/>
      </c>
      <c r="F13" s="47">
        <f>F12+'Navy plan'!F13-IF($A13-Levers!$G$191&gt;=1846,INDEX('Navy plan'!F$6:F$92,$A13-1845-Levers!$G$191),0)</f>
        <v/>
      </c>
      <c r="G13" s="47">
        <f>G12+'Navy plan'!G13-IF($A13-Levers!$H$191&gt;=1846,INDEX('Navy plan'!G$6:G$92,$A13-1845-Levers!$H$191),0)</f>
        <v/>
      </c>
      <c r="H13" s="47">
        <f>H12+'Navy plan'!H13-IF($A13-Levers!$I$191&gt;=1846,INDEX('Navy plan'!H$6:H$92,$A13-1845-Levers!$I$191),0)</f>
        <v/>
      </c>
      <c r="I13" s="47">
        <f>I12+'Navy plan'!I13-IF($A13-Levers!$J$191&gt;=1846,INDEX('Navy plan'!I$6:I$92,$A13-1845-Levers!$J$191),0)</f>
        <v/>
      </c>
      <c r="J13" s="47">
        <f>J12+'Navy plan'!J13-IF($A13-Levers!$K$191&gt;=1846,INDEX('Navy plan'!J$6:J$92,$A13-1845-Levers!$K$191),0)</f>
        <v/>
      </c>
      <c r="K13" s="47">
        <f>SUM(B13:J13)</f>
        <v/>
      </c>
      <c r="L13" s="53">
        <f>0.5*SUMPRODUCT('Navy plan'!B13:'Navy plan'!J13,'Navy plan'!K13:'Navy plan'!S13)+0.5*SUMPRODUCT('Navy plan'!B14:'Navy plan'!J14,'Navy plan'!K14:'Navy plan'!S14)</f>
        <v/>
      </c>
      <c r="M13" s="47">
        <f>SUMPRODUCT(B13:J13,Levers!$C$192:$K$192)</f>
        <v/>
      </c>
      <c r="N13" s="47">
        <f>SUMPRODUCT(B13:J13,Levers!$C$195:$K$195)</f>
        <v/>
      </c>
      <c r="O13" s="47">
        <f>N13-M13</f>
        <v/>
      </c>
      <c r="P13" s="53">
        <f>M13*sailor_pay*Economy!H13/1000000</f>
        <v/>
      </c>
      <c r="Q13" s="53">
        <f>SUMPRODUCT(B13:J13,'Navy plan'!K13:'Navy plan'!S13)*maint_rate</f>
        <v/>
      </c>
      <c r="R13" s="53">
        <f>SUMPRODUCT(B13:J13,Levers!$C$193:$K$193)*Economy!H13</f>
        <v/>
      </c>
      <c r="S13" s="53">
        <f>SUMPRODUCT(B13:J13,Levers!$C$193:$K$193,Levers!$C$194:$K$194)*(1/oil_fuel-1)*Economy!H13</f>
        <v/>
      </c>
      <c r="T13" s="53">
        <f>S13+O13*sailor_pay*Economy!H13/1000000</f>
        <v/>
      </c>
      <c r="U13" s="53">
        <f>(P13+Q13+R13)*navy_overhead</f>
        <v/>
      </c>
      <c r="V13" s="53">
        <f>L13+P13+Q13+R13+U13</f>
        <v/>
      </c>
      <c r="W13" s="69">
        <f>Japan!I13</f>
        <v/>
      </c>
      <c r="X13" s="53">
        <f>IF($A13&gt;=1927,V13+W13,0)</f>
        <v/>
      </c>
      <c r="Y13" s="53">
        <f>IF($A13&gt;=1927,pac_quota*X13,V13)</f>
        <v/>
      </c>
      <c r="Z13" s="67">
        <f>SUMPRODUCT(B13:J13,Levers!$C$193:$K$193,Levers!$C$194:$K$194)/0.6</f>
        <v/>
      </c>
      <c r="AA13" s="62">
        <f>H13</f>
        <v/>
      </c>
      <c r="AB13" s="47">
        <f>AA13+'Navy plan'!T13</f>
        <v/>
      </c>
      <c r="AC13" s="62">
        <f>'Navy plan'!U13</f>
        <v/>
      </c>
      <c r="AD13" s="62">
        <f>'Navy plan'!V13</f>
        <v/>
      </c>
      <c r="AE13" s="67">
        <f>IF(AC13&gt;0,AB13/AC13,0)</f>
        <v/>
      </c>
    </row>
    <row r="14">
      <c r="A14" s="58" t="n">
        <v>1854</v>
      </c>
      <c r="B14" s="47">
        <f>B13+'Navy plan'!B14-IF($A14-Levers!$C$191&gt;=1846,INDEX('Navy plan'!B$6:B$92,$A14-1845-Levers!$C$191),0)</f>
        <v/>
      </c>
      <c r="C14" s="47">
        <f>C13+'Navy plan'!C14-IF($A14-Levers!$D$191&gt;=1846,INDEX('Navy plan'!C$6:C$92,$A14-1845-Levers!$D$191),0)</f>
        <v/>
      </c>
      <c r="D14" s="47">
        <f>D13+'Navy plan'!D14-IF($A14-Levers!$E$191&gt;=1846,INDEX('Navy plan'!D$6:D$92,$A14-1845-Levers!$E$191),0)</f>
        <v/>
      </c>
      <c r="E14" s="47">
        <f>E13+'Navy plan'!E14-IF($A14-Levers!$F$191&gt;=1846,INDEX('Navy plan'!E$6:E$92,$A14-1845-Levers!$F$191),0)</f>
        <v/>
      </c>
      <c r="F14" s="47">
        <f>F13+'Navy plan'!F14-IF($A14-Levers!$G$191&gt;=1846,INDEX('Navy plan'!F$6:F$92,$A14-1845-Levers!$G$191),0)</f>
        <v/>
      </c>
      <c r="G14" s="47">
        <f>G13+'Navy plan'!G14-IF($A14-Levers!$H$191&gt;=1846,INDEX('Navy plan'!G$6:G$92,$A14-1845-Levers!$H$191),0)</f>
        <v/>
      </c>
      <c r="H14" s="47">
        <f>H13+'Navy plan'!H14-IF($A14-Levers!$I$191&gt;=1846,INDEX('Navy plan'!H$6:H$92,$A14-1845-Levers!$I$191),0)</f>
        <v/>
      </c>
      <c r="I14" s="47">
        <f>I13+'Navy plan'!I14-IF($A14-Levers!$J$191&gt;=1846,INDEX('Navy plan'!I$6:I$92,$A14-1845-Levers!$J$191),0)</f>
        <v/>
      </c>
      <c r="J14" s="47">
        <f>J13+'Navy plan'!J14-IF($A14-Levers!$K$191&gt;=1846,INDEX('Navy plan'!J$6:J$92,$A14-1845-Levers!$K$191),0)</f>
        <v/>
      </c>
      <c r="K14" s="47">
        <f>SUM(B14:J14)</f>
        <v/>
      </c>
      <c r="L14" s="53">
        <f>0.5*SUMPRODUCT('Navy plan'!B14:'Navy plan'!J14,'Navy plan'!K14:'Navy plan'!S14)+0.5*SUMPRODUCT('Navy plan'!B15:'Navy plan'!J15,'Navy plan'!K15:'Navy plan'!S15)</f>
        <v/>
      </c>
      <c r="M14" s="47">
        <f>SUMPRODUCT(B14:J14,Levers!$C$192:$K$192)</f>
        <v/>
      </c>
      <c r="N14" s="47">
        <f>SUMPRODUCT(B14:J14,Levers!$C$195:$K$195)</f>
        <v/>
      </c>
      <c r="O14" s="47">
        <f>N14-M14</f>
        <v/>
      </c>
      <c r="P14" s="53">
        <f>M14*sailor_pay*Economy!H14/1000000</f>
        <v/>
      </c>
      <c r="Q14" s="53">
        <f>SUMPRODUCT(B14:J14,'Navy plan'!K14:'Navy plan'!S14)*maint_rate</f>
        <v/>
      </c>
      <c r="R14" s="53">
        <f>SUMPRODUCT(B14:J14,Levers!$C$193:$K$193)*Economy!H14</f>
        <v/>
      </c>
      <c r="S14" s="53">
        <f>SUMPRODUCT(B14:J14,Levers!$C$193:$K$193,Levers!$C$194:$K$194)*(1/oil_fuel-1)*Economy!H14</f>
        <v/>
      </c>
      <c r="T14" s="53">
        <f>S14+O14*sailor_pay*Economy!H14/1000000</f>
        <v/>
      </c>
      <c r="U14" s="53">
        <f>(P14+Q14+R14)*navy_overhead</f>
        <v/>
      </c>
      <c r="V14" s="53">
        <f>L14+P14+Q14+R14+U14</f>
        <v/>
      </c>
      <c r="W14" s="69">
        <f>Japan!I14</f>
        <v/>
      </c>
      <c r="X14" s="53">
        <f>IF($A14&gt;=1927,V14+W14,0)</f>
        <v/>
      </c>
      <c r="Y14" s="53">
        <f>IF($A14&gt;=1927,pac_quota*X14,V14)</f>
        <v/>
      </c>
      <c r="Z14" s="67">
        <f>SUMPRODUCT(B14:J14,Levers!$C$193:$K$193,Levers!$C$194:$K$194)/0.6</f>
        <v/>
      </c>
      <c r="AA14" s="62">
        <f>H14</f>
        <v/>
      </c>
      <c r="AB14" s="47">
        <f>AA14+'Navy plan'!T14</f>
        <v/>
      </c>
      <c r="AC14" s="62">
        <f>'Navy plan'!U14</f>
        <v/>
      </c>
      <c r="AD14" s="62">
        <f>'Navy plan'!V14</f>
        <v/>
      </c>
      <c r="AE14" s="67">
        <f>IF(AC14&gt;0,AB14/AC14,0)</f>
        <v/>
      </c>
    </row>
    <row r="15">
      <c r="A15" s="58" t="n">
        <v>1855</v>
      </c>
      <c r="B15" s="47">
        <f>B14+'Navy plan'!B15-IF($A15-Levers!$C$191&gt;=1846,INDEX('Navy plan'!B$6:B$92,$A15-1845-Levers!$C$191),0)</f>
        <v/>
      </c>
      <c r="C15" s="47">
        <f>C14+'Navy plan'!C15-IF($A15-Levers!$D$191&gt;=1846,INDEX('Navy plan'!C$6:C$92,$A15-1845-Levers!$D$191),0)</f>
        <v/>
      </c>
      <c r="D15" s="47">
        <f>D14+'Navy plan'!D15-IF($A15-Levers!$E$191&gt;=1846,INDEX('Navy plan'!D$6:D$92,$A15-1845-Levers!$E$191),0)</f>
        <v/>
      </c>
      <c r="E15" s="47">
        <f>E14+'Navy plan'!E15-IF($A15-Levers!$F$191&gt;=1846,INDEX('Navy plan'!E$6:E$92,$A15-1845-Levers!$F$191),0)</f>
        <v/>
      </c>
      <c r="F15" s="47">
        <f>F14+'Navy plan'!F15-IF($A15-Levers!$G$191&gt;=1846,INDEX('Navy plan'!F$6:F$92,$A15-1845-Levers!$G$191),0)</f>
        <v/>
      </c>
      <c r="G15" s="47">
        <f>G14+'Navy plan'!G15-IF($A15-Levers!$H$191&gt;=1846,INDEX('Navy plan'!G$6:G$92,$A15-1845-Levers!$H$191),0)</f>
        <v/>
      </c>
      <c r="H15" s="47">
        <f>H14+'Navy plan'!H15-IF($A15-Levers!$I$191&gt;=1846,INDEX('Navy plan'!H$6:H$92,$A15-1845-Levers!$I$191),0)</f>
        <v/>
      </c>
      <c r="I15" s="47">
        <f>I14+'Navy plan'!I15-IF($A15-Levers!$J$191&gt;=1846,INDEX('Navy plan'!I$6:I$92,$A15-1845-Levers!$J$191),0)</f>
        <v/>
      </c>
      <c r="J15" s="47">
        <f>J14+'Navy plan'!J15-IF($A15-Levers!$K$191&gt;=1846,INDEX('Navy plan'!J$6:J$92,$A15-1845-Levers!$K$191),0)</f>
        <v/>
      </c>
      <c r="K15" s="47">
        <f>SUM(B15:J15)</f>
        <v/>
      </c>
      <c r="L15" s="53">
        <f>0.5*SUMPRODUCT('Navy plan'!B15:'Navy plan'!J15,'Navy plan'!K15:'Navy plan'!S15)+0.5*SUMPRODUCT('Navy plan'!B16:'Navy plan'!J16,'Navy plan'!K16:'Navy plan'!S16)</f>
        <v/>
      </c>
      <c r="M15" s="47">
        <f>SUMPRODUCT(B15:J15,Levers!$C$192:$K$192)</f>
        <v/>
      </c>
      <c r="N15" s="47">
        <f>SUMPRODUCT(B15:J15,Levers!$C$195:$K$195)</f>
        <v/>
      </c>
      <c r="O15" s="47">
        <f>N15-M15</f>
        <v/>
      </c>
      <c r="P15" s="53">
        <f>M15*sailor_pay*Economy!H15/1000000</f>
        <v/>
      </c>
      <c r="Q15" s="53">
        <f>SUMPRODUCT(B15:J15,'Navy plan'!K15:'Navy plan'!S15)*maint_rate</f>
        <v/>
      </c>
      <c r="R15" s="53">
        <f>SUMPRODUCT(B15:J15,Levers!$C$193:$K$193)*Economy!H15</f>
        <v/>
      </c>
      <c r="S15" s="53">
        <f>SUMPRODUCT(B15:J15,Levers!$C$193:$K$193,Levers!$C$194:$K$194)*(1/oil_fuel-1)*Economy!H15</f>
        <v/>
      </c>
      <c r="T15" s="53">
        <f>S15+O15*sailor_pay*Economy!H15/1000000</f>
        <v/>
      </c>
      <c r="U15" s="53">
        <f>(P15+Q15+R15)*navy_overhead</f>
        <v/>
      </c>
      <c r="V15" s="53">
        <f>L15+P15+Q15+R15+U15</f>
        <v/>
      </c>
      <c r="W15" s="69">
        <f>Japan!I15</f>
        <v/>
      </c>
      <c r="X15" s="53">
        <f>IF($A15&gt;=1927,V15+W15,0)</f>
        <v/>
      </c>
      <c r="Y15" s="53">
        <f>IF($A15&gt;=1927,pac_quota*X15,V15)</f>
        <v/>
      </c>
      <c r="Z15" s="67">
        <f>SUMPRODUCT(B15:J15,Levers!$C$193:$K$193,Levers!$C$194:$K$194)/0.6</f>
        <v/>
      </c>
      <c r="AA15" s="62">
        <f>H15</f>
        <v/>
      </c>
      <c r="AB15" s="47">
        <f>AA15+'Navy plan'!T15</f>
        <v/>
      </c>
      <c r="AC15" s="62">
        <f>'Navy plan'!U15</f>
        <v/>
      </c>
      <c r="AD15" s="62">
        <f>'Navy plan'!V15</f>
        <v/>
      </c>
      <c r="AE15" s="67">
        <f>IF(AC15&gt;0,AB15/AC15,0)</f>
        <v/>
      </c>
    </row>
    <row r="16">
      <c r="A16" s="58" t="n">
        <v>1856</v>
      </c>
      <c r="B16" s="47">
        <f>B15+'Navy plan'!B16-IF($A16-Levers!$C$191&gt;=1846,INDEX('Navy plan'!B$6:B$92,$A16-1845-Levers!$C$191),0)</f>
        <v/>
      </c>
      <c r="C16" s="47">
        <f>C15+'Navy plan'!C16-IF($A16-Levers!$D$191&gt;=1846,INDEX('Navy plan'!C$6:C$92,$A16-1845-Levers!$D$191),0)</f>
        <v/>
      </c>
      <c r="D16" s="47">
        <f>D15+'Navy plan'!D16-IF($A16-Levers!$E$191&gt;=1846,INDEX('Navy plan'!D$6:D$92,$A16-1845-Levers!$E$191),0)</f>
        <v/>
      </c>
      <c r="E16" s="47">
        <f>E15+'Navy plan'!E16-IF($A16-Levers!$F$191&gt;=1846,INDEX('Navy plan'!E$6:E$92,$A16-1845-Levers!$F$191),0)</f>
        <v/>
      </c>
      <c r="F16" s="47">
        <f>F15+'Navy plan'!F16-IF($A16-Levers!$G$191&gt;=1846,INDEX('Navy plan'!F$6:F$92,$A16-1845-Levers!$G$191),0)</f>
        <v/>
      </c>
      <c r="G16" s="47">
        <f>G15+'Navy plan'!G16-IF($A16-Levers!$H$191&gt;=1846,INDEX('Navy plan'!G$6:G$92,$A16-1845-Levers!$H$191),0)</f>
        <v/>
      </c>
      <c r="H16" s="47">
        <f>H15+'Navy plan'!H16-IF($A16-Levers!$I$191&gt;=1846,INDEX('Navy plan'!H$6:H$92,$A16-1845-Levers!$I$191),0)</f>
        <v/>
      </c>
      <c r="I16" s="47">
        <f>I15+'Navy plan'!I16-IF($A16-Levers!$J$191&gt;=1846,INDEX('Navy plan'!I$6:I$92,$A16-1845-Levers!$J$191),0)</f>
        <v/>
      </c>
      <c r="J16" s="47">
        <f>J15+'Navy plan'!J16-IF($A16-Levers!$K$191&gt;=1846,INDEX('Navy plan'!J$6:J$92,$A16-1845-Levers!$K$191),0)</f>
        <v/>
      </c>
      <c r="K16" s="47">
        <f>SUM(B16:J16)</f>
        <v/>
      </c>
      <c r="L16" s="53">
        <f>0.5*SUMPRODUCT('Navy plan'!B16:'Navy plan'!J16,'Navy plan'!K16:'Navy plan'!S16)+0.5*SUMPRODUCT('Navy plan'!B17:'Navy plan'!J17,'Navy plan'!K17:'Navy plan'!S17)</f>
        <v/>
      </c>
      <c r="M16" s="47">
        <f>SUMPRODUCT(B16:J16,Levers!$C$192:$K$192)</f>
        <v/>
      </c>
      <c r="N16" s="47">
        <f>SUMPRODUCT(B16:J16,Levers!$C$195:$K$195)</f>
        <v/>
      </c>
      <c r="O16" s="47">
        <f>N16-M16</f>
        <v/>
      </c>
      <c r="P16" s="53">
        <f>M16*sailor_pay*Economy!H16/1000000</f>
        <v/>
      </c>
      <c r="Q16" s="53">
        <f>SUMPRODUCT(B16:J16,'Navy plan'!K16:'Navy plan'!S16)*maint_rate</f>
        <v/>
      </c>
      <c r="R16" s="53">
        <f>SUMPRODUCT(B16:J16,Levers!$C$193:$K$193)*Economy!H16</f>
        <v/>
      </c>
      <c r="S16" s="53">
        <f>SUMPRODUCT(B16:J16,Levers!$C$193:$K$193,Levers!$C$194:$K$194)*(1/oil_fuel-1)*Economy!H16</f>
        <v/>
      </c>
      <c r="T16" s="53">
        <f>S16+O16*sailor_pay*Economy!H16/1000000</f>
        <v/>
      </c>
      <c r="U16" s="53">
        <f>(P16+Q16+R16)*navy_overhead</f>
        <v/>
      </c>
      <c r="V16" s="53">
        <f>L16+P16+Q16+R16+U16</f>
        <v/>
      </c>
      <c r="W16" s="69">
        <f>Japan!I16</f>
        <v/>
      </c>
      <c r="X16" s="53">
        <f>IF($A16&gt;=1927,V16+W16,0)</f>
        <v/>
      </c>
      <c r="Y16" s="53">
        <f>IF($A16&gt;=1927,pac_quota*X16,V16)</f>
        <v/>
      </c>
      <c r="Z16" s="67">
        <f>SUMPRODUCT(B16:J16,Levers!$C$193:$K$193,Levers!$C$194:$K$194)/0.6</f>
        <v/>
      </c>
      <c r="AA16" s="62">
        <f>H16</f>
        <v/>
      </c>
      <c r="AB16" s="47">
        <f>AA16+'Navy plan'!T16</f>
        <v/>
      </c>
      <c r="AC16" s="62">
        <f>'Navy plan'!U16</f>
        <v/>
      </c>
      <c r="AD16" s="62">
        <f>'Navy plan'!V16</f>
        <v/>
      </c>
      <c r="AE16" s="67">
        <f>IF(AC16&gt;0,AB16/AC16,0)</f>
        <v/>
      </c>
    </row>
    <row r="17">
      <c r="A17" s="58" t="n">
        <v>1857</v>
      </c>
      <c r="B17" s="47">
        <f>B16+'Navy plan'!B17-IF($A17-Levers!$C$191&gt;=1846,INDEX('Navy plan'!B$6:B$92,$A17-1845-Levers!$C$191),0)</f>
        <v/>
      </c>
      <c r="C17" s="47">
        <f>C16+'Navy plan'!C17-IF($A17-Levers!$D$191&gt;=1846,INDEX('Navy plan'!C$6:C$92,$A17-1845-Levers!$D$191),0)</f>
        <v/>
      </c>
      <c r="D17" s="47">
        <f>D16+'Navy plan'!D17-IF($A17-Levers!$E$191&gt;=1846,INDEX('Navy plan'!D$6:D$92,$A17-1845-Levers!$E$191),0)</f>
        <v/>
      </c>
      <c r="E17" s="47">
        <f>E16+'Navy plan'!E17-IF($A17-Levers!$F$191&gt;=1846,INDEX('Navy plan'!E$6:E$92,$A17-1845-Levers!$F$191),0)</f>
        <v/>
      </c>
      <c r="F17" s="47">
        <f>F16+'Navy plan'!F17-IF($A17-Levers!$G$191&gt;=1846,INDEX('Navy plan'!F$6:F$92,$A17-1845-Levers!$G$191),0)</f>
        <v/>
      </c>
      <c r="G17" s="47">
        <f>G16+'Navy plan'!G17-IF($A17-Levers!$H$191&gt;=1846,INDEX('Navy plan'!G$6:G$92,$A17-1845-Levers!$H$191),0)</f>
        <v/>
      </c>
      <c r="H17" s="47">
        <f>H16+'Navy plan'!H17-IF($A17-Levers!$I$191&gt;=1846,INDEX('Navy plan'!H$6:H$92,$A17-1845-Levers!$I$191),0)</f>
        <v/>
      </c>
      <c r="I17" s="47">
        <f>I16+'Navy plan'!I17-IF($A17-Levers!$J$191&gt;=1846,INDEX('Navy plan'!I$6:I$92,$A17-1845-Levers!$J$191),0)</f>
        <v/>
      </c>
      <c r="J17" s="47">
        <f>J16+'Navy plan'!J17-IF($A17-Levers!$K$191&gt;=1846,INDEX('Navy plan'!J$6:J$92,$A17-1845-Levers!$K$191),0)</f>
        <v/>
      </c>
      <c r="K17" s="47">
        <f>SUM(B17:J17)</f>
        <v/>
      </c>
      <c r="L17" s="53">
        <f>0.5*SUMPRODUCT('Navy plan'!B17:'Navy plan'!J17,'Navy plan'!K17:'Navy plan'!S17)+0.5*SUMPRODUCT('Navy plan'!B18:'Navy plan'!J18,'Navy plan'!K18:'Navy plan'!S18)</f>
        <v/>
      </c>
      <c r="M17" s="47">
        <f>SUMPRODUCT(B17:J17,Levers!$C$192:$K$192)</f>
        <v/>
      </c>
      <c r="N17" s="47">
        <f>SUMPRODUCT(B17:J17,Levers!$C$195:$K$195)</f>
        <v/>
      </c>
      <c r="O17" s="47">
        <f>N17-M17</f>
        <v/>
      </c>
      <c r="P17" s="53">
        <f>M17*sailor_pay*Economy!H17/1000000</f>
        <v/>
      </c>
      <c r="Q17" s="53">
        <f>SUMPRODUCT(B17:J17,'Navy plan'!K17:'Navy plan'!S17)*maint_rate</f>
        <v/>
      </c>
      <c r="R17" s="53">
        <f>SUMPRODUCT(B17:J17,Levers!$C$193:$K$193)*Economy!H17</f>
        <v/>
      </c>
      <c r="S17" s="53">
        <f>SUMPRODUCT(B17:J17,Levers!$C$193:$K$193,Levers!$C$194:$K$194)*(1/oil_fuel-1)*Economy!H17</f>
        <v/>
      </c>
      <c r="T17" s="53">
        <f>S17+O17*sailor_pay*Economy!H17/1000000</f>
        <v/>
      </c>
      <c r="U17" s="53">
        <f>(P17+Q17+R17)*navy_overhead</f>
        <v/>
      </c>
      <c r="V17" s="53">
        <f>L17+P17+Q17+R17+U17</f>
        <v/>
      </c>
      <c r="W17" s="69">
        <f>Japan!I17</f>
        <v/>
      </c>
      <c r="X17" s="53">
        <f>IF($A17&gt;=1927,V17+W17,0)</f>
        <v/>
      </c>
      <c r="Y17" s="53">
        <f>IF($A17&gt;=1927,pac_quota*X17,V17)</f>
        <v/>
      </c>
      <c r="Z17" s="67">
        <f>SUMPRODUCT(B17:J17,Levers!$C$193:$K$193,Levers!$C$194:$K$194)/0.6</f>
        <v/>
      </c>
      <c r="AA17" s="62">
        <f>H17</f>
        <v/>
      </c>
      <c r="AB17" s="47">
        <f>AA17+'Navy plan'!T17</f>
        <v/>
      </c>
      <c r="AC17" s="62">
        <f>'Navy plan'!U17</f>
        <v/>
      </c>
      <c r="AD17" s="62">
        <f>'Navy plan'!V17</f>
        <v/>
      </c>
      <c r="AE17" s="67">
        <f>IF(AC17&gt;0,AB17/AC17,0)</f>
        <v/>
      </c>
    </row>
    <row r="18">
      <c r="A18" s="58" t="n">
        <v>1858</v>
      </c>
      <c r="B18" s="47">
        <f>B17+'Navy plan'!B18-IF($A18-Levers!$C$191&gt;=1846,INDEX('Navy plan'!B$6:B$92,$A18-1845-Levers!$C$191),0)</f>
        <v/>
      </c>
      <c r="C18" s="47">
        <f>C17+'Navy plan'!C18-IF($A18-Levers!$D$191&gt;=1846,INDEX('Navy plan'!C$6:C$92,$A18-1845-Levers!$D$191),0)</f>
        <v/>
      </c>
      <c r="D18" s="47">
        <f>D17+'Navy plan'!D18-IF($A18-Levers!$E$191&gt;=1846,INDEX('Navy plan'!D$6:D$92,$A18-1845-Levers!$E$191),0)</f>
        <v/>
      </c>
      <c r="E18" s="47">
        <f>E17+'Navy plan'!E18-IF($A18-Levers!$F$191&gt;=1846,INDEX('Navy plan'!E$6:E$92,$A18-1845-Levers!$F$191),0)</f>
        <v/>
      </c>
      <c r="F18" s="47">
        <f>F17+'Navy plan'!F18-IF($A18-Levers!$G$191&gt;=1846,INDEX('Navy plan'!F$6:F$92,$A18-1845-Levers!$G$191),0)</f>
        <v/>
      </c>
      <c r="G18" s="47">
        <f>G17+'Navy plan'!G18-IF($A18-Levers!$H$191&gt;=1846,INDEX('Navy plan'!G$6:G$92,$A18-1845-Levers!$H$191),0)</f>
        <v/>
      </c>
      <c r="H18" s="47">
        <f>H17+'Navy plan'!H18-IF($A18-Levers!$I$191&gt;=1846,INDEX('Navy plan'!H$6:H$92,$A18-1845-Levers!$I$191),0)</f>
        <v/>
      </c>
      <c r="I18" s="47">
        <f>I17+'Navy plan'!I18-IF($A18-Levers!$J$191&gt;=1846,INDEX('Navy plan'!I$6:I$92,$A18-1845-Levers!$J$191),0)</f>
        <v/>
      </c>
      <c r="J18" s="47">
        <f>J17+'Navy plan'!J18-IF($A18-Levers!$K$191&gt;=1846,INDEX('Navy plan'!J$6:J$92,$A18-1845-Levers!$K$191),0)</f>
        <v/>
      </c>
      <c r="K18" s="47">
        <f>SUM(B18:J18)</f>
        <v/>
      </c>
      <c r="L18" s="53">
        <f>0.5*SUMPRODUCT('Navy plan'!B18:'Navy plan'!J18,'Navy plan'!K18:'Navy plan'!S18)+0.5*SUMPRODUCT('Navy plan'!B19:'Navy plan'!J19,'Navy plan'!K19:'Navy plan'!S19)</f>
        <v/>
      </c>
      <c r="M18" s="47">
        <f>SUMPRODUCT(B18:J18,Levers!$C$192:$K$192)</f>
        <v/>
      </c>
      <c r="N18" s="47">
        <f>SUMPRODUCT(B18:J18,Levers!$C$195:$K$195)</f>
        <v/>
      </c>
      <c r="O18" s="47">
        <f>N18-M18</f>
        <v/>
      </c>
      <c r="P18" s="53">
        <f>M18*sailor_pay*Economy!H18/1000000</f>
        <v/>
      </c>
      <c r="Q18" s="53">
        <f>SUMPRODUCT(B18:J18,'Navy plan'!K18:'Navy plan'!S18)*maint_rate</f>
        <v/>
      </c>
      <c r="R18" s="53">
        <f>SUMPRODUCT(B18:J18,Levers!$C$193:$K$193)*Economy!H18</f>
        <v/>
      </c>
      <c r="S18" s="53">
        <f>SUMPRODUCT(B18:J18,Levers!$C$193:$K$193,Levers!$C$194:$K$194)*(1/oil_fuel-1)*Economy!H18</f>
        <v/>
      </c>
      <c r="T18" s="53">
        <f>S18+O18*sailor_pay*Economy!H18/1000000</f>
        <v/>
      </c>
      <c r="U18" s="53">
        <f>(P18+Q18+R18)*navy_overhead</f>
        <v/>
      </c>
      <c r="V18" s="53">
        <f>L18+P18+Q18+R18+U18</f>
        <v/>
      </c>
      <c r="W18" s="69">
        <f>Japan!I18</f>
        <v/>
      </c>
      <c r="X18" s="53">
        <f>IF($A18&gt;=1927,V18+W18,0)</f>
        <v/>
      </c>
      <c r="Y18" s="53">
        <f>IF($A18&gt;=1927,pac_quota*X18,V18)</f>
        <v/>
      </c>
      <c r="Z18" s="67">
        <f>SUMPRODUCT(B18:J18,Levers!$C$193:$K$193,Levers!$C$194:$K$194)/0.6</f>
        <v/>
      </c>
      <c r="AA18" s="62">
        <f>H18</f>
        <v/>
      </c>
      <c r="AB18" s="47">
        <f>AA18+'Navy plan'!T18</f>
        <v/>
      </c>
      <c r="AC18" s="62">
        <f>'Navy plan'!U18</f>
        <v/>
      </c>
      <c r="AD18" s="62">
        <f>'Navy plan'!V18</f>
        <v/>
      </c>
      <c r="AE18" s="67">
        <f>IF(AC18&gt;0,AB18/AC18,0)</f>
        <v/>
      </c>
    </row>
    <row r="19">
      <c r="A19" s="58" t="n">
        <v>1859</v>
      </c>
      <c r="B19" s="47">
        <f>B18+'Navy plan'!B19-IF($A19-Levers!$C$191&gt;=1846,INDEX('Navy plan'!B$6:B$92,$A19-1845-Levers!$C$191),0)</f>
        <v/>
      </c>
      <c r="C19" s="47">
        <f>C18+'Navy plan'!C19-IF($A19-Levers!$D$191&gt;=1846,INDEX('Navy plan'!C$6:C$92,$A19-1845-Levers!$D$191),0)</f>
        <v/>
      </c>
      <c r="D19" s="47">
        <f>D18+'Navy plan'!D19-IF($A19-Levers!$E$191&gt;=1846,INDEX('Navy plan'!D$6:D$92,$A19-1845-Levers!$E$191),0)</f>
        <v/>
      </c>
      <c r="E19" s="47">
        <f>E18+'Navy plan'!E19-IF($A19-Levers!$F$191&gt;=1846,INDEX('Navy plan'!E$6:E$92,$A19-1845-Levers!$F$191),0)</f>
        <v/>
      </c>
      <c r="F19" s="47">
        <f>F18+'Navy plan'!F19-IF($A19-Levers!$G$191&gt;=1846,INDEX('Navy plan'!F$6:F$92,$A19-1845-Levers!$G$191),0)</f>
        <v/>
      </c>
      <c r="G19" s="47">
        <f>G18+'Navy plan'!G19-IF($A19-Levers!$H$191&gt;=1846,INDEX('Navy plan'!G$6:G$92,$A19-1845-Levers!$H$191),0)</f>
        <v/>
      </c>
      <c r="H19" s="47">
        <f>H18+'Navy plan'!H19-IF($A19-Levers!$I$191&gt;=1846,INDEX('Navy plan'!H$6:H$92,$A19-1845-Levers!$I$191),0)</f>
        <v/>
      </c>
      <c r="I19" s="47">
        <f>I18+'Navy plan'!I19-IF($A19-Levers!$J$191&gt;=1846,INDEX('Navy plan'!I$6:I$92,$A19-1845-Levers!$J$191),0)</f>
        <v/>
      </c>
      <c r="J19" s="47">
        <f>J18+'Navy plan'!J19-IF($A19-Levers!$K$191&gt;=1846,INDEX('Navy plan'!J$6:J$92,$A19-1845-Levers!$K$191),0)</f>
        <v/>
      </c>
      <c r="K19" s="47">
        <f>SUM(B19:J19)</f>
        <v/>
      </c>
      <c r="L19" s="53">
        <f>0.5*SUMPRODUCT('Navy plan'!B19:'Navy plan'!J19,'Navy plan'!K19:'Navy plan'!S19)+0.5*SUMPRODUCT('Navy plan'!B20:'Navy plan'!J20,'Navy plan'!K20:'Navy plan'!S20)</f>
        <v/>
      </c>
      <c r="M19" s="47">
        <f>SUMPRODUCT(B19:J19,Levers!$C$192:$K$192)</f>
        <v/>
      </c>
      <c r="N19" s="47">
        <f>SUMPRODUCT(B19:J19,Levers!$C$195:$K$195)</f>
        <v/>
      </c>
      <c r="O19" s="47">
        <f>N19-M19</f>
        <v/>
      </c>
      <c r="P19" s="53">
        <f>M19*sailor_pay*Economy!H19/1000000</f>
        <v/>
      </c>
      <c r="Q19" s="53">
        <f>SUMPRODUCT(B19:J19,'Navy plan'!K19:'Navy plan'!S19)*maint_rate</f>
        <v/>
      </c>
      <c r="R19" s="53">
        <f>SUMPRODUCT(B19:J19,Levers!$C$193:$K$193)*Economy!H19</f>
        <v/>
      </c>
      <c r="S19" s="53">
        <f>SUMPRODUCT(B19:J19,Levers!$C$193:$K$193,Levers!$C$194:$K$194)*(1/oil_fuel-1)*Economy!H19</f>
        <v/>
      </c>
      <c r="T19" s="53">
        <f>S19+O19*sailor_pay*Economy!H19/1000000</f>
        <v/>
      </c>
      <c r="U19" s="53">
        <f>(P19+Q19+R19)*navy_overhead</f>
        <v/>
      </c>
      <c r="V19" s="53">
        <f>L19+P19+Q19+R19+U19</f>
        <v/>
      </c>
      <c r="W19" s="69">
        <f>Japan!I19</f>
        <v/>
      </c>
      <c r="X19" s="53">
        <f>IF($A19&gt;=1927,V19+W19,0)</f>
        <v/>
      </c>
      <c r="Y19" s="53">
        <f>IF($A19&gt;=1927,pac_quota*X19,V19)</f>
        <v/>
      </c>
      <c r="Z19" s="67">
        <f>SUMPRODUCT(B19:J19,Levers!$C$193:$K$193,Levers!$C$194:$K$194)/0.6</f>
        <v/>
      </c>
      <c r="AA19" s="62">
        <f>H19</f>
        <v/>
      </c>
      <c r="AB19" s="47">
        <f>AA19+'Navy plan'!T19</f>
        <v/>
      </c>
      <c r="AC19" s="62">
        <f>'Navy plan'!U19</f>
        <v/>
      </c>
      <c r="AD19" s="62">
        <f>'Navy plan'!V19</f>
        <v/>
      </c>
      <c r="AE19" s="67">
        <f>IF(AC19&gt;0,AB19/AC19,0)</f>
        <v/>
      </c>
    </row>
    <row r="20">
      <c r="A20" s="58" t="n">
        <v>1860</v>
      </c>
      <c r="B20" s="47">
        <f>B19+'Navy plan'!B20-IF($A20-Levers!$C$191&gt;=1846,INDEX('Navy plan'!B$6:B$92,$A20-1845-Levers!$C$191),0)</f>
        <v/>
      </c>
      <c r="C20" s="47">
        <f>C19+'Navy plan'!C20-IF($A20-Levers!$D$191&gt;=1846,INDEX('Navy plan'!C$6:C$92,$A20-1845-Levers!$D$191),0)</f>
        <v/>
      </c>
      <c r="D20" s="47">
        <f>D19+'Navy plan'!D20-IF($A20-Levers!$E$191&gt;=1846,INDEX('Navy plan'!D$6:D$92,$A20-1845-Levers!$E$191),0)</f>
        <v/>
      </c>
      <c r="E20" s="47">
        <f>E19+'Navy plan'!E20-IF($A20-Levers!$F$191&gt;=1846,INDEX('Navy plan'!E$6:E$92,$A20-1845-Levers!$F$191),0)</f>
        <v/>
      </c>
      <c r="F20" s="47">
        <f>F19+'Navy plan'!F20-IF($A20-Levers!$G$191&gt;=1846,INDEX('Navy plan'!F$6:F$92,$A20-1845-Levers!$G$191),0)</f>
        <v/>
      </c>
      <c r="G20" s="47">
        <f>G19+'Navy plan'!G20-IF($A20-Levers!$H$191&gt;=1846,INDEX('Navy plan'!G$6:G$92,$A20-1845-Levers!$H$191),0)</f>
        <v/>
      </c>
      <c r="H20" s="47">
        <f>H19+'Navy plan'!H20-IF($A20-Levers!$I$191&gt;=1846,INDEX('Navy plan'!H$6:H$92,$A20-1845-Levers!$I$191),0)</f>
        <v/>
      </c>
      <c r="I20" s="47">
        <f>I19+'Navy plan'!I20-IF($A20-Levers!$J$191&gt;=1846,INDEX('Navy plan'!I$6:I$92,$A20-1845-Levers!$J$191),0)</f>
        <v/>
      </c>
      <c r="J20" s="47">
        <f>J19+'Navy plan'!J20-IF($A20-Levers!$K$191&gt;=1846,INDEX('Navy plan'!J$6:J$92,$A20-1845-Levers!$K$191),0)</f>
        <v/>
      </c>
      <c r="K20" s="47">
        <f>SUM(B20:J20)</f>
        <v/>
      </c>
      <c r="L20" s="53">
        <f>0.5*SUMPRODUCT('Navy plan'!B20:'Navy plan'!J20,'Navy plan'!K20:'Navy plan'!S20)+0.5*SUMPRODUCT('Navy plan'!B21:'Navy plan'!J21,'Navy plan'!K21:'Navy plan'!S21)</f>
        <v/>
      </c>
      <c r="M20" s="47">
        <f>SUMPRODUCT(B20:J20,Levers!$C$192:$K$192)</f>
        <v/>
      </c>
      <c r="N20" s="47">
        <f>SUMPRODUCT(B20:J20,Levers!$C$195:$K$195)</f>
        <v/>
      </c>
      <c r="O20" s="47">
        <f>N20-M20</f>
        <v/>
      </c>
      <c r="P20" s="53">
        <f>M20*sailor_pay*Economy!H20/1000000</f>
        <v/>
      </c>
      <c r="Q20" s="53">
        <f>SUMPRODUCT(B20:J20,'Navy plan'!K20:'Navy plan'!S20)*maint_rate</f>
        <v/>
      </c>
      <c r="R20" s="53">
        <f>SUMPRODUCT(B20:J20,Levers!$C$193:$K$193)*Economy!H20</f>
        <v/>
      </c>
      <c r="S20" s="53">
        <f>SUMPRODUCT(B20:J20,Levers!$C$193:$K$193,Levers!$C$194:$K$194)*(1/oil_fuel-1)*Economy!H20</f>
        <v/>
      </c>
      <c r="T20" s="53">
        <f>S20+O20*sailor_pay*Economy!H20/1000000</f>
        <v/>
      </c>
      <c r="U20" s="53">
        <f>(P20+Q20+R20)*navy_overhead</f>
        <v/>
      </c>
      <c r="V20" s="53">
        <f>L20+P20+Q20+R20+U20</f>
        <v/>
      </c>
      <c r="W20" s="69">
        <f>Japan!I20</f>
        <v/>
      </c>
      <c r="X20" s="53">
        <f>IF($A20&gt;=1927,V20+W20,0)</f>
        <v/>
      </c>
      <c r="Y20" s="53">
        <f>IF($A20&gt;=1927,pac_quota*X20,V20)</f>
        <v/>
      </c>
      <c r="Z20" s="67">
        <f>SUMPRODUCT(B20:J20,Levers!$C$193:$K$193,Levers!$C$194:$K$194)/0.6</f>
        <v/>
      </c>
      <c r="AA20" s="62">
        <f>H20</f>
        <v/>
      </c>
      <c r="AB20" s="47">
        <f>AA20+'Navy plan'!T20</f>
        <v/>
      </c>
      <c r="AC20" s="62">
        <f>'Navy plan'!U20</f>
        <v/>
      </c>
      <c r="AD20" s="62">
        <f>'Navy plan'!V20</f>
        <v/>
      </c>
      <c r="AE20" s="67">
        <f>IF(AC20&gt;0,AB20/AC20,0)</f>
        <v/>
      </c>
    </row>
    <row r="21">
      <c r="A21" s="58" t="n">
        <v>1861</v>
      </c>
      <c r="B21" s="47">
        <f>B20+'Navy plan'!B21-IF($A21-Levers!$C$191&gt;=1846,INDEX('Navy plan'!B$6:B$92,$A21-1845-Levers!$C$191),0)</f>
        <v/>
      </c>
      <c r="C21" s="47">
        <f>C20+'Navy plan'!C21-IF($A21-Levers!$D$191&gt;=1846,INDEX('Navy plan'!C$6:C$92,$A21-1845-Levers!$D$191),0)</f>
        <v/>
      </c>
      <c r="D21" s="47">
        <f>D20+'Navy plan'!D21-IF($A21-Levers!$E$191&gt;=1846,INDEX('Navy plan'!D$6:D$92,$A21-1845-Levers!$E$191),0)</f>
        <v/>
      </c>
      <c r="E21" s="47">
        <f>E20+'Navy plan'!E21-IF($A21-Levers!$F$191&gt;=1846,INDEX('Navy plan'!E$6:E$92,$A21-1845-Levers!$F$191),0)</f>
        <v/>
      </c>
      <c r="F21" s="47">
        <f>F20+'Navy plan'!F21-IF($A21-Levers!$G$191&gt;=1846,INDEX('Navy plan'!F$6:F$92,$A21-1845-Levers!$G$191),0)</f>
        <v/>
      </c>
      <c r="G21" s="47">
        <f>G20+'Navy plan'!G21-IF($A21-Levers!$H$191&gt;=1846,INDEX('Navy plan'!G$6:G$92,$A21-1845-Levers!$H$191),0)</f>
        <v/>
      </c>
      <c r="H21" s="47">
        <f>H20+'Navy plan'!H21-IF($A21-Levers!$I$191&gt;=1846,INDEX('Navy plan'!H$6:H$92,$A21-1845-Levers!$I$191),0)</f>
        <v/>
      </c>
      <c r="I21" s="47">
        <f>I20+'Navy plan'!I21-IF($A21-Levers!$J$191&gt;=1846,INDEX('Navy plan'!I$6:I$92,$A21-1845-Levers!$J$191),0)</f>
        <v/>
      </c>
      <c r="J21" s="47">
        <f>J20+'Navy plan'!J21-IF($A21-Levers!$K$191&gt;=1846,INDEX('Navy plan'!J$6:J$92,$A21-1845-Levers!$K$191),0)</f>
        <v/>
      </c>
      <c r="K21" s="47">
        <f>SUM(B21:J21)</f>
        <v/>
      </c>
      <c r="L21" s="53">
        <f>0.5*SUMPRODUCT('Navy plan'!B21:'Navy plan'!J21,'Navy plan'!K21:'Navy plan'!S21)+0.5*SUMPRODUCT('Navy plan'!B22:'Navy plan'!J22,'Navy plan'!K22:'Navy plan'!S22)</f>
        <v/>
      </c>
      <c r="M21" s="47">
        <f>SUMPRODUCT(B21:J21,Levers!$C$192:$K$192)</f>
        <v/>
      </c>
      <c r="N21" s="47">
        <f>SUMPRODUCT(B21:J21,Levers!$C$195:$K$195)</f>
        <v/>
      </c>
      <c r="O21" s="47">
        <f>N21-M21</f>
        <v/>
      </c>
      <c r="P21" s="53">
        <f>M21*sailor_pay*Economy!H21/1000000</f>
        <v/>
      </c>
      <c r="Q21" s="53">
        <f>SUMPRODUCT(B21:J21,'Navy plan'!K21:'Navy plan'!S21)*maint_rate</f>
        <v/>
      </c>
      <c r="R21" s="53">
        <f>SUMPRODUCT(B21:J21,Levers!$C$193:$K$193)*Economy!H21</f>
        <v/>
      </c>
      <c r="S21" s="53">
        <f>SUMPRODUCT(B21:J21,Levers!$C$193:$K$193,Levers!$C$194:$K$194)*(1/oil_fuel-1)*Economy!H21</f>
        <v/>
      </c>
      <c r="T21" s="53">
        <f>S21+O21*sailor_pay*Economy!H21/1000000</f>
        <v/>
      </c>
      <c r="U21" s="53">
        <f>(P21+Q21+R21)*navy_overhead</f>
        <v/>
      </c>
      <c r="V21" s="53">
        <f>L21+P21+Q21+R21+U21</f>
        <v/>
      </c>
      <c r="W21" s="69">
        <f>Japan!I21</f>
        <v/>
      </c>
      <c r="X21" s="53">
        <f>IF($A21&gt;=1927,V21+W21,0)</f>
        <v/>
      </c>
      <c r="Y21" s="53">
        <f>IF($A21&gt;=1927,pac_quota*X21,V21)</f>
        <v/>
      </c>
      <c r="Z21" s="67">
        <f>SUMPRODUCT(B21:J21,Levers!$C$193:$K$193,Levers!$C$194:$K$194)/0.6</f>
        <v/>
      </c>
      <c r="AA21" s="62">
        <f>H21</f>
        <v/>
      </c>
      <c r="AB21" s="47">
        <f>AA21+'Navy plan'!T21</f>
        <v/>
      </c>
      <c r="AC21" s="62">
        <f>'Navy plan'!U21</f>
        <v/>
      </c>
      <c r="AD21" s="62">
        <f>'Navy plan'!V21</f>
        <v/>
      </c>
      <c r="AE21" s="67">
        <f>IF(AC21&gt;0,AB21/AC21,0)</f>
        <v/>
      </c>
    </row>
    <row r="22">
      <c r="A22" s="58" t="n">
        <v>1862</v>
      </c>
      <c r="B22" s="47">
        <f>B21+'Navy plan'!B22-IF($A22-Levers!$C$191&gt;=1846,INDEX('Navy plan'!B$6:B$92,$A22-1845-Levers!$C$191),0)</f>
        <v/>
      </c>
      <c r="C22" s="47">
        <f>C21+'Navy plan'!C22-IF($A22-Levers!$D$191&gt;=1846,INDEX('Navy plan'!C$6:C$92,$A22-1845-Levers!$D$191),0)</f>
        <v/>
      </c>
      <c r="D22" s="47">
        <f>D21+'Navy plan'!D22-IF($A22-Levers!$E$191&gt;=1846,INDEX('Navy plan'!D$6:D$92,$A22-1845-Levers!$E$191),0)</f>
        <v/>
      </c>
      <c r="E22" s="47">
        <f>E21+'Navy plan'!E22-IF($A22-Levers!$F$191&gt;=1846,INDEX('Navy plan'!E$6:E$92,$A22-1845-Levers!$F$191),0)</f>
        <v/>
      </c>
      <c r="F22" s="47">
        <f>F21+'Navy plan'!F22-IF($A22-Levers!$G$191&gt;=1846,INDEX('Navy plan'!F$6:F$92,$A22-1845-Levers!$G$191),0)</f>
        <v/>
      </c>
      <c r="G22" s="47">
        <f>G21+'Navy plan'!G22-IF($A22-Levers!$H$191&gt;=1846,INDEX('Navy plan'!G$6:G$92,$A22-1845-Levers!$H$191),0)</f>
        <v/>
      </c>
      <c r="H22" s="47">
        <f>H21+'Navy plan'!H22-IF($A22-Levers!$I$191&gt;=1846,INDEX('Navy plan'!H$6:H$92,$A22-1845-Levers!$I$191),0)</f>
        <v/>
      </c>
      <c r="I22" s="47">
        <f>I21+'Navy plan'!I22-IF($A22-Levers!$J$191&gt;=1846,INDEX('Navy plan'!I$6:I$92,$A22-1845-Levers!$J$191),0)</f>
        <v/>
      </c>
      <c r="J22" s="47">
        <f>J21+'Navy plan'!J22-IF($A22-Levers!$K$191&gt;=1846,INDEX('Navy plan'!J$6:J$92,$A22-1845-Levers!$K$191),0)</f>
        <v/>
      </c>
      <c r="K22" s="47">
        <f>SUM(B22:J22)</f>
        <v/>
      </c>
      <c r="L22" s="53">
        <f>0.5*SUMPRODUCT('Navy plan'!B22:'Navy plan'!J22,'Navy plan'!K22:'Navy plan'!S22)+0.5*SUMPRODUCT('Navy plan'!B23:'Navy plan'!J23,'Navy plan'!K23:'Navy plan'!S23)</f>
        <v/>
      </c>
      <c r="M22" s="47">
        <f>SUMPRODUCT(B22:J22,Levers!$C$192:$K$192)</f>
        <v/>
      </c>
      <c r="N22" s="47">
        <f>SUMPRODUCT(B22:J22,Levers!$C$195:$K$195)</f>
        <v/>
      </c>
      <c r="O22" s="47">
        <f>N22-M22</f>
        <v/>
      </c>
      <c r="P22" s="53">
        <f>M22*sailor_pay*Economy!H22/1000000</f>
        <v/>
      </c>
      <c r="Q22" s="53">
        <f>SUMPRODUCT(B22:J22,'Navy plan'!K22:'Navy plan'!S22)*maint_rate</f>
        <v/>
      </c>
      <c r="R22" s="53">
        <f>SUMPRODUCT(B22:J22,Levers!$C$193:$K$193)*Economy!H22</f>
        <v/>
      </c>
      <c r="S22" s="53">
        <f>SUMPRODUCT(B22:J22,Levers!$C$193:$K$193,Levers!$C$194:$K$194)*(1/oil_fuel-1)*Economy!H22</f>
        <v/>
      </c>
      <c r="T22" s="53">
        <f>S22+O22*sailor_pay*Economy!H22/1000000</f>
        <v/>
      </c>
      <c r="U22" s="53">
        <f>(P22+Q22+R22)*navy_overhead</f>
        <v/>
      </c>
      <c r="V22" s="53">
        <f>L22+P22+Q22+R22+U22</f>
        <v/>
      </c>
      <c r="W22" s="69">
        <f>Japan!I22</f>
        <v/>
      </c>
      <c r="X22" s="53">
        <f>IF($A22&gt;=1927,V22+W22,0)</f>
        <v/>
      </c>
      <c r="Y22" s="53">
        <f>IF($A22&gt;=1927,pac_quota*X22,V22)</f>
        <v/>
      </c>
      <c r="Z22" s="67">
        <f>SUMPRODUCT(B22:J22,Levers!$C$193:$K$193,Levers!$C$194:$K$194)/0.6</f>
        <v/>
      </c>
      <c r="AA22" s="62">
        <f>H22</f>
        <v/>
      </c>
      <c r="AB22" s="47">
        <f>AA22+'Navy plan'!T22</f>
        <v/>
      </c>
      <c r="AC22" s="62">
        <f>'Navy plan'!U22</f>
        <v/>
      </c>
      <c r="AD22" s="62">
        <f>'Navy plan'!V22</f>
        <v/>
      </c>
      <c r="AE22" s="67">
        <f>IF(AC22&gt;0,AB22/AC22,0)</f>
        <v/>
      </c>
    </row>
    <row r="23">
      <c r="A23" s="58" t="n">
        <v>1863</v>
      </c>
      <c r="B23" s="47">
        <f>B22+'Navy plan'!B23-IF($A23-Levers!$C$191&gt;=1846,INDEX('Navy plan'!B$6:B$92,$A23-1845-Levers!$C$191),0)</f>
        <v/>
      </c>
      <c r="C23" s="47">
        <f>C22+'Navy plan'!C23-IF($A23-Levers!$D$191&gt;=1846,INDEX('Navy plan'!C$6:C$92,$A23-1845-Levers!$D$191),0)</f>
        <v/>
      </c>
      <c r="D23" s="47">
        <f>D22+'Navy plan'!D23-IF($A23-Levers!$E$191&gt;=1846,INDEX('Navy plan'!D$6:D$92,$A23-1845-Levers!$E$191),0)</f>
        <v/>
      </c>
      <c r="E23" s="47">
        <f>E22+'Navy plan'!E23-IF($A23-Levers!$F$191&gt;=1846,INDEX('Navy plan'!E$6:E$92,$A23-1845-Levers!$F$191),0)</f>
        <v/>
      </c>
      <c r="F23" s="47">
        <f>F22+'Navy plan'!F23-IF($A23-Levers!$G$191&gt;=1846,INDEX('Navy plan'!F$6:F$92,$A23-1845-Levers!$G$191),0)</f>
        <v/>
      </c>
      <c r="G23" s="47">
        <f>G22+'Navy plan'!G23-IF($A23-Levers!$H$191&gt;=1846,INDEX('Navy plan'!G$6:G$92,$A23-1845-Levers!$H$191),0)</f>
        <v/>
      </c>
      <c r="H23" s="47">
        <f>H22+'Navy plan'!H23-IF($A23-Levers!$I$191&gt;=1846,INDEX('Navy plan'!H$6:H$92,$A23-1845-Levers!$I$191),0)</f>
        <v/>
      </c>
      <c r="I23" s="47">
        <f>I22+'Navy plan'!I23-IF($A23-Levers!$J$191&gt;=1846,INDEX('Navy plan'!I$6:I$92,$A23-1845-Levers!$J$191),0)</f>
        <v/>
      </c>
      <c r="J23" s="47">
        <f>J22+'Navy plan'!J23-IF($A23-Levers!$K$191&gt;=1846,INDEX('Navy plan'!J$6:J$92,$A23-1845-Levers!$K$191),0)</f>
        <v/>
      </c>
      <c r="K23" s="47">
        <f>SUM(B23:J23)</f>
        <v/>
      </c>
      <c r="L23" s="53">
        <f>0.5*SUMPRODUCT('Navy plan'!B23:'Navy plan'!J23,'Navy plan'!K23:'Navy plan'!S23)+0.5*SUMPRODUCT('Navy plan'!B24:'Navy plan'!J24,'Navy plan'!K24:'Navy plan'!S24)</f>
        <v/>
      </c>
      <c r="M23" s="47">
        <f>SUMPRODUCT(B23:J23,Levers!$C$192:$K$192)</f>
        <v/>
      </c>
      <c r="N23" s="47">
        <f>SUMPRODUCT(B23:J23,Levers!$C$195:$K$195)</f>
        <v/>
      </c>
      <c r="O23" s="47">
        <f>N23-M23</f>
        <v/>
      </c>
      <c r="P23" s="53">
        <f>M23*sailor_pay*Economy!H23/1000000</f>
        <v/>
      </c>
      <c r="Q23" s="53">
        <f>SUMPRODUCT(B23:J23,'Navy plan'!K23:'Navy plan'!S23)*maint_rate</f>
        <v/>
      </c>
      <c r="R23" s="53">
        <f>SUMPRODUCT(B23:J23,Levers!$C$193:$K$193)*Economy!H23</f>
        <v/>
      </c>
      <c r="S23" s="53">
        <f>SUMPRODUCT(B23:J23,Levers!$C$193:$K$193,Levers!$C$194:$K$194)*(1/oil_fuel-1)*Economy!H23</f>
        <v/>
      </c>
      <c r="T23" s="53">
        <f>S23+O23*sailor_pay*Economy!H23/1000000</f>
        <v/>
      </c>
      <c r="U23" s="53">
        <f>(P23+Q23+R23)*navy_overhead</f>
        <v/>
      </c>
      <c r="V23" s="53">
        <f>L23+P23+Q23+R23+U23</f>
        <v/>
      </c>
      <c r="W23" s="69">
        <f>Japan!I23</f>
        <v/>
      </c>
      <c r="X23" s="53">
        <f>IF($A23&gt;=1927,V23+W23,0)</f>
        <v/>
      </c>
      <c r="Y23" s="53">
        <f>IF($A23&gt;=1927,pac_quota*X23,V23)</f>
        <v/>
      </c>
      <c r="Z23" s="67">
        <f>SUMPRODUCT(B23:J23,Levers!$C$193:$K$193,Levers!$C$194:$K$194)/0.6</f>
        <v/>
      </c>
      <c r="AA23" s="62">
        <f>H23</f>
        <v/>
      </c>
      <c r="AB23" s="47">
        <f>AA23+'Navy plan'!T23</f>
        <v/>
      </c>
      <c r="AC23" s="62">
        <f>'Navy plan'!U23</f>
        <v/>
      </c>
      <c r="AD23" s="62">
        <f>'Navy plan'!V23</f>
        <v/>
      </c>
      <c r="AE23" s="67">
        <f>IF(AC23&gt;0,AB23/AC23,0)</f>
        <v/>
      </c>
    </row>
    <row r="24">
      <c r="A24" s="58" t="n">
        <v>1864</v>
      </c>
      <c r="B24" s="47">
        <f>B23+'Navy plan'!B24-IF($A24-Levers!$C$191&gt;=1846,INDEX('Navy plan'!B$6:B$92,$A24-1845-Levers!$C$191),0)</f>
        <v/>
      </c>
      <c r="C24" s="47">
        <f>C23+'Navy plan'!C24-IF($A24-Levers!$D$191&gt;=1846,INDEX('Navy plan'!C$6:C$92,$A24-1845-Levers!$D$191),0)</f>
        <v/>
      </c>
      <c r="D24" s="47">
        <f>D23+'Navy plan'!D24-IF($A24-Levers!$E$191&gt;=1846,INDEX('Navy plan'!D$6:D$92,$A24-1845-Levers!$E$191),0)</f>
        <v/>
      </c>
      <c r="E24" s="47">
        <f>E23+'Navy plan'!E24-IF($A24-Levers!$F$191&gt;=1846,INDEX('Navy plan'!E$6:E$92,$A24-1845-Levers!$F$191),0)</f>
        <v/>
      </c>
      <c r="F24" s="47">
        <f>F23+'Navy plan'!F24-IF($A24-Levers!$G$191&gt;=1846,INDEX('Navy plan'!F$6:F$92,$A24-1845-Levers!$G$191),0)</f>
        <v/>
      </c>
      <c r="G24" s="47">
        <f>G23+'Navy plan'!G24-IF($A24-Levers!$H$191&gt;=1846,INDEX('Navy plan'!G$6:G$92,$A24-1845-Levers!$H$191),0)</f>
        <v/>
      </c>
      <c r="H24" s="47">
        <f>H23+'Navy plan'!H24-IF($A24-Levers!$I$191&gt;=1846,INDEX('Navy plan'!H$6:H$92,$A24-1845-Levers!$I$191),0)</f>
        <v/>
      </c>
      <c r="I24" s="47">
        <f>I23+'Navy plan'!I24-IF($A24-Levers!$J$191&gt;=1846,INDEX('Navy plan'!I$6:I$92,$A24-1845-Levers!$J$191),0)</f>
        <v/>
      </c>
      <c r="J24" s="47">
        <f>J23+'Navy plan'!J24-IF($A24-Levers!$K$191&gt;=1846,INDEX('Navy plan'!J$6:J$92,$A24-1845-Levers!$K$191),0)</f>
        <v/>
      </c>
      <c r="K24" s="47">
        <f>SUM(B24:J24)</f>
        <v/>
      </c>
      <c r="L24" s="53">
        <f>0.5*SUMPRODUCT('Navy plan'!B24:'Navy plan'!J24,'Navy plan'!K24:'Navy plan'!S24)+0.5*SUMPRODUCT('Navy plan'!B25:'Navy plan'!J25,'Navy plan'!K25:'Navy plan'!S25)</f>
        <v/>
      </c>
      <c r="M24" s="47">
        <f>SUMPRODUCT(B24:J24,Levers!$C$192:$K$192)</f>
        <v/>
      </c>
      <c r="N24" s="47">
        <f>SUMPRODUCT(B24:J24,Levers!$C$195:$K$195)</f>
        <v/>
      </c>
      <c r="O24" s="47">
        <f>N24-M24</f>
        <v/>
      </c>
      <c r="P24" s="53">
        <f>M24*sailor_pay*Economy!H24/1000000</f>
        <v/>
      </c>
      <c r="Q24" s="53">
        <f>SUMPRODUCT(B24:J24,'Navy plan'!K24:'Navy plan'!S24)*maint_rate</f>
        <v/>
      </c>
      <c r="R24" s="53">
        <f>SUMPRODUCT(B24:J24,Levers!$C$193:$K$193)*Economy!H24</f>
        <v/>
      </c>
      <c r="S24" s="53">
        <f>SUMPRODUCT(B24:J24,Levers!$C$193:$K$193,Levers!$C$194:$K$194)*(1/oil_fuel-1)*Economy!H24</f>
        <v/>
      </c>
      <c r="T24" s="53">
        <f>S24+O24*sailor_pay*Economy!H24/1000000</f>
        <v/>
      </c>
      <c r="U24" s="53">
        <f>(P24+Q24+R24)*navy_overhead</f>
        <v/>
      </c>
      <c r="V24" s="53">
        <f>L24+P24+Q24+R24+U24</f>
        <v/>
      </c>
      <c r="W24" s="69">
        <f>Japan!I24</f>
        <v/>
      </c>
      <c r="X24" s="53">
        <f>IF($A24&gt;=1927,V24+W24,0)</f>
        <v/>
      </c>
      <c r="Y24" s="53">
        <f>IF($A24&gt;=1927,pac_quota*X24,V24)</f>
        <v/>
      </c>
      <c r="Z24" s="67">
        <f>SUMPRODUCT(B24:J24,Levers!$C$193:$K$193,Levers!$C$194:$K$194)/0.6</f>
        <v/>
      </c>
      <c r="AA24" s="62">
        <f>H24</f>
        <v/>
      </c>
      <c r="AB24" s="47">
        <f>AA24+'Navy plan'!T24</f>
        <v/>
      </c>
      <c r="AC24" s="62">
        <f>'Navy plan'!U24</f>
        <v/>
      </c>
      <c r="AD24" s="62">
        <f>'Navy plan'!V24</f>
        <v/>
      </c>
      <c r="AE24" s="67">
        <f>IF(AC24&gt;0,AB24/AC24,0)</f>
        <v/>
      </c>
    </row>
    <row r="25">
      <c r="A25" s="58" t="n">
        <v>1865</v>
      </c>
      <c r="B25" s="47">
        <f>B24+'Navy plan'!B25-IF($A25-Levers!$C$191&gt;=1846,INDEX('Navy plan'!B$6:B$92,$A25-1845-Levers!$C$191),0)</f>
        <v/>
      </c>
      <c r="C25" s="47">
        <f>C24+'Navy plan'!C25-IF($A25-Levers!$D$191&gt;=1846,INDEX('Navy plan'!C$6:C$92,$A25-1845-Levers!$D$191),0)</f>
        <v/>
      </c>
      <c r="D25" s="47">
        <f>D24+'Navy plan'!D25-IF($A25-Levers!$E$191&gt;=1846,INDEX('Navy plan'!D$6:D$92,$A25-1845-Levers!$E$191),0)</f>
        <v/>
      </c>
      <c r="E25" s="47">
        <f>E24+'Navy plan'!E25-IF($A25-Levers!$F$191&gt;=1846,INDEX('Navy plan'!E$6:E$92,$A25-1845-Levers!$F$191),0)</f>
        <v/>
      </c>
      <c r="F25" s="47">
        <f>F24+'Navy plan'!F25-IF($A25-Levers!$G$191&gt;=1846,INDEX('Navy plan'!F$6:F$92,$A25-1845-Levers!$G$191),0)</f>
        <v/>
      </c>
      <c r="G25" s="47">
        <f>G24+'Navy plan'!G25-IF($A25-Levers!$H$191&gt;=1846,INDEX('Navy plan'!G$6:G$92,$A25-1845-Levers!$H$191),0)</f>
        <v/>
      </c>
      <c r="H25" s="47">
        <f>H24+'Navy plan'!H25-IF($A25-Levers!$I$191&gt;=1846,INDEX('Navy plan'!H$6:H$92,$A25-1845-Levers!$I$191),0)</f>
        <v/>
      </c>
      <c r="I25" s="47">
        <f>I24+'Navy plan'!I25-IF($A25-Levers!$J$191&gt;=1846,INDEX('Navy plan'!I$6:I$92,$A25-1845-Levers!$J$191),0)</f>
        <v/>
      </c>
      <c r="J25" s="47">
        <f>J24+'Navy plan'!J25-IF($A25-Levers!$K$191&gt;=1846,INDEX('Navy plan'!J$6:J$92,$A25-1845-Levers!$K$191),0)</f>
        <v/>
      </c>
      <c r="K25" s="47">
        <f>SUM(B25:J25)</f>
        <v/>
      </c>
      <c r="L25" s="53">
        <f>0.5*SUMPRODUCT('Navy plan'!B25:'Navy plan'!J25,'Navy plan'!K25:'Navy plan'!S25)+0.5*SUMPRODUCT('Navy plan'!B26:'Navy plan'!J26,'Navy plan'!K26:'Navy plan'!S26)</f>
        <v/>
      </c>
      <c r="M25" s="47">
        <f>SUMPRODUCT(B25:J25,Levers!$C$192:$K$192)</f>
        <v/>
      </c>
      <c r="N25" s="47">
        <f>SUMPRODUCT(B25:J25,Levers!$C$195:$K$195)</f>
        <v/>
      </c>
      <c r="O25" s="47">
        <f>N25-M25</f>
        <v/>
      </c>
      <c r="P25" s="53">
        <f>M25*sailor_pay*Economy!H25/1000000</f>
        <v/>
      </c>
      <c r="Q25" s="53">
        <f>SUMPRODUCT(B25:J25,'Navy plan'!K25:'Navy plan'!S25)*maint_rate</f>
        <v/>
      </c>
      <c r="R25" s="53">
        <f>SUMPRODUCT(B25:J25,Levers!$C$193:$K$193)*Economy!H25</f>
        <v/>
      </c>
      <c r="S25" s="53">
        <f>SUMPRODUCT(B25:J25,Levers!$C$193:$K$193,Levers!$C$194:$K$194)*(1/oil_fuel-1)*Economy!H25</f>
        <v/>
      </c>
      <c r="T25" s="53">
        <f>S25+O25*sailor_pay*Economy!H25/1000000</f>
        <v/>
      </c>
      <c r="U25" s="53">
        <f>(P25+Q25+R25)*navy_overhead</f>
        <v/>
      </c>
      <c r="V25" s="53">
        <f>L25+P25+Q25+R25+U25</f>
        <v/>
      </c>
      <c r="W25" s="69">
        <f>Japan!I25</f>
        <v/>
      </c>
      <c r="X25" s="53">
        <f>IF($A25&gt;=1927,V25+W25,0)</f>
        <v/>
      </c>
      <c r="Y25" s="53">
        <f>IF($A25&gt;=1927,pac_quota*X25,V25)</f>
        <v/>
      </c>
      <c r="Z25" s="67">
        <f>SUMPRODUCT(B25:J25,Levers!$C$193:$K$193,Levers!$C$194:$K$194)/0.6</f>
        <v/>
      </c>
      <c r="AA25" s="62">
        <f>H25</f>
        <v/>
      </c>
      <c r="AB25" s="47">
        <f>AA25+'Navy plan'!T25</f>
        <v/>
      </c>
      <c r="AC25" s="62">
        <f>'Navy plan'!U25</f>
        <v/>
      </c>
      <c r="AD25" s="62">
        <f>'Navy plan'!V25</f>
        <v/>
      </c>
      <c r="AE25" s="67">
        <f>IF(AC25&gt;0,AB25/AC25,0)</f>
        <v/>
      </c>
    </row>
    <row r="26">
      <c r="A26" s="58" t="n">
        <v>1866</v>
      </c>
      <c r="B26" s="47">
        <f>B25+'Navy plan'!B26-IF($A26-Levers!$C$191&gt;=1846,INDEX('Navy plan'!B$6:B$92,$A26-1845-Levers!$C$191),0)</f>
        <v/>
      </c>
      <c r="C26" s="47">
        <f>C25+'Navy plan'!C26-IF($A26-Levers!$D$191&gt;=1846,INDEX('Navy plan'!C$6:C$92,$A26-1845-Levers!$D$191),0)</f>
        <v/>
      </c>
      <c r="D26" s="47">
        <f>D25+'Navy plan'!D26-IF($A26-Levers!$E$191&gt;=1846,INDEX('Navy plan'!D$6:D$92,$A26-1845-Levers!$E$191),0)</f>
        <v/>
      </c>
      <c r="E26" s="47">
        <f>E25+'Navy plan'!E26-IF($A26-Levers!$F$191&gt;=1846,INDEX('Navy plan'!E$6:E$92,$A26-1845-Levers!$F$191),0)</f>
        <v/>
      </c>
      <c r="F26" s="47">
        <f>F25+'Navy plan'!F26-IF($A26-Levers!$G$191&gt;=1846,INDEX('Navy plan'!F$6:F$92,$A26-1845-Levers!$G$191),0)</f>
        <v/>
      </c>
      <c r="G26" s="47">
        <f>G25+'Navy plan'!G26-IF($A26-Levers!$H$191&gt;=1846,INDEX('Navy plan'!G$6:G$92,$A26-1845-Levers!$H$191),0)</f>
        <v/>
      </c>
      <c r="H26" s="47">
        <f>H25+'Navy plan'!H26-IF($A26-Levers!$I$191&gt;=1846,INDEX('Navy plan'!H$6:H$92,$A26-1845-Levers!$I$191),0)</f>
        <v/>
      </c>
      <c r="I26" s="47">
        <f>I25+'Navy plan'!I26-IF($A26-Levers!$J$191&gt;=1846,INDEX('Navy plan'!I$6:I$92,$A26-1845-Levers!$J$191),0)</f>
        <v/>
      </c>
      <c r="J26" s="47">
        <f>J25+'Navy plan'!J26-IF($A26-Levers!$K$191&gt;=1846,INDEX('Navy plan'!J$6:J$92,$A26-1845-Levers!$K$191),0)</f>
        <v/>
      </c>
      <c r="K26" s="47">
        <f>SUM(B26:J26)</f>
        <v/>
      </c>
      <c r="L26" s="53">
        <f>0.5*SUMPRODUCT('Navy plan'!B26:'Navy plan'!J26,'Navy plan'!K26:'Navy plan'!S26)+0.5*SUMPRODUCT('Navy plan'!B27:'Navy plan'!J27,'Navy plan'!K27:'Navy plan'!S27)</f>
        <v/>
      </c>
      <c r="M26" s="47">
        <f>SUMPRODUCT(B26:J26,Levers!$C$192:$K$192)</f>
        <v/>
      </c>
      <c r="N26" s="47">
        <f>SUMPRODUCT(B26:J26,Levers!$C$195:$K$195)</f>
        <v/>
      </c>
      <c r="O26" s="47">
        <f>N26-M26</f>
        <v/>
      </c>
      <c r="P26" s="53">
        <f>M26*sailor_pay*Economy!H26/1000000</f>
        <v/>
      </c>
      <c r="Q26" s="53">
        <f>SUMPRODUCT(B26:J26,'Navy plan'!K26:'Navy plan'!S26)*maint_rate</f>
        <v/>
      </c>
      <c r="R26" s="53">
        <f>SUMPRODUCT(B26:J26,Levers!$C$193:$K$193)*Economy!H26</f>
        <v/>
      </c>
      <c r="S26" s="53">
        <f>SUMPRODUCT(B26:J26,Levers!$C$193:$K$193,Levers!$C$194:$K$194)*(1/oil_fuel-1)*Economy!H26</f>
        <v/>
      </c>
      <c r="T26" s="53">
        <f>S26+O26*sailor_pay*Economy!H26/1000000</f>
        <v/>
      </c>
      <c r="U26" s="53">
        <f>(P26+Q26+R26)*navy_overhead</f>
        <v/>
      </c>
      <c r="V26" s="53">
        <f>L26+P26+Q26+R26+U26</f>
        <v/>
      </c>
      <c r="W26" s="69">
        <f>Japan!I26</f>
        <v/>
      </c>
      <c r="X26" s="53">
        <f>IF($A26&gt;=1927,V26+W26,0)</f>
        <v/>
      </c>
      <c r="Y26" s="53">
        <f>IF($A26&gt;=1927,pac_quota*X26,V26)</f>
        <v/>
      </c>
      <c r="Z26" s="67">
        <f>SUMPRODUCT(B26:J26,Levers!$C$193:$K$193,Levers!$C$194:$K$194)/0.6</f>
        <v/>
      </c>
      <c r="AA26" s="62">
        <f>H26</f>
        <v/>
      </c>
      <c r="AB26" s="47">
        <f>AA26+'Navy plan'!T26</f>
        <v/>
      </c>
      <c r="AC26" s="62">
        <f>'Navy plan'!U26</f>
        <v/>
      </c>
      <c r="AD26" s="62">
        <f>'Navy plan'!V26</f>
        <v/>
      </c>
      <c r="AE26" s="67">
        <f>IF(AC26&gt;0,AB26/AC26,0)</f>
        <v/>
      </c>
    </row>
    <row r="27">
      <c r="A27" s="58" t="n">
        <v>1867</v>
      </c>
      <c r="B27" s="47">
        <f>B26+'Navy plan'!B27-IF($A27-Levers!$C$191&gt;=1846,INDEX('Navy plan'!B$6:B$92,$A27-1845-Levers!$C$191),0)</f>
        <v/>
      </c>
      <c r="C27" s="47">
        <f>C26+'Navy plan'!C27-IF($A27-Levers!$D$191&gt;=1846,INDEX('Navy plan'!C$6:C$92,$A27-1845-Levers!$D$191),0)</f>
        <v/>
      </c>
      <c r="D27" s="47">
        <f>D26+'Navy plan'!D27-IF($A27-Levers!$E$191&gt;=1846,INDEX('Navy plan'!D$6:D$92,$A27-1845-Levers!$E$191),0)</f>
        <v/>
      </c>
      <c r="E27" s="47">
        <f>E26+'Navy plan'!E27-IF($A27-Levers!$F$191&gt;=1846,INDEX('Navy plan'!E$6:E$92,$A27-1845-Levers!$F$191),0)</f>
        <v/>
      </c>
      <c r="F27" s="47">
        <f>F26+'Navy plan'!F27-IF($A27-Levers!$G$191&gt;=1846,INDEX('Navy plan'!F$6:F$92,$A27-1845-Levers!$G$191),0)</f>
        <v/>
      </c>
      <c r="G27" s="47">
        <f>G26+'Navy plan'!G27-IF($A27-Levers!$H$191&gt;=1846,INDEX('Navy plan'!G$6:G$92,$A27-1845-Levers!$H$191),0)</f>
        <v/>
      </c>
      <c r="H27" s="47">
        <f>H26+'Navy plan'!H27-IF($A27-Levers!$I$191&gt;=1846,INDEX('Navy plan'!H$6:H$92,$A27-1845-Levers!$I$191),0)</f>
        <v/>
      </c>
      <c r="I27" s="47">
        <f>I26+'Navy plan'!I27-IF($A27-Levers!$J$191&gt;=1846,INDEX('Navy plan'!I$6:I$92,$A27-1845-Levers!$J$191),0)</f>
        <v/>
      </c>
      <c r="J27" s="47">
        <f>J26+'Navy plan'!J27-IF($A27-Levers!$K$191&gt;=1846,INDEX('Navy plan'!J$6:J$92,$A27-1845-Levers!$K$191),0)</f>
        <v/>
      </c>
      <c r="K27" s="47">
        <f>SUM(B27:J27)</f>
        <v/>
      </c>
      <c r="L27" s="53">
        <f>0.5*SUMPRODUCT('Navy plan'!B27:'Navy plan'!J27,'Navy plan'!K27:'Navy plan'!S27)+0.5*SUMPRODUCT('Navy plan'!B28:'Navy plan'!J28,'Navy plan'!K28:'Navy plan'!S28)</f>
        <v/>
      </c>
      <c r="M27" s="47">
        <f>SUMPRODUCT(B27:J27,Levers!$C$192:$K$192)</f>
        <v/>
      </c>
      <c r="N27" s="47">
        <f>SUMPRODUCT(B27:J27,Levers!$C$195:$K$195)</f>
        <v/>
      </c>
      <c r="O27" s="47">
        <f>N27-M27</f>
        <v/>
      </c>
      <c r="P27" s="53">
        <f>M27*sailor_pay*Economy!H27/1000000</f>
        <v/>
      </c>
      <c r="Q27" s="53">
        <f>SUMPRODUCT(B27:J27,'Navy plan'!K27:'Navy plan'!S27)*maint_rate</f>
        <v/>
      </c>
      <c r="R27" s="53">
        <f>SUMPRODUCT(B27:J27,Levers!$C$193:$K$193)*Economy!H27</f>
        <v/>
      </c>
      <c r="S27" s="53">
        <f>SUMPRODUCT(B27:J27,Levers!$C$193:$K$193,Levers!$C$194:$K$194)*(1/oil_fuel-1)*Economy!H27</f>
        <v/>
      </c>
      <c r="T27" s="53">
        <f>S27+O27*sailor_pay*Economy!H27/1000000</f>
        <v/>
      </c>
      <c r="U27" s="53">
        <f>(P27+Q27+R27)*navy_overhead</f>
        <v/>
      </c>
      <c r="V27" s="53">
        <f>L27+P27+Q27+R27+U27</f>
        <v/>
      </c>
      <c r="W27" s="69">
        <f>Japan!I27</f>
        <v/>
      </c>
      <c r="X27" s="53">
        <f>IF($A27&gt;=1927,V27+W27,0)</f>
        <v/>
      </c>
      <c r="Y27" s="53">
        <f>IF($A27&gt;=1927,pac_quota*X27,V27)</f>
        <v/>
      </c>
      <c r="Z27" s="67">
        <f>SUMPRODUCT(B27:J27,Levers!$C$193:$K$193,Levers!$C$194:$K$194)/0.6</f>
        <v/>
      </c>
      <c r="AA27" s="62">
        <f>H27</f>
        <v/>
      </c>
      <c r="AB27" s="47">
        <f>AA27+'Navy plan'!T27</f>
        <v/>
      </c>
      <c r="AC27" s="62">
        <f>'Navy plan'!U27</f>
        <v/>
      </c>
      <c r="AD27" s="62">
        <f>'Navy plan'!V27</f>
        <v/>
      </c>
      <c r="AE27" s="67">
        <f>IF(AC27&gt;0,AB27/AC27,0)</f>
        <v/>
      </c>
    </row>
    <row r="28">
      <c r="A28" s="58" t="n">
        <v>1868</v>
      </c>
      <c r="B28" s="47">
        <f>B27+'Navy plan'!B28-IF($A28-Levers!$C$191&gt;=1846,INDEX('Navy plan'!B$6:B$92,$A28-1845-Levers!$C$191),0)</f>
        <v/>
      </c>
      <c r="C28" s="47">
        <f>C27+'Navy plan'!C28-IF($A28-Levers!$D$191&gt;=1846,INDEX('Navy plan'!C$6:C$92,$A28-1845-Levers!$D$191),0)</f>
        <v/>
      </c>
      <c r="D28" s="47">
        <f>D27+'Navy plan'!D28-IF($A28-Levers!$E$191&gt;=1846,INDEX('Navy plan'!D$6:D$92,$A28-1845-Levers!$E$191),0)</f>
        <v/>
      </c>
      <c r="E28" s="47">
        <f>E27+'Navy plan'!E28-IF($A28-Levers!$F$191&gt;=1846,INDEX('Navy plan'!E$6:E$92,$A28-1845-Levers!$F$191),0)</f>
        <v/>
      </c>
      <c r="F28" s="47">
        <f>F27+'Navy plan'!F28-IF($A28-Levers!$G$191&gt;=1846,INDEX('Navy plan'!F$6:F$92,$A28-1845-Levers!$G$191),0)</f>
        <v/>
      </c>
      <c r="G28" s="47">
        <f>G27+'Navy plan'!G28-IF($A28-Levers!$H$191&gt;=1846,INDEX('Navy plan'!G$6:G$92,$A28-1845-Levers!$H$191),0)</f>
        <v/>
      </c>
      <c r="H28" s="47">
        <f>H27+'Navy plan'!H28-IF($A28-Levers!$I$191&gt;=1846,INDEX('Navy plan'!H$6:H$92,$A28-1845-Levers!$I$191),0)</f>
        <v/>
      </c>
      <c r="I28" s="47">
        <f>I27+'Navy plan'!I28-IF($A28-Levers!$J$191&gt;=1846,INDEX('Navy plan'!I$6:I$92,$A28-1845-Levers!$J$191),0)</f>
        <v/>
      </c>
      <c r="J28" s="47">
        <f>J27+'Navy plan'!J28-IF($A28-Levers!$K$191&gt;=1846,INDEX('Navy plan'!J$6:J$92,$A28-1845-Levers!$K$191),0)</f>
        <v/>
      </c>
      <c r="K28" s="47">
        <f>SUM(B28:J28)</f>
        <v/>
      </c>
      <c r="L28" s="53">
        <f>0.5*SUMPRODUCT('Navy plan'!B28:'Navy plan'!J28,'Navy plan'!K28:'Navy plan'!S28)+0.5*SUMPRODUCT('Navy plan'!B29:'Navy plan'!J29,'Navy plan'!K29:'Navy plan'!S29)</f>
        <v/>
      </c>
      <c r="M28" s="47">
        <f>SUMPRODUCT(B28:J28,Levers!$C$192:$K$192)</f>
        <v/>
      </c>
      <c r="N28" s="47">
        <f>SUMPRODUCT(B28:J28,Levers!$C$195:$K$195)</f>
        <v/>
      </c>
      <c r="O28" s="47">
        <f>N28-M28</f>
        <v/>
      </c>
      <c r="P28" s="53">
        <f>M28*sailor_pay*Economy!H28/1000000</f>
        <v/>
      </c>
      <c r="Q28" s="53">
        <f>SUMPRODUCT(B28:J28,'Navy plan'!K28:'Navy plan'!S28)*maint_rate</f>
        <v/>
      </c>
      <c r="R28" s="53">
        <f>SUMPRODUCT(B28:J28,Levers!$C$193:$K$193)*Economy!H28</f>
        <v/>
      </c>
      <c r="S28" s="53">
        <f>SUMPRODUCT(B28:J28,Levers!$C$193:$K$193,Levers!$C$194:$K$194)*(1/oil_fuel-1)*Economy!H28</f>
        <v/>
      </c>
      <c r="T28" s="53">
        <f>S28+O28*sailor_pay*Economy!H28/1000000</f>
        <v/>
      </c>
      <c r="U28" s="53">
        <f>(P28+Q28+R28)*navy_overhead</f>
        <v/>
      </c>
      <c r="V28" s="53">
        <f>L28+P28+Q28+R28+U28</f>
        <v/>
      </c>
      <c r="W28" s="69">
        <f>Japan!I28</f>
        <v/>
      </c>
      <c r="X28" s="53">
        <f>IF($A28&gt;=1927,V28+W28,0)</f>
        <v/>
      </c>
      <c r="Y28" s="53">
        <f>IF($A28&gt;=1927,pac_quota*X28,V28)</f>
        <v/>
      </c>
      <c r="Z28" s="67">
        <f>SUMPRODUCT(B28:J28,Levers!$C$193:$K$193,Levers!$C$194:$K$194)/0.6</f>
        <v/>
      </c>
      <c r="AA28" s="62">
        <f>H28</f>
        <v/>
      </c>
      <c r="AB28" s="47">
        <f>AA28+'Navy plan'!T28</f>
        <v/>
      </c>
      <c r="AC28" s="62">
        <f>'Navy plan'!U28</f>
        <v/>
      </c>
      <c r="AD28" s="62">
        <f>'Navy plan'!V28</f>
        <v/>
      </c>
      <c r="AE28" s="67">
        <f>IF(AC28&gt;0,AB28/AC28,0)</f>
        <v/>
      </c>
    </row>
    <row r="29">
      <c r="A29" s="58" t="n">
        <v>1869</v>
      </c>
      <c r="B29" s="47">
        <f>B28+'Navy plan'!B29-IF($A29-Levers!$C$191&gt;=1846,INDEX('Navy plan'!B$6:B$92,$A29-1845-Levers!$C$191),0)</f>
        <v/>
      </c>
      <c r="C29" s="47">
        <f>C28+'Navy plan'!C29-IF($A29-Levers!$D$191&gt;=1846,INDEX('Navy plan'!C$6:C$92,$A29-1845-Levers!$D$191),0)</f>
        <v/>
      </c>
      <c r="D29" s="47">
        <f>D28+'Navy plan'!D29-IF($A29-Levers!$E$191&gt;=1846,INDEX('Navy plan'!D$6:D$92,$A29-1845-Levers!$E$191),0)</f>
        <v/>
      </c>
      <c r="E29" s="47">
        <f>E28+'Navy plan'!E29-IF($A29-Levers!$F$191&gt;=1846,INDEX('Navy plan'!E$6:E$92,$A29-1845-Levers!$F$191),0)</f>
        <v/>
      </c>
      <c r="F29" s="47">
        <f>F28+'Navy plan'!F29-IF($A29-Levers!$G$191&gt;=1846,INDEX('Navy plan'!F$6:F$92,$A29-1845-Levers!$G$191),0)</f>
        <v/>
      </c>
      <c r="G29" s="47">
        <f>G28+'Navy plan'!G29-IF($A29-Levers!$H$191&gt;=1846,INDEX('Navy plan'!G$6:G$92,$A29-1845-Levers!$H$191),0)</f>
        <v/>
      </c>
      <c r="H29" s="47">
        <f>H28+'Navy plan'!H29-IF($A29-Levers!$I$191&gt;=1846,INDEX('Navy plan'!H$6:H$92,$A29-1845-Levers!$I$191),0)</f>
        <v/>
      </c>
      <c r="I29" s="47">
        <f>I28+'Navy plan'!I29-IF($A29-Levers!$J$191&gt;=1846,INDEX('Navy plan'!I$6:I$92,$A29-1845-Levers!$J$191),0)</f>
        <v/>
      </c>
      <c r="J29" s="47">
        <f>J28+'Navy plan'!J29-IF($A29-Levers!$K$191&gt;=1846,INDEX('Navy plan'!J$6:J$92,$A29-1845-Levers!$K$191),0)</f>
        <v/>
      </c>
      <c r="K29" s="47">
        <f>SUM(B29:J29)</f>
        <v/>
      </c>
      <c r="L29" s="53">
        <f>0.5*SUMPRODUCT('Navy plan'!B29:'Navy plan'!J29,'Navy plan'!K29:'Navy plan'!S29)+0.5*SUMPRODUCT('Navy plan'!B30:'Navy plan'!J30,'Navy plan'!K30:'Navy plan'!S30)</f>
        <v/>
      </c>
      <c r="M29" s="47">
        <f>SUMPRODUCT(B29:J29,Levers!$C$192:$K$192)</f>
        <v/>
      </c>
      <c r="N29" s="47">
        <f>SUMPRODUCT(B29:J29,Levers!$C$195:$K$195)</f>
        <v/>
      </c>
      <c r="O29" s="47">
        <f>N29-M29</f>
        <v/>
      </c>
      <c r="P29" s="53">
        <f>M29*sailor_pay*Economy!H29/1000000</f>
        <v/>
      </c>
      <c r="Q29" s="53">
        <f>SUMPRODUCT(B29:J29,'Navy plan'!K29:'Navy plan'!S29)*maint_rate</f>
        <v/>
      </c>
      <c r="R29" s="53">
        <f>SUMPRODUCT(B29:J29,Levers!$C$193:$K$193)*Economy!H29</f>
        <v/>
      </c>
      <c r="S29" s="53">
        <f>SUMPRODUCT(B29:J29,Levers!$C$193:$K$193,Levers!$C$194:$K$194)*(1/oil_fuel-1)*Economy!H29</f>
        <v/>
      </c>
      <c r="T29" s="53">
        <f>S29+O29*sailor_pay*Economy!H29/1000000</f>
        <v/>
      </c>
      <c r="U29" s="53">
        <f>(P29+Q29+R29)*navy_overhead</f>
        <v/>
      </c>
      <c r="V29" s="53">
        <f>L29+P29+Q29+R29+U29</f>
        <v/>
      </c>
      <c r="W29" s="69">
        <f>Japan!I29</f>
        <v/>
      </c>
      <c r="X29" s="53">
        <f>IF($A29&gt;=1927,V29+W29,0)</f>
        <v/>
      </c>
      <c r="Y29" s="53">
        <f>IF($A29&gt;=1927,pac_quota*X29,V29)</f>
        <v/>
      </c>
      <c r="Z29" s="67">
        <f>SUMPRODUCT(B29:J29,Levers!$C$193:$K$193,Levers!$C$194:$K$194)/0.6</f>
        <v/>
      </c>
      <c r="AA29" s="62">
        <f>H29</f>
        <v/>
      </c>
      <c r="AB29" s="47">
        <f>AA29+'Navy plan'!T29</f>
        <v/>
      </c>
      <c r="AC29" s="62">
        <f>'Navy plan'!U29</f>
        <v/>
      </c>
      <c r="AD29" s="62">
        <f>'Navy plan'!V29</f>
        <v/>
      </c>
      <c r="AE29" s="67">
        <f>IF(AC29&gt;0,AB29/AC29,0)</f>
        <v/>
      </c>
    </row>
    <row r="30">
      <c r="A30" s="58" t="n">
        <v>1870</v>
      </c>
      <c r="B30" s="47">
        <f>B29+'Navy plan'!B30-IF($A30-Levers!$C$191&gt;=1846,INDEX('Navy plan'!B$6:B$92,$A30-1845-Levers!$C$191),0)</f>
        <v/>
      </c>
      <c r="C30" s="47">
        <f>C29+'Navy plan'!C30-IF($A30-Levers!$D$191&gt;=1846,INDEX('Navy plan'!C$6:C$92,$A30-1845-Levers!$D$191),0)</f>
        <v/>
      </c>
      <c r="D30" s="47">
        <f>D29+'Navy plan'!D30-IF($A30-Levers!$E$191&gt;=1846,INDEX('Navy plan'!D$6:D$92,$A30-1845-Levers!$E$191),0)</f>
        <v/>
      </c>
      <c r="E30" s="47">
        <f>E29+'Navy plan'!E30-IF($A30-Levers!$F$191&gt;=1846,INDEX('Navy plan'!E$6:E$92,$A30-1845-Levers!$F$191),0)</f>
        <v/>
      </c>
      <c r="F30" s="47">
        <f>F29+'Navy plan'!F30-IF($A30-Levers!$G$191&gt;=1846,INDEX('Navy plan'!F$6:F$92,$A30-1845-Levers!$G$191),0)</f>
        <v/>
      </c>
      <c r="G30" s="47">
        <f>G29+'Navy plan'!G30-IF($A30-Levers!$H$191&gt;=1846,INDEX('Navy plan'!G$6:G$92,$A30-1845-Levers!$H$191),0)</f>
        <v/>
      </c>
      <c r="H30" s="47">
        <f>H29+'Navy plan'!H30-IF($A30-Levers!$I$191&gt;=1846,INDEX('Navy plan'!H$6:H$92,$A30-1845-Levers!$I$191),0)</f>
        <v/>
      </c>
      <c r="I30" s="47">
        <f>I29+'Navy plan'!I30-IF($A30-Levers!$J$191&gt;=1846,INDEX('Navy plan'!I$6:I$92,$A30-1845-Levers!$J$191),0)</f>
        <v/>
      </c>
      <c r="J30" s="47">
        <f>J29+'Navy plan'!J30-IF($A30-Levers!$K$191&gt;=1846,INDEX('Navy plan'!J$6:J$92,$A30-1845-Levers!$K$191),0)</f>
        <v/>
      </c>
      <c r="K30" s="47">
        <f>SUM(B30:J30)</f>
        <v/>
      </c>
      <c r="L30" s="53">
        <f>0.5*SUMPRODUCT('Navy plan'!B30:'Navy plan'!J30,'Navy plan'!K30:'Navy plan'!S30)+0.5*SUMPRODUCT('Navy plan'!B31:'Navy plan'!J31,'Navy plan'!K31:'Navy plan'!S31)</f>
        <v/>
      </c>
      <c r="M30" s="47">
        <f>SUMPRODUCT(B30:J30,Levers!$C$192:$K$192)</f>
        <v/>
      </c>
      <c r="N30" s="47">
        <f>SUMPRODUCT(B30:J30,Levers!$C$195:$K$195)</f>
        <v/>
      </c>
      <c r="O30" s="47">
        <f>N30-M30</f>
        <v/>
      </c>
      <c r="P30" s="53">
        <f>M30*sailor_pay*Economy!H30/1000000</f>
        <v/>
      </c>
      <c r="Q30" s="53">
        <f>SUMPRODUCT(B30:J30,'Navy plan'!K30:'Navy plan'!S30)*maint_rate</f>
        <v/>
      </c>
      <c r="R30" s="53">
        <f>SUMPRODUCT(B30:J30,Levers!$C$193:$K$193)*Economy!H30</f>
        <v/>
      </c>
      <c r="S30" s="53">
        <f>SUMPRODUCT(B30:J30,Levers!$C$193:$K$193,Levers!$C$194:$K$194)*(1/oil_fuel-1)*Economy!H30</f>
        <v/>
      </c>
      <c r="T30" s="53">
        <f>S30+O30*sailor_pay*Economy!H30/1000000</f>
        <v/>
      </c>
      <c r="U30" s="53">
        <f>(P30+Q30+R30)*navy_overhead</f>
        <v/>
      </c>
      <c r="V30" s="53">
        <f>L30+P30+Q30+R30+U30</f>
        <v/>
      </c>
      <c r="W30" s="69">
        <f>Japan!I30</f>
        <v/>
      </c>
      <c r="X30" s="53">
        <f>IF($A30&gt;=1927,V30+W30,0)</f>
        <v/>
      </c>
      <c r="Y30" s="53">
        <f>IF($A30&gt;=1927,pac_quota*X30,V30)</f>
        <v/>
      </c>
      <c r="Z30" s="67">
        <f>SUMPRODUCT(B30:J30,Levers!$C$193:$K$193,Levers!$C$194:$K$194)/0.6</f>
        <v/>
      </c>
      <c r="AA30" s="62">
        <f>H30</f>
        <v/>
      </c>
      <c r="AB30" s="47">
        <f>AA30+'Navy plan'!T30</f>
        <v/>
      </c>
      <c r="AC30" s="62">
        <f>'Navy plan'!U30</f>
        <v/>
      </c>
      <c r="AD30" s="62">
        <f>'Navy plan'!V30</f>
        <v/>
      </c>
      <c r="AE30" s="67">
        <f>IF(AC30&gt;0,AB30/AC30,0)</f>
        <v/>
      </c>
    </row>
    <row r="31">
      <c r="A31" s="58" t="n">
        <v>1871</v>
      </c>
      <c r="B31" s="47">
        <f>B30+'Navy plan'!B31-IF($A31-Levers!$C$191&gt;=1846,INDEX('Navy plan'!B$6:B$92,$A31-1845-Levers!$C$191),0)</f>
        <v/>
      </c>
      <c r="C31" s="47">
        <f>C30+'Navy plan'!C31-IF($A31-Levers!$D$191&gt;=1846,INDEX('Navy plan'!C$6:C$92,$A31-1845-Levers!$D$191),0)</f>
        <v/>
      </c>
      <c r="D31" s="47">
        <f>D30+'Navy plan'!D31-IF($A31-Levers!$E$191&gt;=1846,INDEX('Navy plan'!D$6:D$92,$A31-1845-Levers!$E$191),0)</f>
        <v/>
      </c>
      <c r="E31" s="47">
        <f>E30+'Navy plan'!E31-IF($A31-Levers!$F$191&gt;=1846,INDEX('Navy plan'!E$6:E$92,$A31-1845-Levers!$F$191),0)</f>
        <v/>
      </c>
      <c r="F31" s="47">
        <f>F30+'Navy plan'!F31-IF($A31-Levers!$G$191&gt;=1846,INDEX('Navy plan'!F$6:F$92,$A31-1845-Levers!$G$191),0)</f>
        <v/>
      </c>
      <c r="G31" s="47">
        <f>G30+'Navy plan'!G31-IF($A31-Levers!$H$191&gt;=1846,INDEX('Navy plan'!G$6:G$92,$A31-1845-Levers!$H$191),0)</f>
        <v/>
      </c>
      <c r="H31" s="47">
        <f>H30+'Navy plan'!H31-IF($A31-Levers!$I$191&gt;=1846,INDEX('Navy plan'!H$6:H$92,$A31-1845-Levers!$I$191),0)</f>
        <v/>
      </c>
      <c r="I31" s="47">
        <f>I30+'Navy plan'!I31-IF($A31-Levers!$J$191&gt;=1846,INDEX('Navy plan'!I$6:I$92,$A31-1845-Levers!$J$191),0)</f>
        <v/>
      </c>
      <c r="J31" s="47">
        <f>J30+'Navy plan'!J31-IF($A31-Levers!$K$191&gt;=1846,INDEX('Navy plan'!J$6:J$92,$A31-1845-Levers!$K$191),0)</f>
        <v/>
      </c>
      <c r="K31" s="47">
        <f>SUM(B31:J31)</f>
        <v/>
      </c>
      <c r="L31" s="53">
        <f>0.5*SUMPRODUCT('Navy plan'!B31:'Navy plan'!J31,'Navy plan'!K31:'Navy plan'!S31)+0.5*SUMPRODUCT('Navy plan'!B32:'Navy plan'!J32,'Navy plan'!K32:'Navy plan'!S32)</f>
        <v/>
      </c>
      <c r="M31" s="47">
        <f>SUMPRODUCT(B31:J31,Levers!$C$192:$K$192)</f>
        <v/>
      </c>
      <c r="N31" s="47">
        <f>SUMPRODUCT(B31:J31,Levers!$C$195:$K$195)</f>
        <v/>
      </c>
      <c r="O31" s="47">
        <f>N31-M31</f>
        <v/>
      </c>
      <c r="P31" s="53">
        <f>M31*sailor_pay*Economy!H31/1000000</f>
        <v/>
      </c>
      <c r="Q31" s="53">
        <f>SUMPRODUCT(B31:J31,'Navy plan'!K31:'Navy plan'!S31)*maint_rate</f>
        <v/>
      </c>
      <c r="R31" s="53">
        <f>SUMPRODUCT(B31:J31,Levers!$C$193:$K$193)*Economy!H31</f>
        <v/>
      </c>
      <c r="S31" s="53">
        <f>SUMPRODUCT(B31:J31,Levers!$C$193:$K$193,Levers!$C$194:$K$194)*(1/oil_fuel-1)*Economy!H31</f>
        <v/>
      </c>
      <c r="T31" s="53">
        <f>S31+O31*sailor_pay*Economy!H31/1000000</f>
        <v/>
      </c>
      <c r="U31" s="53">
        <f>(P31+Q31+R31)*navy_overhead</f>
        <v/>
      </c>
      <c r="V31" s="53">
        <f>L31+P31+Q31+R31+U31</f>
        <v/>
      </c>
      <c r="W31" s="69">
        <f>Japan!I31</f>
        <v/>
      </c>
      <c r="X31" s="53">
        <f>IF($A31&gt;=1927,V31+W31,0)</f>
        <v/>
      </c>
      <c r="Y31" s="53">
        <f>IF($A31&gt;=1927,pac_quota*X31,V31)</f>
        <v/>
      </c>
      <c r="Z31" s="67">
        <f>SUMPRODUCT(B31:J31,Levers!$C$193:$K$193,Levers!$C$194:$K$194)/0.6</f>
        <v/>
      </c>
      <c r="AA31" s="62">
        <f>H31</f>
        <v/>
      </c>
      <c r="AB31" s="47">
        <f>AA31+'Navy plan'!T31</f>
        <v/>
      </c>
      <c r="AC31" s="62">
        <f>'Navy plan'!U31</f>
        <v/>
      </c>
      <c r="AD31" s="62">
        <f>'Navy plan'!V31</f>
        <v/>
      </c>
      <c r="AE31" s="67">
        <f>IF(AC31&gt;0,AB31/AC31,0)</f>
        <v/>
      </c>
    </row>
    <row r="32">
      <c r="A32" s="58" t="n">
        <v>1872</v>
      </c>
      <c r="B32" s="47">
        <f>B31+'Navy plan'!B32-IF($A32-Levers!$C$191&gt;=1846,INDEX('Navy plan'!B$6:B$92,$A32-1845-Levers!$C$191),0)</f>
        <v/>
      </c>
      <c r="C32" s="47">
        <f>C31+'Navy plan'!C32-IF($A32-Levers!$D$191&gt;=1846,INDEX('Navy plan'!C$6:C$92,$A32-1845-Levers!$D$191),0)</f>
        <v/>
      </c>
      <c r="D32" s="47">
        <f>D31+'Navy plan'!D32-IF($A32-Levers!$E$191&gt;=1846,INDEX('Navy plan'!D$6:D$92,$A32-1845-Levers!$E$191),0)</f>
        <v/>
      </c>
      <c r="E32" s="47">
        <f>E31+'Navy plan'!E32-IF($A32-Levers!$F$191&gt;=1846,INDEX('Navy plan'!E$6:E$92,$A32-1845-Levers!$F$191),0)</f>
        <v/>
      </c>
      <c r="F32" s="47">
        <f>F31+'Navy plan'!F32-IF($A32-Levers!$G$191&gt;=1846,INDEX('Navy plan'!F$6:F$92,$A32-1845-Levers!$G$191),0)</f>
        <v/>
      </c>
      <c r="G32" s="47">
        <f>G31+'Navy plan'!G32-IF($A32-Levers!$H$191&gt;=1846,INDEX('Navy plan'!G$6:G$92,$A32-1845-Levers!$H$191),0)</f>
        <v/>
      </c>
      <c r="H32" s="47">
        <f>H31+'Navy plan'!H32-IF($A32-Levers!$I$191&gt;=1846,INDEX('Navy plan'!H$6:H$92,$A32-1845-Levers!$I$191),0)</f>
        <v/>
      </c>
      <c r="I32" s="47">
        <f>I31+'Navy plan'!I32-IF($A32-Levers!$J$191&gt;=1846,INDEX('Navy plan'!I$6:I$92,$A32-1845-Levers!$J$191),0)</f>
        <v/>
      </c>
      <c r="J32" s="47">
        <f>J31+'Navy plan'!J32-IF($A32-Levers!$K$191&gt;=1846,INDEX('Navy plan'!J$6:J$92,$A32-1845-Levers!$K$191),0)</f>
        <v/>
      </c>
      <c r="K32" s="47">
        <f>SUM(B32:J32)</f>
        <v/>
      </c>
      <c r="L32" s="53">
        <f>0.5*SUMPRODUCT('Navy plan'!B32:'Navy plan'!J32,'Navy plan'!K32:'Navy plan'!S32)+0.5*SUMPRODUCT('Navy plan'!B33:'Navy plan'!J33,'Navy plan'!K33:'Navy plan'!S33)</f>
        <v/>
      </c>
      <c r="M32" s="47">
        <f>SUMPRODUCT(B32:J32,Levers!$C$192:$K$192)</f>
        <v/>
      </c>
      <c r="N32" s="47">
        <f>SUMPRODUCT(B32:J32,Levers!$C$195:$K$195)</f>
        <v/>
      </c>
      <c r="O32" s="47">
        <f>N32-M32</f>
        <v/>
      </c>
      <c r="P32" s="53">
        <f>M32*sailor_pay*Economy!H32/1000000</f>
        <v/>
      </c>
      <c r="Q32" s="53">
        <f>SUMPRODUCT(B32:J32,'Navy plan'!K32:'Navy plan'!S32)*maint_rate</f>
        <v/>
      </c>
      <c r="R32" s="53">
        <f>SUMPRODUCT(B32:J32,Levers!$C$193:$K$193)*Economy!H32</f>
        <v/>
      </c>
      <c r="S32" s="53">
        <f>SUMPRODUCT(B32:J32,Levers!$C$193:$K$193,Levers!$C$194:$K$194)*(1/oil_fuel-1)*Economy!H32</f>
        <v/>
      </c>
      <c r="T32" s="53">
        <f>S32+O32*sailor_pay*Economy!H32/1000000</f>
        <v/>
      </c>
      <c r="U32" s="53">
        <f>(P32+Q32+R32)*navy_overhead</f>
        <v/>
      </c>
      <c r="V32" s="53">
        <f>L32+P32+Q32+R32+U32</f>
        <v/>
      </c>
      <c r="W32" s="69">
        <f>Japan!I32</f>
        <v/>
      </c>
      <c r="X32" s="53">
        <f>IF($A32&gt;=1927,V32+W32,0)</f>
        <v/>
      </c>
      <c r="Y32" s="53">
        <f>IF($A32&gt;=1927,pac_quota*X32,V32)</f>
        <v/>
      </c>
      <c r="Z32" s="67">
        <f>SUMPRODUCT(B32:J32,Levers!$C$193:$K$193,Levers!$C$194:$K$194)/0.6</f>
        <v/>
      </c>
      <c r="AA32" s="62">
        <f>H32</f>
        <v/>
      </c>
      <c r="AB32" s="47">
        <f>AA32+'Navy plan'!T32</f>
        <v/>
      </c>
      <c r="AC32" s="62">
        <f>'Navy plan'!U32</f>
        <v/>
      </c>
      <c r="AD32" s="62">
        <f>'Navy plan'!V32</f>
        <v/>
      </c>
      <c r="AE32" s="67">
        <f>IF(AC32&gt;0,AB32/AC32,0)</f>
        <v/>
      </c>
    </row>
    <row r="33">
      <c r="A33" s="58" t="n">
        <v>1873</v>
      </c>
      <c r="B33" s="47">
        <f>B32+'Navy plan'!B33-IF($A33-Levers!$C$191&gt;=1846,INDEX('Navy plan'!B$6:B$92,$A33-1845-Levers!$C$191),0)</f>
        <v/>
      </c>
      <c r="C33" s="47">
        <f>C32+'Navy plan'!C33-IF($A33-Levers!$D$191&gt;=1846,INDEX('Navy plan'!C$6:C$92,$A33-1845-Levers!$D$191),0)</f>
        <v/>
      </c>
      <c r="D33" s="47">
        <f>D32+'Navy plan'!D33-IF($A33-Levers!$E$191&gt;=1846,INDEX('Navy plan'!D$6:D$92,$A33-1845-Levers!$E$191),0)</f>
        <v/>
      </c>
      <c r="E33" s="47">
        <f>E32+'Navy plan'!E33-IF($A33-Levers!$F$191&gt;=1846,INDEX('Navy plan'!E$6:E$92,$A33-1845-Levers!$F$191),0)</f>
        <v/>
      </c>
      <c r="F33" s="47">
        <f>F32+'Navy plan'!F33-IF($A33-Levers!$G$191&gt;=1846,INDEX('Navy plan'!F$6:F$92,$A33-1845-Levers!$G$191),0)</f>
        <v/>
      </c>
      <c r="G33" s="47">
        <f>G32+'Navy plan'!G33-IF($A33-Levers!$H$191&gt;=1846,INDEX('Navy plan'!G$6:G$92,$A33-1845-Levers!$H$191),0)</f>
        <v/>
      </c>
      <c r="H33" s="47">
        <f>H32+'Navy plan'!H33-IF($A33-Levers!$I$191&gt;=1846,INDEX('Navy plan'!H$6:H$92,$A33-1845-Levers!$I$191),0)</f>
        <v/>
      </c>
      <c r="I33" s="47">
        <f>I32+'Navy plan'!I33-IF($A33-Levers!$J$191&gt;=1846,INDEX('Navy plan'!I$6:I$92,$A33-1845-Levers!$J$191),0)</f>
        <v/>
      </c>
      <c r="J33" s="47">
        <f>J32+'Navy plan'!J33-IF($A33-Levers!$K$191&gt;=1846,INDEX('Navy plan'!J$6:J$92,$A33-1845-Levers!$K$191),0)</f>
        <v/>
      </c>
      <c r="K33" s="47">
        <f>SUM(B33:J33)</f>
        <v/>
      </c>
      <c r="L33" s="53">
        <f>0.5*SUMPRODUCT('Navy plan'!B33:'Navy plan'!J33,'Navy plan'!K33:'Navy plan'!S33)+0.5*SUMPRODUCT('Navy plan'!B34:'Navy plan'!J34,'Navy plan'!K34:'Navy plan'!S34)</f>
        <v/>
      </c>
      <c r="M33" s="47">
        <f>SUMPRODUCT(B33:J33,Levers!$C$192:$K$192)</f>
        <v/>
      </c>
      <c r="N33" s="47">
        <f>SUMPRODUCT(B33:J33,Levers!$C$195:$K$195)</f>
        <v/>
      </c>
      <c r="O33" s="47">
        <f>N33-M33</f>
        <v/>
      </c>
      <c r="P33" s="53">
        <f>M33*sailor_pay*Economy!H33/1000000</f>
        <v/>
      </c>
      <c r="Q33" s="53">
        <f>SUMPRODUCT(B33:J33,'Navy plan'!K33:'Navy plan'!S33)*maint_rate</f>
        <v/>
      </c>
      <c r="R33" s="53">
        <f>SUMPRODUCT(B33:J33,Levers!$C$193:$K$193)*Economy!H33</f>
        <v/>
      </c>
      <c r="S33" s="53">
        <f>SUMPRODUCT(B33:J33,Levers!$C$193:$K$193,Levers!$C$194:$K$194)*(1/oil_fuel-1)*Economy!H33</f>
        <v/>
      </c>
      <c r="T33" s="53">
        <f>S33+O33*sailor_pay*Economy!H33/1000000</f>
        <v/>
      </c>
      <c r="U33" s="53">
        <f>(P33+Q33+R33)*navy_overhead</f>
        <v/>
      </c>
      <c r="V33" s="53">
        <f>L33+P33+Q33+R33+U33</f>
        <v/>
      </c>
      <c r="W33" s="69">
        <f>Japan!I33</f>
        <v/>
      </c>
      <c r="X33" s="53">
        <f>IF($A33&gt;=1927,V33+W33,0)</f>
        <v/>
      </c>
      <c r="Y33" s="53">
        <f>IF($A33&gt;=1927,pac_quota*X33,V33)</f>
        <v/>
      </c>
      <c r="Z33" s="67">
        <f>SUMPRODUCT(B33:J33,Levers!$C$193:$K$193,Levers!$C$194:$K$194)/0.6</f>
        <v/>
      </c>
      <c r="AA33" s="62">
        <f>H33</f>
        <v/>
      </c>
      <c r="AB33" s="47">
        <f>AA33+'Navy plan'!T33</f>
        <v/>
      </c>
      <c r="AC33" s="62">
        <f>'Navy plan'!U33</f>
        <v/>
      </c>
      <c r="AD33" s="62">
        <f>'Navy plan'!V33</f>
        <v/>
      </c>
      <c r="AE33" s="67">
        <f>IF(AC33&gt;0,AB33/AC33,0)</f>
        <v/>
      </c>
    </row>
    <row r="34">
      <c r="A34" s="58" t="n">
        <v>1874</v>
      </c>
      <c r="B34" s="47">
        <f>B33+'Navy plan'!B34-IF($A34-Levers!$C$191&gt;=1846,INDEX('Navy plan'!B$6:B$92,$A34-1845-Levers!$C$191),0)</f>
        <v/>
      </c>
      <c r="C34" s="47">
        <f>C33+'Navy plan'!C34-IF($A34-Levers!$D$191&gt;=1846,INDEX('Navy plan'!C$6:C$92,$A34-1845-Levers!$D$191),0)</f>
        <v/>
      </c>
      <c r="D34" s="47">
        <f>D33+'Navy plan'!D34-IF($A34-Levers!$E$191&gt;=1846,INDEX('Navy plan'!D$6:D$92,$A34-1845-Levers!$E$191),0)</f>
        <v/>
      </c>
      <c r="E34" s="47">
        <f>E33+'Navy plan'!E34-IF($A34-Levers!$F$191&gt;=1846,INDEX('Navy plan'!E$6:E$92,$A34-1845-Levers!$F$191),0)</f>
        <v/>
      </c>
      <c r="F34" s="47">
        <f>F33+'Navy plan'!F34-IF($A34-Levers!$G$191&gt;=1846,INDEX('Navy plan'!F$6:F$92,$A34-1845-Levers!$G$191),0)</f>
        <v/>
      </c>
      <c r="G34" s="47">
        <f>G33+'Navy plan'!G34-IF($A34-Levers!$H$191&gt;=1846,INDEX('Navy plan'!G$6:G$92,$A34-1845-Levers!$H$191),0)</f>
        <v/>
      </c>
      <c r="H34" s="47">
        <f>H33+'Navy plan'!H34-IF($A34-Levers!$I$191&gt;=1846,INDEX('Navy plan'!H$6:H$92,$A34-1845-Levers!$I$191),0)</f>
        <v/>
      </c>
      <c r="I34" s="47">
        <f>I33+'Navy plan'!I34-IF($A34-Levers!$J$191&gt;=1846,INDEX('Navy plan'!I$6:I$92,$A34-1845-Levers!$J$191),0)</f>
        <v/>
      </c>
      <c r="J34" s="47">
        <f>J33+'Navy plan'!J34-IF($A34-Levers!$K$191&gt;=1846,INDEX('Navy plan'!J$6:J$92,$A34-1845-Levers!$K$191),0)</f>
        <v/>
      </c>
      <c r="K34" s="47">
        <f>SUM(B34:J34)</f>
        <v/>
      </c>
      <c r="L34" s="53">
        <f>0.5*SUMPRODUCT('Navy plan'!B34:'Navy plan'!J34,'Navy plan'!K34:'Navy plan'!S34)+0.5*SUMPRODUCT('Navy plan'!B35:'Navy plan'!J35,'Navy plan'!K35:'Navy plan'!S35)</f>
        <v/>
      </c>
      <c r="M34" s="47">
        <f>SUMPRODUCT(B34:J34,Levers!$C$192:$K$192)</f>
        <v/>
      </c>
      <c r="N34" s="47">
        <f>SUMPRODUCT(B34:J34,Levers!$C$195:$K$195)</f>
        <v/>
      </c>
      <c r="O34" s="47">
        <f>N34-M34</f>
        <v/>
      </c>
      <c r="P34" s="53">
        <f>M34*sailor_pay*Economy!H34/1000000</f>
        <v/>
      </c>
      <c r="Q34" s="53">
        <f>SUMPRODUCT(B34:J34,'Navy plan'!K34:'Navy plan'!S34)*maint_rate</f>
        <v/>
      </c>
      <c r="R34" s="53">
        <f>SUMPRODUCT(B34:J34,Levers!$C$193:$K$193)*Economy!H34</f>
        <v/>
      </c>
      <c r="S34" s="53">
        <f>SUMPRODUCT(B34:J34,Levers!$C$193:$K$193,Levers!$C$194:$K$194)*(1/oil_fuel-1)*Economy!H34</f>
        <v/>
      </c>
      <c r="T34" s="53">
        <f>S34+O34*sailor_pay*Economy!H34/1000000</f>
        <v/>
      </c>
      <c r="U34" s="53">
        <f>(P34+Q34+R34)*navy_overhead</f>
        <v/>
      </c>
      <c r="V34" s="53">
        <f>L34+P34+Q34+R34+U34</f>
        <v/>
      </c>
      <c r="W34" s="69">
        <f>Japan!I34</f>
        <v/>
      </c>
      <c r="X34" s="53">
        <f>IF($A34&gt;=1927,V34+W34,0)</f>
        <v/>
      </c>
      <c r="Y34" s="53">
        <f>IF($A34&gt;=1927,pac_quota*X34,V34)</f>
        <v/>
      </c>
      <c r="Z34" s="67">
        <f>SUMPRODUCT(B34:J34,Levers!$C$193:$K$193,Levers!$C$194:$K$194)/0.6</f>
        <v/>
      </c>
      <c r="AA34" s="62">
        <f>H34</f>
        <v/>
      </c>
      <c r="AB34" s="47">
        <f>AA34+'Navy plan'!T34</f>
        <v/>
      </c>
      <c r="AC34" s="62">
        <f>'Navy plan'!U34</f>
        <v/>
      </c>
      <c r="AD34" s="62">
        <f>'Navy plan'!V34</f>
        <v/>
      </c>
      <c r="AE34" s="67">
        <f>IF(AC34&gt;0,AB34/AC34,0)</f>
        <v/>
      </c>
    </row>
    <row r="35">
      <c r="A35" s="58" t="n">
        <v>1875</v>
      </c>
      <c r="B35" s="47">
        <f>B34+'Navy plan'!B35-IF($A35-Levers!$C$191&gt;=1846,INDEX('Navy plan'!B$6:B$92,$A35-1845-Levers!$C$191),0)</f>
        <v/>
      </c>
      <c r="C35" s="47">
        <f>C34+'Navy plan'!C35-IF($A35-Levers!$D$191&gt;=1846,INDEX('Navy plan'!C$6:C$92,$A35-1845-Levers!$D$191),0)</f>
        <v/>
      </c>
      <c r="D35" s="47">
        <f>D34+'Navy plan'!D35-IF($A35-Levers!$E$191&gt;=1846,INDEX('Navy plan'!D$6:D$92,$A35-1845-Levers!$E$191),0)</f>
        <v/>
      </c>
      <c r="E35" s="47">
        <f>E34+'Navy plan'!E35-IF($A35-Levers!$F$191&gt;=1846,INDEX('Navy plan'!E$6:E$92,$A35-1845-Levers!$F$191),0)</f>
        <v/>
      </c>
      <c r="F35" s="47">
        <f>F34+'Navy plan'!F35-IF($A35-Levers!$G$191&gt;=1846,INDEX('Navy plan'!F$6:F$92,$A35-1845-Levers!$G$191),0)</f>
        <v/>
      </c>
      <c r="G35" s="47">
        <f>G34+'Navy plan'!G35-IF($A35-Levers!$H$191&gt;=1846,INDEX('Navy plan'!G$6:G$92,$A35-1845-Levers!$H$191),0)</f>
        <v/>
      </c>
      <c r="H35" s="47">
        <f>H34+'Navy plan'!H35-IF($A35-Levers!$I$191&gt;=1846,INDEX('Navy plan'!H$6:H$92,$A35-1845-Levers!$I$191),0)</f>
        <v/>
      </c>
      <c r="I35" s="47">
        <f>I34+'Navy plan'!I35-IF($A35-Levers!$J$191&gt;=1846,INDEX('Navy plan'!I$6:I$92,$A35-1845-Levers!$J$191),0)</f>
        <v/>
      </c>
      <c r="J35" s="47">
        <f>J34+'Navy plan'!J35-IF($A35-Levers!$K$191&gt;=1846,INDEX('Navy plan'!J$6:J$92,$A35-1845-Levers!$K$191),0)</f>
        <v/>
      </c>
      <c r="K35" s="47">
        <f>SUM(B35:J35)</f>
        <v/>
      </c>
      <c r="L35" s="53">
        <f>0.5*SUMPRODUCT('Navy plan'!B35:'Navy plan'!J35,'Navy plan'!K35:'Navy plan'!S35)+0.5*SUMPRODUCT('Navy plan'!B36:'Navy plan'!J36,'Navy plan'!K36:'Navy plan'!S36)</f>
        <v/>
      </c>
      <c r="M35" s="47">
        <f>SUMPRODUCT(B35:J35,Levers!$C$192:$K$192)</f>
        <v/>
      </c>
      <c r="N35" s="47">
        <f>SUMPRODUCT(B35:J35,Levers!$C$195:$K$195)</f>
        <v/>
      </c>
      <c r="O35" s="47">
        <f>N35-M35</f>
        <v/>
      </c>
      <c r="P35" s="53">
        <f>M35*sailor_pay*Economy!H35/1000000</f>
        <v/>
      </c>
      <c r="Q35" s="53">
        <f>SUMPRODUCT(B35:J35,'Navy plan'!K35:'Navy plan'!S35)*maint_rate</f>
        <v/>
      </c>
      <c r="R35" s="53">
        <f>SUMPRODUCT(B35:J35,Levers!$C$193:$K$193)*Economy!H35</f>
        <v/>
      </c>
      <c r="S35" s="53">
        <f>SUMPRODUCT(B35:J35,Levers!$C$193:$K$193,Levers!$C$194:$K$194)*(1/oil_fuel-1)*Economy!H35</f>
        <v/>
      </c>
      <c r="T35" s="53">
        <f>S35+O35*sailor_pay*Economy!H35/1000000</f>
        <v/>
      </c>
      <c r="U35" s="53">
        <f>(P35+Q35+R35)*navy_overhead</f>
        <v/>
      </c>
      <c r="V35" s="53">
        <f>L35+P35+Q35+R35+U35</f>
        <v/>
      </c>
      <c r="W35" s="69">
        <f>Japan!I35</f>
        <v/>
      </c>
      <c r="X35" s="53">
        <f>IF($A35&gt;=1927,V35+W35,0)</f>
        <v/>
      </c>
      <c r="Y35" s="53">
        <f>IF($A35&gt;=1927,pac_quota*X35,V35)</f>
        <v/>
      </c>
      <c r="Z35" s="67">
        <f>SUMPRODUCT(B35:J35,Levers!$C$193:$K$193,Levers!$C$194:$K$194)/0.6</f>
        <v/>
      </c>
      <c r="AA35" s="62">
        <f>H35</f>
        <v/>
      </c>
      <c r="AB35" s="47">
        <f>AA35+'Navy plan'!T35</f>
        <v/>
      </c>
      <c r="AC35" s="62">
        <f>'Navy plan'!U35</f>
        <v/>
      </c>
      <c r="AD35" s="62">
        <f>'Navy plan'!V35</f>
        <v/>
      </c>
      <c r="AE35" s="67">
        <f>IF(AC35&gt;0,AB35/AC35,0)</f>
        <v/>
      </c>
    </row>
    <row r="36">
      <c r="A36" s="58" t="n">
        <v>1876</v>
      </c>
      <c r="B36" s="47">
        <f>B35+'Navy plan'!B36-IF($A36-Levers!$C$191&gt;=1846,INDEX('Navy plan'!B$6:B$92,$A36-1845-Levers!$C$191),0)</f>
        <v/>
      </c>
      <c r="C36" s="47">
        <f>C35+'Navy plan'!C36-IF($A36-Levers!$D$191&gt;=1846,INDEX('Navy plan'!C$6:C$92,$A36-1845-Levers!$D$191),0)</f>
        <v/>
      </c>
      <c r="D36" s="47">
        <f>D35+'Navy plan'!D36-IF($A36-Levers!$E$191&gt;=1846,INDEX('Navy plan'!D$6:D$92,$A36-1845-Levers!$E$191),0)</f>
        <v/>
      </c>
      <c r="E36" s="47">
        <f>E35+'Navy plan'!E36-IF($A36-Levers!$F$191&gt;=1846,INDEX('Navy plan'!E$6:E$92,$A36-1845-Levers!$F$191),0)</f>
        <v/>
      </c>
      <c r="F36" s="47">
        <f>F35+'Navy plan'!F36-IF($A36-Levers!$G$191&gt;=1846,INDEX('Navy plan'!F$6:F$92,$A36-1845-Levers!$G$191),0)</f>
        <v/>
      </c>
      <c r="G36" s="47">
        <f>G35+'Navy plan'!G36-IF($A36-Levers!$H$191&gt;=1846,INDEX('Navy plan'!G$6:G$92,$A36-1845-Levers!$H$191),0)</f>
        <v/>
      </c>
      <c r="H36" s="47">
        <f>H35+'Navy plan'!H36-IF($A36-Levers!$I$191&gt;=1846,INDEX('Navy plan'!H$6:H$92,$A36-1845-Levers!$I$191),0)</f>
        <v/>
      </c>
      <c r="I36" s="47">
        <f>I35+'Navy plan'!I36-IF($A36-Levers!$J$191&gt;=1846,INDEX('Navy plan'!I$6:I$92,$A36-1845-Levers!$J$191),0)</f>
        <v/>
      </c>
      <c r="J36" s="47">
        <f>J35+'Navy plan'!J36-IF($A36-Levers!$K$191&gt;=1846,INDEX('Navy plan'!J$6:J$92,$A36-1845-Levers!$K$191),0)</f>
        <v/>
      </c>
      <c r="K36" s="47">
        <f>SUM(B36:J36)</f>
        <v/>
      </c>
      <c r="L36" s="53">
        <f>0.5*SUMPRODUCT('Navy plan'!B36:'Navy plan'!J36,'Navy plan'!K36:'Navy plan'!S36)+0.5*SUMPRODUCT('Navy plan'!B37:'Navy plan'!J37,'Navy plan'!K37:'Navy plan'!S37)</f>
        <v/>
      </c>
      <c r="M36" s="47">
        <f>SUMPRODUCT(B36:J36,Levers!$C$192:$K$192)</f>
        <v/>
      </c>
      <c r="N36" s="47">
        <f>SUMPRODUCT(B36:J36,Levers!$C$195:$K$195)</f>
        <v/>
      </c>
      <c r="O36" s="47">
        <f>N36-M36</f>
        <v/>
      </c>
      <c r="P36" s="53">
        <f>M36*sailor_pay*Economy!H36/1000000</f>
        <v/>
      </c>
      <c r="Q36" s="53">
        <f>SUMPRODUCT(B36:J36,'Navy plan'!K36:'Navy plan'!S36)*maint_rate</f>
        <v/>
      </c>
      <c r="R36" s="53">
        <f>SUMPRODUCT(B36:J36,Levers!$C$193:$K$193)*Economy!H36</f>
        <v/>
      </c>
      <c r="S36" s="53">
        <f>SUMPRODUCT(B36:J36,Levers!$C$193:$K$193,Levers!$C$194:$K$194)*(1/oil_fuel-1)*Economy!H36</f>
        <v/>
      </c>
      <c r="T36" s="53">
        <f>S36+O36*sailor_pay*Economy!H36/1000000</f>
        <v/>
      </c>
      <c r="U36" s="53">
        <f>(P36+Q36+R36)*navy_overhead</f>
        <v/>
      </c>
      <c r="V36" s="53">
        <f>L36+P36+Q36+R36+U36</f>
        <v/>
      </c>
      <c r="W36" s="69">
        <f>Japan!I36</f>
        <v/>
      </c>
      <c r="X36" s="53">
        <f>IF($A36&gt;=1927,V36+W36,0)</f>
        <v/>
      </c>
      <c r="Y36" s="53">
        <f>IF($A36&gt;=1927,pac_quota*X36,V36)</f>
        <v/>
      </c>
      <c r="Z36" s="67">
        <f>SUMPRODUCT(B36:J36,Levers!$C$193:$K$193,Levers!$C$194:$K$194)/0.6</f>
        <v/>
      </c>
      <c r="AA36" s="62">
        <f>H36</f>
        <v/>
      </c>
      <c r="AB36" s="47">
        <f>AA36+'Navy plan'!T36</f>
        <v/>
      </c>
      <c r="AC36" s="62">
        <f>'Navy plan'!U36</f>
        <v/>
      </c>
      <c r="AD36" s="62">
        <f>'Navy plan'!V36</f>
        <v/>
      </c>
      <c r="AE36" s="67">
        <f>IF(AC36&gt;0,AB36/AC36,0)</f>
        <v/>
      </c>
    </row>
    <row r="37">
      <c r="A37" s="58" t="n">
        <v>1877</v>
      </c>
      <c r="B37" s="47">
        <f>B36+'Navy plan'!B37-IF($A37-Levers!$C$191&gt;=1846,INDEX('Navy plan'!B$6:B$92,$A37-1845-Levers!$C$191),0)</f>
        <v/>
      </c>
      <c r="C37" s="47">
        <f>C36+'Navy plan'!C37-IF($A37-Levers!$D$191&gt;=1846,INDEX('Navy plan'!C$6:C$92,$A37-1845-Levers!$D$191),0)</f>
        <v/>
      </c>
      <c r="D37" s="47">
        <f>D36+'Navy plan'!D37-IF($A37-Levers!$E$191&gt;=1846,INDEX('Navy plan'!D$6:D$92,$A37-1845-Levers!$E$191),0)</f>
        <v/>
      </c>
      <c r="E37" s="47">
        <f>E36+'Navy plan'!E37-IF($A37-Levers!$F$191&gt;=1846,INDEX('Navy plan'!E$6:E$92,$A37-1845-Levers!$F$191),0)</f>
        <v/>
      </c>
      <c r="F37" s="47">
        <f>F36+'Navy plan'!F37-IF($A37-Levers!$G$191&gt;=1846,INDEX('Navy plan'!F$6:F$92,$A37-1845-Levers!$G$191),0)</f>
        <v/>
      </c>
      <c r="G37" s="47">
        <f>G36+'Navy plan'!G37-IF($A37-Levers!$H$191&gt;=1846,INDEX('Navy plan'!G$6:G$92,$A37-1845-Levers!$H$191),0)</f>
        <v/>
      </c>
      <c r="H37" s="47">
        <f>H36+'Navy plan'!H37-IF($A37-Levers!$I$191&gt;=1846,INDEX('Navy plan'!H$6:H$92,$A37-1845-Levers!$I$191),0)</f>
        <v/>
      </c>
      <c r="I37" s="47">
        <f>I36+'Navy plan'!I37-IF($A37-Levers!$J$191&gt;=1846,INDEX('Navy plan'!I$6:I$92,$A37-1845-Levers!$J$191),0)</f>
        <v/>
      </c>
      <c r="J37" s="47">
        <f>J36+'Navy plan'!J37-IF($A37-Levers!$K$191&gt;=1846,INDEX('Navy plan'!J$6:J$92,$A37-1845-Levers!$K$191),0)</f>
        <v/>
      </c>
      <c r="K37" s="47">
        <f>SUM(B37:J37)</f>
        <v/>
      </c>
      <c r="L37" s="53">
        <f>0.5*SUMPRODUCT('Navy plan'!B37:'Navy plan'!J37,'Navy plan'!K37:'Navy plan'!S37)+0.5*SUMPRODUCT('Navy plan'!B38:'Navy plan'!J38,'Navy plan'!K38:'Navy plan'!S38)</f>
        <v/>
      </c>
      <c r="M37" s="47">
        <f>SUMPRODUCT(B37:J37,Levers!$C$192:$K$192)</f>
        <v/>
      </c>
      <c r="N37" s="47">
        <f>SUMPRODUCT(B37:J37,Levers!$C$195:$K$195)</f>
        <v/>
      </c>
      <c r="O37" s="47">
        <f>N37-M37</f>
        <v/>
      </c>
      <c r="P37" s="53">
        <f>M37*sailor_pay*Economy!H37/1000000</f>
        <v/>
      </c>
      <c r="Q37" s="53">
        <f>SUMPRODUCT(B37:J37,'Navy plan'!K37:'Navy plan'!S37)*maint_rate</f>
        <v/>
      </c>
      <c r="R37" s="53">
        <f>SUMPRODUCT(B37:J37,Levers!$C$193:$K$193)*Economy!H37</f>
        <v/>
      </c>
      <c r="S37" s="53">
        <f>SUMPRODUCT(B37:J37,Levers!$C$193:$K$193,Levers!$C$194:$K$194)*(1/oil_fuel-1)*Economy!H37</f>
        <v/>
      </c>
      <c r="T37" s="53">
        <f>S37+O37*sailor_pay*Economy!H37/1000000</f>
        <v/>
      </c>
      <c r="U37" s="53">
        <f>(P37+Q37+R37)*navy_overhead</f>
        <v/>
      </c>
      <c r="V37" s="53">
        <f>L37+P37+Q37+R37+U37</f>
        <v/>
      </c>
      <c r="W37" s="69">
        <f>Japan!I37</f>
        <v/>
      </c>
      <c r="X37" s="53">
        <f>IF($A37&gt;=1927,V37+W37,0)</f>
        <v/>
      </c>
      <c r="Y37" s="53">
        <f>IF($A37&gt;=1927,pac_quota*X37,V37)</f>
        <v/>
      </c>
      <c r="Z37" s="67">
        <f>SUMPRODUCT(B37:J37,Levers!$C$193:$K$193,Levers!$C$194:$K$194)/0.6</f>
        <v/>
      </c>
      <c r="AA37" s="62">
        <f>H37</f>
        <v/>
      </c>
      <c r="AB37" s="47">
        <f>AA37+'Navy plan'!T37</f>
        <v/>
      </c>
      <c r="AC37" s="62">
        <f>'Navy plan'!U37</f>
        <v/>
      </c>
      <c r="AD37" s="62">
        <f>'Navy plan'!V37</f>
        <v/>
      </c>
      <c r="AE37" s="67">
        <f>IF(AC37&gt;0,AB37/AC37,0)</f>
        <v/>
      </c>
    </row>
    <row r="38">
      <c r="A38" s="58" t="n">
        <v>1878</v>
      </c>
      <c r="B38" s="47">
        <f>B37+'Navy plan'!B38-IF($A38-Levers!$C$191&gt;=1846,INDEX('Navy plan'!B$6:B$92,$A38-1845-Levers!$C$191),0)</f>
        <v/>
      </c>
      <c r="C38" s="47">
        <f>C37+'Navy plan'!C38-IF($A38-Levers!$D$191&gt;=1846,INDEX('Navy plan'!C$6:C$92,$A38-1845-Levers!$D$191),0)</f>
        <v/>
      </c>
      <c r="D38" s="47">
        <f>D37+'Navy plan'!D38-IF($A38-Levers!$E$191&gt;=1846,INDEX('Navy plan'!D$6:D$92,$A38-1845-Levers!$E$191),0)</f>
        <v/>
      </c>
      <c r="E38" s="47">
        <f>E37+'Navy plan'!E38-IF($A38-Levers!$F$191&gt;=1846,INDEX('Navy plan'!E$6:E$92,$A38-1845-Levers!$F$191),0)</f>
        <v/>
      </c>
      <c r="F38" s="47">
        <f>F37+'Navy plan'!F38-IF($A38-Levers!$G$191&gt;=1846,INDEX('Navy plan'!F$6:F$92,$A38-1845-Levers!$G$191),0)</f>
        <v/>
      </c>
      <c r="G38" s="47">
        <f>G37+'Navy plan'!G38-IF($A38-Levers!$H$191&gt;=1846,INDEX('Navy plan'!G$6:G$92,$A38-1845-Levers!$H$191),0)</f>
        <v/>
      </c>
      <c r="H38" s="47">
        <f>H37+'Navy plan'!H38-IF($A38-Levers!$I$191&gt;=1846,INDEX('Navy plan'!H$6:H$92,$A38-1845-Levers!$I$191),0)</f>
        <v/>
      </c>
      <c r="I38" s="47">
        <f>I37+'Navy plan'!I38-IF($A38-Levers!$J$191&gt;=1846,INDEX('Navy plan'!I$6:I$92,$A38-1845-Levers!$J$191),0)</f>
        <v/>
      </c>
      <c r="J38" s="47">
        <f>J37+'Navy plan'!J38-IF($A38-Levers!$K$191&gt;=1846,INDEX('Navy plan'!J$6:J$92,$A38-1845-Levers!$K$191),0)</f>
        <v/>
      </c>
      <c r="K38" s="47">
        <f>SUM(B38:J38)</f>
        <v/>
      </c>
      <c r="L38" s="53">
        <f>0.5*SUMPRODUCT('Navy plan'!B38:'Navy plan'!J38,'Navy plan'!K38:'Navy plan'!S38)+0.5*SUMPRODUCT('Navy plan'!B39:'Navy plan'!J39,'Navy plan'!K39:'Navy plan'!S39)</f>
        <v/>
      </c>
      <c r="M38" s="47">
        <f>SUMPRODUCT(B38:J38,Levers!$C$192:$K$192)</f>
        <v/>
      </c>
      <c r="N38" s="47">
        <f>SUMPRODUCT(B38:J38,Levers!$C$195:$K$195)</f>
        <v/>
      </c>
      <c r="O38" s="47">
        <f>N38-M38</f>
        <v/>
      </c>
      <c r="P38" s="53">
        <f>M38*sailor_pay*Economy!H38/1000000</f>
        <v/>
      </c>
      <c r="Q38" s="53">
        <f>SUMPRODUCT(B38:J38,'Navy plan'!K38:'Navy plan'!S38)*maint_rate</f>
        <v/>
      </c>
      <c r="R38" s="53">
        <f>SUMPRODUCT(B38:J38,Levers!$C$193:$K$193)*Economy!H38</f>
        <v/>
      </c>
      <c r="S38" s="53">
        <f>SUMPRODUCT(B38:J38,Levers!$C$193:$K$193,Levers!$C$194:$K$194)*(1/oil_fuel-1)*Economy!H38</f>
        <v/>
      </c>
      <c r="T38" s="53">
        <f>S38+O38*sailor_pay*Economy!H38/1000000</f>
        <v/>
      </c>
      <c r="U38" s="53">
        <f>(P38+Q38+R38)*navy_overhead</f>
        <v/>
      </c>
      <c r="V38" s="53">
        <f>L38+P38+Q38+R38+U38</f>
        <v/>
      </c>
      <c r="W38" s="69">
        <f>Japan!I38</f>
        <v/>
      </c>
      <c r="X38" s="53">
        <f>IF($A38&gt;=1927,V38+W38,0)</f>
        <v/>
      </c>
      <c r="Y38" s="53">
        <f>IF($A38&gt;=1927,pac_quota*X38,V38)</f>
        <v/>
      </c>
      <c r="Z38" s="67">
        <f>SUMPRODUCT(B38:J38,Levers!$C$193:$K$193,Levers!$C$194:$K$194)/0.6</f>
        <v/>
      </c>
      <c r="AA38" s="62">
        <f>H38</f>
        <v/>
      </c>
      <c r="AB38" s="47">
        <f>AA38+'Navy plan'!T38</f>
        <v/>
      </c>
      <c r="AC38" s="62">
        <f>'Navy plan'!U38</f>
        <v/>
      </c>
      <c r="AD38" s="62">
        <f>'Navy plan'!V38</f>
        <v/>
      </c>
      <c r="AE38" s="67">
        <f>IF(AC38&gt;0,AB38/AC38,0)</f>
        <v/>
      </c>
    </row>
    <row r="39">
      <c r="A39" s="58" t="n">
        <v>1879</v>
      </c>
      <c r="B39" s="47">
        <f>B38+'Navy plan'!B39-IF($A39-Levers!$C$191&gt;=1846,INDEX('Navy plan'!B$6:B$92,$A39-1845-Levers!$C$191),0)</f>
        <v/>
      </c>
      <c r="C39" s="47">
        <f>C38+'Navy plan'!C39-IF($A39-Levers!$D$191&gt;=1846,INDEX('Navy plan'!C$6:C$92,$A39-1845-Levers!$D$191),0)</f>
        <v/>
      </c>
      <c r="D39" s="47">
        <f>D38+'Navy plan'!D39-IF($A39-Levers!$E$191&gt;=1846,INDEX('Navy plan'!D$6:D$92,$A39-1845-Levers!$E$191),0)</f>
        <v/>
      </c>
      <c r="E39" s="47">
        <f>E38+'Navy plan'!E39-IF($A39-Levers!$F$191&gt;=1846,INDEX('Navy plan'!E$6:E$92,$A39-1845-Levers!$F$191),0)</f>
        <v/>
      </c>
      <c r="F39" s="47">
        <f>F38+'Navy plan'!F39-IF($A39-Levers!$G$191&gt;=1846,INDEX('Navy plan'!F$6:F$92,$A39-1845-Levers!$G$191),0)</f>
        <v/>
      </c>
      <c r="G39" s="47">
        <f>G38+'Navy plan'!G39-IF($A39-Levers!$H$191&gt;=1846,INDEX('Navy plan'!G$6:G$92,$A39-1845-Levers!$H$191),0)</f>
        <v/>
      </c>
      <c r="H39" s="47">
        <f>H38+'Navy plan'!H39-IF($A39-Levers!$I$191&gt;=1846,INDEX('Navy plan'!H$6:H$92,$A39-1845-Levers!$I$191),0)</f>
        <v/>
      </c>
      <c r="I39" s="47">
        <f>I38+'Navy plan'!I39-IF($A39-Levers!$J$191&gt;=1846,INDEX('Navy plan'!I$6:I$92,$A39-1845-Levers!$J$191),0)</f>
        <v/>
      </c>
      <c r="J39" s="47">
        <f>J38+'Navy plan'!J39-IF($A39-Levers!$K$191&gt;=1846,INDEX('Navy plan'!J$6:J$92,$A39-1845-Levers!$K$191),0)</f>
        <v/>
      </c>
      <c r="K39" s="47">
        <f>SUM(B39:J39)</f>
        <v/>
      </c>
      <c r="L39" s="53">
        <f>0.5*SUMPRODUCT('Navy plan'!B39:'Navy plan'!J39,'Navy plan'!K39:'Navy plan'!S39)+0.5*SUMPRODUCT('Navy plan'!B40:'Navy plan'!J40,'Navy plan'!K40:'Navy plan'!S40)</f>
        <v/>
      </c>
      <c r="M39" s="47">
        <f>SUMPRODUCT(B39:J39,Levers!$C$192:$K$192)</f>
        <v/>
      </c>
      <c r="N39" s="47">
        <f>SUMPRODUCT(B39:J39,Levers!$C$195:$K$195)</f>
        <v/>
      </c>
      <c r="O39" s="47">
        <f>N39-M39</f>
        <v/>
      </c>
      <c r="P39" s="53">
        <f>M39*sailor_pay*Economy!H39/1000000</f>
        <v/>
      </c>
      <c r="Q39" s="53">
        <f>SUMPRODUCT(B39:J39,'Navy plan'!K39:'Navy plan'!S39)*maint_rate</f>
        <v/>
      </c>
      <c r="R39" s="53">
        <f>SUMPRODUCT(B39:J39,Levers!$C$193:$K$193)*Economy!H39</f>
        <v/>
      </c>
      <c r="S39" s="53">
        <f>SUMPRODUCT(B39:J39,Levers!$C$193:$K$193,Levers!$C$194:$K$194)*(1/oil_fuel-1)*Economy!H39</f>
        <v/>
      </c>
      <c r="T39" s="53">
        <f>S39+O39*sailor_pay*Economy!H39/1000000</f>
        <v/>
      </c>
      <c r="U39" s="53">
        <f>(P39+Q39+R39)*navy_overhead</f>
        <v/>
      </c>
      <c r="V39" s="53">
        <f>L39+P39+Q39+R39+U39</f>
        <v/>
      </c>
      <c r="W39" s="69">
        <f>Japan!I39</f>
        <v/>
      </c>
      <c r="X39" s="53">
        <f>IF($A39&gt;=1927,V39+W39,0)</f>
        <v/>
      </c>
      <c r="Y39" s="53">
        <f>IF($A39&gt;=1927,pac_quota*X39,V39)</f>
        <v/>
      </c>
      <c r="Z39" s="67">
        <f>SUMPRODUCT(B39:J39,Levers!$C$193:$K$193,Levers!$C$194:$K$194)/0.6</f>
        <v/>
      </c>
      <c r="AA39" s="62">
        <f>H39</f>
        <v/>
      </c>
      <c r="AB39" s="47">
        <f>AA39+'Navy plan'!T39</f>
        <v/>
      </c>
      <c r="AC39" s="62">
        <f>'Navy plan'!U39</f>
        <v/>
      </c>
      <c r="AD39" s="62">
        <f>'Navy plan'!V39</f>
        <v/>
      </c>
      <c r="AE39" s="67">
        <f>IF(AC39&gt;0,AB39/AC39,0)</f>
        <v/>
      </c>
    </row>
    <row r="40">
      <c r="A40" s="58" t="n">
        <v>1880</v>
      </c>
      <c r="B40" s="47">
        <f>B39+'Navy plan'!B40-IF($A40-Levers!$C$191&gt;=1846,INDEX('Navy plan'!B$6:B$92,$A40-1845-Levers!$C$191),0)</f>
        <v/>
      </c>
      <c r="C40" s="47">
        <f>C39+'Navy plan'!C40-IF($A40-Levers!$D$191&gt;=1846,INDEX('Navy plan'!C$6:C$92,$A40-1845-Levers!$D$191),0)</f>
        <v/>
      </c>
      <c r="D40" s="47">
        <f>D39+'Navy plan'!D40-IF($A40-Levers!$E$191&gt;=1846,INDEX('Navy plan'!D$6:D$92,$A40-1845-Levers!$E$191),0)</f>
        <v/>
      </c>
      <c r="E40" s="47">
        <f>E39+'Navy plan'!E40-IF($A40-Levers!$F$191&gt;=1846,INDEX('Navy plan'!E$6:E$92,$A40-1845-Levers!$F$191),0)</f>
        <v/>
      </c>
      <c r="F40" s="47">
        <f>F39+'Navy plan'!F40-IF($A40-Levers!$G$191&gt;=1846,INDEX('Navy plan'!F$6:F$92,$A40-1845-Levers!$G$191),0)</f>
        <v/>
      </c>
      <c r="G40" s="47">
        <f>G39+'Navy plan'!G40-IF($A40-Levers!$H$191&gt;=1846,INDEX('Navy plan'!G$6:G$92,$A40-1845-Levers!$H$191),0)</f>
        <v/>
      </c>
      <c r="H40" s="47">
        <f>H39+'Navy plan'!H40-IF($A40-Levers!$I$191&gt;=1846,INDEX('Navy plan'!H$6:H$92,$A40-1845-Levers!$I$191),0)</f>
        <v/>
      </c>
      <c r="I40" s="47">
        <f>I39+'Navy plan'!I40-IF($A40-Levers!$J$191&gt;=1846,INDEX('Navy plan'!I$6:I$92,$A40-1845-Levers!$J$191),0)</f>
        <v/>
      </c>
      <c r="J40" s="47">
        <f>J39+'Navy plan'!J40-IF($A40-Levers!$K$191&gt;=1846,INDEX('Navy plan'!J$6:J$92,$A40-1845-Levers!$K$191),0)</f>
        <v/>
      </c>
      <c r="K40" s="47">
        <f>SUM(B40:J40)</f>
        <v/>
      </c>
      <c r="L40" s="53">
        <f>0.5*SUMPRODUCT('Navy plan'!B40:'Navy plan'!J40,'Navy plan'!K40:'Navy plan'!S40)+0.5*SUMPRODUCT('Navy plan'!B41:'Navy plan'!J41,'Navy plan'!K41:'Navy plan'!S41)</f>
        <v/>
      </c>
      <c r="M40" s="47">
        <f>SUMPRODUCT(B40:J40,Levers!$C$192:$K$192)</f>
        <v/>
      </c>
      <c r="N40" s="47">
        <f>SUMPRODUCT(B40:J40,Levers!$C$195:$K$195)</f>
        <v/>
      </c>
      <c r="O40" s="47">
        <f>N40-M40</f>
        <v/>
      </c>
      <c r="P40" s="53">
        <f>M40*sailor_pay*Economy!H40/1000000</f>
        <v/>
      </c>
      <c r="Q40" s="53">
        <f>SUMPRODUCT(B40:J40,'Navy plan'!K40:'Navy plan'!S40)*maint_rate</f>
        <v/>
      </c>
      <c r="R40" s="53">
        <f>SUMPRODUCT(B40:J40,Levers!$C$193:$K$193)*Economy!H40</f>
        <v/>
      </c>
      <c r="S40" s="53">
        <f>SUMPRODUCT(B40:J40,Levers!$C$193:$K$193,Levers!$C$194:$K$194)*(1/oil_fuel-1)*Economy!H40</f>
        <v/>
      </c>
      <c r="T40" s="53">
        <f>S40+O40*sailor_pay*Economy!H40/1000000</f>
        <v/>
      </c>
      <c r="U40" s="53">
        <f>(P40+Q40+R40)*navy_overhead</f>
        <v/>
      </c>
      <c r="V40" s="53">
        <f>L40+P40+Q40+R40+U40</f>
        <v/>
      </c>
      <c r="W40" s="69">
        <f>Japan!I40</f>
        <v/>
      </c>
      <c r="X40" s="53">
        <f>IF($A40&gt;=1927,V40+W40,0)</f>
        <v/>
      </c>
      <c r="Y40" s="53">
        <f>IF($A40&gt;=1927,pac_quota*X40,V40)</f>
        <v/>
      </c>
      <c r="Z40" s="67">
        <f>SUMPRODUCT(B40:J40,Levers!$C$193:$K$193,Levers!$C$194:$K$194)/0.6</f>
        <v/>
      </c>
      <c r="AA40" s="62">
        <f>H40</f>
        <v/>
      </c>
      <c r="AB40" s="47">
        <f>AA40+'Navy plan'!T40</f>
        <v/>
      </c>
      <c r="AC40" s="62">
        <f>'Navy plan'!U40</f>
        <v/>
      </c>
      <c r="AD40" s="62">
        <f>'Navy plan'!V40</f>
        <v/>
      </c>
      <c r="AE40" s="67">
        <f>IF(AC40&gt;0,AB40/AC40,0)</f>
        <v/>
      </c>
    </row>
    <row r="41">
      <c r="A41" s="58" t="n">
        <v>1881</v>
      </c>
      <c r="B41" s="47">
        <f>B40+'Navy plan'!B41-IF($A41-Levers!$C$191&gt;=1846,INDEX('Navy plan'!B$6:B$92,$A41-1845-Levers!$C$191),0)</f>
        <v/>
      </c>
      <c r="C41" s="47">
        <f>C40+'Navy plan'!C41-IF($A41-Levers!$D$191&gt;=1846,INDEX('Navy plan'!C$6:C$92,$A41-1845-Levers!$D$191),0)</f>
        <v/>
      </c>
      <c r="D41" s="47">
        <f>D40+'Navy plan'!D41-IF($A41-Levers!$E$191&gt;=1846,INDEX('Navy plan'!D$6:D$92,$A41-1845-Levers!$E$191),0)</f>
        <v/>
      </c>
      <c r="E41" s="47">
        <f>E40+'Navy plan'!E41-IF($A41-Levers!$F$191&gt;=1846,INDEX('Navy plan'!E$6:E$92,$A41-1845-Levers!$F$191),0)</f>
        <v/>
      </c>
      <c r="F41" s="47">
        <f>F40+'Navy plan'!F41-IF($A41-Levers!$G$191&gt;=1846,INDEX('Navy plan'!F$6:F$92,$A41-1845-Levers!$G$191),0)</f>
        <v/>
      </c>
      <c r="G41" s="47">
        <f>G40+'Navy plan'!G41-IF($A41-Levers!$H$191&gt;=1846,INDEX('Navy plan'!G$6:G$92,$A41-1845-Levers!$H$191),0)</f>
        <v/>
      </c>
      <c r="H41" s="47">
        <f>H40+'Navy plan'!H41-IF($A41-Levers!$I$191&gt;=1846,INDEX('Navy plan'!H$6:H$92,$A41-1845-Levers!$I$191),0)</f>
        <v/>
      </c>
      <c r="I41" s="47">
        <f>I40+'Navy plan'!I41-IF($A41-Levers!$J$191&gt;=1846,INDEX('Navy plan'!I$6:I$92,$A41-1845-Levers!$J$191),0)</f>
        <v/>
      </c>
      <c r="J41" s="47">
        <f>J40+'Navy plan'!J41-IF($A41-Levers!$K$191&gt;=1846,INDEX('Navy plan'!J$6:J$92,$A41-1845-Levers!$K$191),0)</f>
        <v/>
      </c>
      <c r="K41" s="47">
        <f>SUM(B41:J41)</f>
        <v/>
      </c>
      <c r="L41" s="53">
        <f>0.5*SUMPRODUCT('Navy plan'!B41:'Navy plan'!J41,'Navy plan'!K41:'Navy plan'!S41)+0.5*SUMPRODUCT('Navy plan'!B42:'Navy plan'!J42,'Navy plan'!K42:'Navy plan'!S42)</f>
        <v/>
      </c>
      <c r="M41" s="47">
        <f>SUMPRODUCT(B41:J41,Levers!$C$192:$K$192)</f>
        <v/>
      </c>
      <c r="N41" s="47">
        <f>SUMPRODUCT(B41:J41,Levers!$C$195:$K$195)</f>
        <v/>
      </c>
      <c r="O41" s="47">
        <f>N41-M41</f>
        <v/>
      </c>
      <c r="P41" s="53">
        <f>M41*sailor_pay*Economy!H41/1000000</f>
        <v/>
      </c>
      <c r="Q41" s="53">
        <f>SUMPRODUCT(B41:J41,'Navy plan'!K41:'Navy plan'!S41)*maint_rate</f>
        <v/>
      </c>
      <c r="R41" s="53">
        <f>SUMPRODUCT(B41:J41,Levers!$C$193:$K$193)*Economy!H41</f>
        <v/>
      </c>
      <c r="S41" s="53">
        <f>SUMPRODUCT(B41:J41,Levers!$C$193:$K$193,Levers!$C$194:$K$194)*(1/oil_fuel-1)*Economy!H41</f>
        <v/>
      </c>
      <c r="T41" s="53">
        <f>S41+O41*sailor_pay*Economy!H41/1000000</f>
        <v/>
      </c>
      <c r="U41" s="53">
        <f>(P41+Q41+R41)*navy_overhead</f>
        <v/>
      </c>
      <c r="V41" s="53">
        <f>L41+P41+Q41+R41+U41</f>
        <v/>
      </c>
      <c r="W41" s="69">
        <f>Japan!I41</f>
        <v/>
      </c>
      <c r="X41" s="53">
        <f>IF($A41&gt;=1927,V41+W41,0)</f>
        <v/>
      </c>
      <c r="Y41" s="53">
        <f>IF($A41&gt;=1927,pac_quota*X41,V41)</f>
        <v/>
      </c>
      <c r="Z41" s="67">
        <f>SUMPRODUCT(B41:J41,Levers!$C$193:$K$193,Levers!$C$194:$K$194)/0.6</f>
        <v/>
      </c>
      <c r="AA41" s="62">
        <f>H41</f>
        <v/>
      </c>
      <c r="AB41" s="47">
        <f>AA41+'Navy plan'!T41</f>
        <v/>
      </c>
      <c r="AC41" s="62">
        <f>'Navy plan'!U41</f>
        <v/>
      </c>
      <c r="AD41" s="62">
        <f>'Navy plan'!V41</f>
        <v/>
      </c>
      <c r="AE41" s="67">
        <f>IF(AC41&gt;0,AB41/AC41,0)</f>
        <v/>
      </c>
    </row>
    <row r="42">
      <c r="A42" s="58" t="n">
        <v>1882</v>
      </c>
      <c r="B42" s="47">
        <f>B41+'Navy plan'!B42-IF($A42-Levers!$C$191&gt;=1846,INDEX('Navy plan'!B$6:B$92,$A42-1845-Levers!$C$191),0)</f>
        <v/>
      </c>
      <c r="C42" s="47">
        <f>C41+'Navy plan'!C42-IF($A42-Levers!$D$191&gt;=1846,INDEX('Navy plan'!C$6:C$92,$A42-1845-Levers!$D$191),0)</f>
        <v/>
      </c>
      <c r="D42" s="47">
        <f>D41+'Navy plan'!D42-IF($A42-Levers!$E$191&gt;=1846,INDEX('Navy plan'!D$6:D$92,$A42-1845-Levers!$E$191),0)</f>
        <v/>
      </c>
      <c r="E42" s="47">
        <f>E41+'Navy plan'!E42-IF($A42-Levers!$F$191&gt;=1846,INDEX('Navy plan'!E$6:E$92,$A42-1845-Levers!$F$191),0)</f>
        <v/>
      </c>
      <c r="F42" s="47">
        <f>F41+'Navy plan'!F42-IF($A42-Levers!$G$191&gt;=1846,INDEX('Navy plan'!F$6:F$92,$A42-1845-Levers!$G$191),0)</f>
        <v/>
      </c>
      <c r="G42" s="47">
        <f>G41+'Navy plan'!G42-IF($A42-Levers!$H$191&gt;=1846,INDEX('Navy plan'!G$6:G$92,$A42-1845-Levers!$H$191),0)</f>
        <v/>
      </c>
      <c r="H42" s="47">
        <f>H41+'Navy plan'!H42-IF($A42-Levers!$I$191&gt;=1846,INDEX('Navy plan'!H$6:H$92,$A42-1845-Levers!$I$191),0)</f>
        <v/>
      </c>
      <c r="I42" s="47">
        <f>I41+'Navy plan'!I42-IF($A42-Levers!$J$191&gt;=1846,INDEX('Navy plan'!I$6:I$92,$A42-1845-Levers!$J$191),0)</f>
        <v/>
      </c>
      <c r="J42" s="47">
        <f>J41+'Navy plan'!J42-IF($A42-Levers!$K$191&gt;=1846,INDEX('Navy plan'!J$6:J$92,$A42-1845-Levers!$K$191),0)</f>
        <v/>
      </c>
      <c r="K42" s="47">
        <f>SUM(B42:J42)</f>
        <v/>
      </c>
      <c r="L42" s="53">
        <f>0.5*SUMPRODUCT('Navy plan'!B42:'Navy plan'!J42,'Navy plan'!K42:'Navy plan'!S42)+0.5*SUMPRODUCT('Navy plan'!B43:'Navy plan'!J43,'Navy plan'!K43:'Navy plan'!S43)</f>
        <v/>
      </c>
      <c r="M42" s="47">
        <f>SUMPRODUCT(B42:J42,Levers!$C$192:$K$192)</f>
        <v/>
      </c>
      <c r="N42" s="47">
        <f>SUMPRODUCT(B42:J42,Levers!$C$195:$K$195)</f>
        <v/>
      </c>
      <c r="O42" s="47">
        <f>N42-M42</f>
        <v/>
      </c>
      <c r="P42" s="53">
        <f>M42*sailor_pay*Economy!H42/1000000</f>
        <v/>
      </c>
      <c r="Q42" s="53">
        <f>SUMPRODUCT(B42:J42,'Navy plan'!K42:'Navy plan'!S42)*maint_rate</f>
        <v/>
      </c>
      <c r="R42" s="53">
        <f>SUMPRODUCT(B42:J42,Levers!$C$193:$K$193)*Economy!H42</f>
        <v/>
      </c>
      <c r="S42" s="53">
        <f>SUMPRODUCT(B42:J42,Levers!$C$193:$K$193,Levers!$C$194:$K$194)*(1/oil_fuel-1)*Economy!H42</f>
        <v/>
      </c>
      <c r="T42" s="53">
        <f>S42+O42*sailor_pay*Economy!H42/1000000</f>
        <v/>
      </c>
      <c r="U42" s="53">
        <f>(P42+Q42+R42)*navy_overhead</f>
        <v/>
      </c>
      <c r="V42" s="53">
        <f>L42+P42+Q42+R42+U42</f>
        <v/>
      </c>
      <c r="W42" s="69">
        <f>Japan!I42</f>
        <v/>
      </c>
      <c r="X42" s="53">
        <f>IF($A42&gt;=1927,V42+W42,0)</f>
        <v/>
      </c>
      <c r="Y42" s="53">
        <f>IF($A42&gt;=1927,pac_quota*X42,V42)</f>
        <v/>
      </c>
      <c r="Z42" s="67">
        <f>SUMPRODUCT(B42:J42,Levers!$C$193:$K$193,Levers!$C$194:$K$194)/0.6</f>
        <v/>
      </c>
      <c r="AA42" s="62">
        <f>H42</f>
        <v/>
      </c>
      <c r="AB42" s="47">
        <f>AA42+'Navy plan'!T42</f>
        <v/>
      </c>
      <c r="AC42" s="62">
        <f>'Navy plan'!U42</f>
        <v/>
      </c>
      <c r="AD42" s="62">
        <f>'Navy plan'!V42</f>
        <v/>
      </c>
      <c r="AE42" s="67">
        <f>IF(AC42&gt;0,AB42/AC42,0)</f>
        <v/>
      </c>
    </row>
    <row r="43">
      <c r="A43" s="58" t="n">
        <v>1883</v>
      </c>
      <c r="B43" s="47">
        <f>B42+'Navy plan'!B43-IF($A43-Levers!$C$191&gt;=1846,INDEX('Navy plan'!B$6:B$92,$A43-1845-Levers!$C$191),0)</f>
        <v/>
      </c>
      <c r="C43" s="47">
        <f>C42+'Navy plan'!C43-IF($A43-Levers!$D$191&gt;=1846,INDEX('Navy plan'!C$6:C$92,$A43-1845-Levers!$D$191),0)</f>
        <v/>
      </c>
      <c r="D43" s="47">
        <f>D42+'Navy plan'!D43-IF($A43-Levers!$E$191&gt;=1846,INDEX('Navy plan'!D$6:D$92,$A43-1845-Levers!$E$191),0)</f>
        <v/>
      </c>
      <c r="E43" s="47">
        <f>E42+'Navy plan'!E43-IF($A43-Levers!$F$191&gt;=1846,INDEX('Navy plan'!E$6:E$92,$A43-1845-Levers!$F$191),0)</f>
        <v/>
      </c>
      <c r="F43" s="47">
        <f>F42+'Navy plan'!F43-IF($A43-Levers!$G$191&gt;=1846,INDEX('Navy plan'!F$6:F$92,$A43-1845-Levers!$G$191),0)</f>
        <v/>
      </c>
      <c r="G43" s="47">
        <f>G42+'Navy plan'!G43-IF($A43-Levers!$H$191&gt;=1846,INDEX('Navy plan'!G$6:G$92,$A43-1845-Levers!$H$191),0)</f>
        <v/>
      </c>
      <c r="H43" s="47">
        <f>H42+'Navy plan'!H43-IF($A43-Levers!$I$191&gt;=1846,INDEX('Navy plan'!H$6:H$92,$A43-1845-Levers!$I$191),0)</f>
        <v/>
      </c>
      <c r="I43" s="47">
        <f>I42+'Navy plan'!I43-IF($A43-Levers!$J$191&gt;=1846,INDEX('Navy plan'!I$6:I$92,$A43-1845-Levers!$J$191),0)</f>
        <v/>
      </c>
      <c r="J43" s="47">
        <f>J42+'Navy plan'!J43-IF($A43-Levers!$K$191&gt;=1846,INDEX('Navy plan'!J$6:J$92,$A43-1845-Levers!$K$191),0)</f>
        <v/>
      </c>
      <c r="K43" s="47">
        <f>SUM(B43:J43)</f>
        <v/>
      </c>
      <c r="L43" s="53">
        <f>0.5*SUMPRODUCT('Navy plan'!B43:'Navy plan'!J43,'Navy plan'!K43:'Navy plan'!S43)+0.5*SUMPRODUCT('Navy plan'!B44:'Navy plan'!J44,'Navy plan'!K44:'Navy plan'!S44)</f>
        <v/>
      </c>
      <c r="M43" s="47">
        <f>SUMPRODUCT(B43:J43,Levers!$C$192:$K$192)</f>
        <v/>
      </c>
      <c r="N43" s="47">
        <f>SUMPRODUCT(B43:J43,Levers!$C$195:$K$195)</f>
        <v/>
      </c>
      <c r="O43" s="47">
        <f>N43-M43</f>
        <v/>
      </c>
      <c r="P43" s="53">
        <f>M43*sailor_pay*Economy!H43/1000000</f>
        <v/>
      </c>
      <c r="Q43" s="53">
        <f>SUMPRODUCT(B43:J43,'Navy plan'!K43:'Navy plan'!S43)*maint_rate</f>
        <v/>
      </c>
      <c r="R43" s="53">
        <f>SUMPRODUCT(B43:J43,Levers!$C$193:$K$193)*Economy!H43</f>
        <v/>
      </c>
      <c r="S43" s="53">
        <f>SUMPRODUCT(B43:J43,Levers!$C$193:$K$193,Levers!$C$194:$K$194)*(1/oil_fuel-1)*Economy!H43</f>
        <v/>
      </c>
      <c r="T43" s="53">
        <f>S43+O43*sailor_pay*Economy!H43/1000000</f>
        <v/>
      </c>
      <c r="U43" s="53">
        <f>(P43+Q43+R43)*navy_overhead</f>
        <v/>
      </c>
      <c r="V43" s="53">
        <f>L43+P43+Q43+R43+U43</f>
        <v/>
      </c>
      <c r="W43" s="69">
        <f>Japan!I43</f>
        <v/>
      </c>
      <c r="X43" s="53">
        <f>IF($A43&gt;=1927,V43+W43,0)</f>
        <v/>
      </c>
      <c r="Y43" s="53">
        <f>IF($A43&gt;=1927,pac_quota*X43,V43)</f>
        <v/>
      </c>
      <c r="Z43" s="67">
        <f>SUMPRODUCT(B43:J43,Levers!$C$193:$K$193,Levers!$C$194:$K$194)/0.6</f>
        <v/>
      </c>
      <c r="AA43" s="62">
        <f>H43</f>
        <v/>
      </c>
      <c r="AB43" s="47">
        <f>AA43+'Navy plan'!T43</f>
        <v/>
      </c>
      <c r="AC43" s="62">
        <f>'Navy plan'!U43</f>
        <v/>
      </c>
      <c r="AD43" s="62">
        <f>'Navy plan'!V43</f>
        <v/>
      </c>
      <c r="AE43" s="67">
        <f>IF(AC43&gt;0,AB43/AC43,0)</f>
        <v/>
      </c>
    </row>
    <row r="44">
      <c r="A44" s="58" t="n">
        <v>1884</v>
      </c>
      <c r="B44" s="47">
        <f>B43+'Navy plan'!B44-IF($A44-Levers!$C$191&gt;=1846,INDEX('Navy plan'!B$6:B$92,$A44-1845-Levers!$C$191),0)</f>
        <v/>
      </c>
      <c r="C44" s="47">
        <f>C43+'Navy plan'!C44-IF($A44-Levers!$D$191&gt;=1846,INDEX('Navy plan'!C$6:C$92,$A44-1845-Levers!$D$191),0)</f>
        <v/>
      </c>
      <c r="D44" s="47">
        <f>D43+'Navy plan'!D44-IF($A44-Levers!$E$191&gt;=1846,INDEX('Navy plan'!D$6:D$92,$A44-1845-Levers!$E$191),0)</f>
        <v/>
      </c>
      <c r="E44" s="47">
        <f>E43+'Navy plan'!E44-IF($A44-Levers!$F$191&gt;=1846,INDEX('Navy plan'!E$6:E$92,$A44-1845-Levers!$F$191),0)</f>
        <v/>
      </c>
      <c r="F44" s="47">
        <f>F43+'Navy plan'!F44-IF($A44-Levers!$G$191&gt;=1846,INDEX('Navy plan'!F$6:F$92,$A44-1845-Levers!$G$191),0)</f>
        <v/>
      </c>
      <c r="G44" s="47">
        <f>G43+'Navy plan'!G44-IF($A44-Levers!$H$191&gt;=1846,INDEX('Navy plan'!G$6:G$92,$A44-1845-Levers!$H$191),0)</f>
        <v/>
      </c>
      <c r="H44" s="47">
        <f>H43+'Navy plan'!H44-IF($A44-Levers!$I$191&gt;=1846,INDEX('Navy plan'!H$6:H$92,$A44-1845-Levers!$I$191),0)</f>
        <v/>
      </c>
      <c r="I44" s="47">
        <f>I43+'Navy plan'!I44-IF($A44-Levers!$J$191&gt;=1846,INDEX('Navy plan'!I$6:I$92,$A44-1845-Levers!$J$191),0)</f>
        <v/>
      </c>
      <c r="J44" s="47">
        <f>J43+'Navy plan'!J44-IF($A44-Levers!$K$191&gt;=1846,INDEX('Navy plan'!J$6:J$92,$A44-1845-Levers!$K$191),0)</f>
        <v/>
      </c>
      <c r="K44" s="47">
        <f>SUM(B44:J44)</f>
        <v/>
      </c>
      <c r="L44" s="53">
        <f>0.5*SUMPRODUCT('Navy plan'!B44:'Navy plan'!J44,'Navy plan'!K44:'Navy plan'!S44)+0.5*SUMPRODUCT('Navy plan'!B45:'Navy plan'!J45,'Navy plan'!K45:'Navy plan'!S45)</f>
        <v/>
      </c>
      <c r="M44" s="47">
        <f>SUMPRODUCT(B44:J44,Levers!$C$192:$K$192)</f>
        <v/>
      </c>
      <c r="N44" s="47">
        <f>SUMPRODUCT(B44:J44,Levers!$C$195:$K$195)</f>
        <v/>
      </c>
      <c r="O44" s="47">
        <f>N44-M44</f>
        <v/>
      </c>
      <c r="P44" s="53">
        <f>M44*sailor_pay*Economy!H44/1000000</f>
        <v/>
      </c>
      <c r="Q44" s="53">
        <f>SUMPRODUCT(B44:J44,'Navy plan'!K44:'Navy plan'!S44)*maint_rate</f>
        <v/>
      </c>
      <c r="R44" s="53">
        <f>SUMPRODUCT(B44:J44,Levers!$C$193:$K$193)*Economy!H44</f>
        <v/>
      </c>
      <c r="S44" s="53">
        <f>SUMPRODUCT(B44:J44,Levers!$C$193:$K$193,Levers!$C$194:$K$194)*(1/oil_fuel-1)*Economy!H44</f>
        <v/>
      </c>
      <c r="T44" s="53">
        <f>S44+O44*sailor_pay*Economy!H44/1000000</f>
        <v/>
      </c>
      <c r="U44" s="53">
        <f>(P44+Q44+R44)*navy_overhead</f>
        <v/>
      </c>
      <c r="V44" s="53">
        <f>L44+P44+Q44+R44+U44</f>
        <v/>
      </c>
      <c r="W44" s="69">
        <f>Japan!I44</f>
        <v/>
      </c>
      <c r="X44" s="53">
        <f>IF($A44&gt;=1927,V44+W44,0)</f>
        <v/>
      </c>
      <c r="Y44" s="53">
        <f>IF($A44&gt;=1927,pac_quota*X44,V44)</f>
        <v/>
      </c>
      <c r="Z44" s="67">
        <f>SUMPRODUCT(B44:J44,Levers!$C$193:$K$193,Levers!$C$194:$K$194)/0.6</f>
        <v/>
      </c>
      <c r="AA44" s="62">
        <f>H44</f>
        <v/>
      </c>
      <c r="AB44" s="47">
        <f>AA44+'Navy plan'!T44</f>
        <v/>
      </c>
      <c r="AC44" s="62">
        <f>'Navy plan'!U44</f>
        <v/>
      </c>
      <c r="AD44" s="62">
        <f>'Navy plan'!V44</f>
        <v/>
      </c>
      <c r="AE44" s="67">
        <f>IF(AC44&gt;0,AB44/AC44,0)</f>
        <v/>
      </c>
    </row>
    <row r="45">
      <c r="A45" s="58" t="n">
        <v>1885</v>
      </c>
      <c r="B45" s="47">
        <f>B44+'Navy plan'!B45-IF($A45-Levers!$C$191&gt;=1846,INDEX('Navy plan'!B$6:B$92,$A45-1845-Levers!$C$191),0)</f>
        <v/>
      </c>
      <c r="C45" s="47">
        <f>C44+'Navy plan'!C45-IF($A45-Levers!$D$191&gt;=1846,INDEX('Navy plan'!C$6:C$92,$A45-1845-Levers!$D$191),0)</f>
        <v/>
      </c>
      <c r="D45" s="47">
        <f>D44+'Navy plan'!D45-IF($A45-Levers!$E$191&gt;=1846,INDEX('Navy plan'!D$6:D$92,$A45-1845-Levers!$E$191),0)</f>
        <v/>
      </c>
      <c r="E45" s="47">
        <f>E44+'Navy plan'!E45-IF($A45-Levers!$F$191&gt;=1846,INDEX('Navy plan'!E$6:E$92,$A45-1845-Levers!$F$191),0)</f>
        <v/>
      </c>
      <c r="F45" s="47">
        <f>F44+'Navy plan'!F45-IF($A45-Levers!$G$191&gt;=1846,INDEX('Navy plan'!F$6:F$92,$A45-1845-Levers!$G$191),0)</f>
        <v/>
      </c>
      <c r="G45" s="47">
        <f>G44+'Navy plan'!G45-IF($A45-Levers!$H$191&gt;=1846,INDEX('Navy plan'!G$6:G$92,$A45-1845-Levers!$H$191),0)</f>
        <v/>
      </c>
      <c r="H45" s="47">
        <f>H44+'Navy plan'!H45-IF($A45-Levers!$I$191&gt;=1846,INDEX('Navy plan'!H$6:H$92,$A45-1845-Levers!$I$191),0)</f>
        <v/>
      </c>
      <c r="I45" s="47">
        <f>I44+'Navy plan'!I45-IF($A45-Levers!$J$191&gt;=1846,INDEX('Navy plan'!I$6:I$92,$A45-1845-Levers!$J$191),0)</f>
        <v/>
      </c>
      <c r="J45" s="47">
        <f>J44+'Navy plan'!J45-IF($A45-Levers!$K$191&gt;=1846,INDEX('Navy plan'!J$6:J$92,$A45-1845-Levers!$K$191),0)</f>
        <v/>
      </c>
      <c r="K45" s="47">
        <f>SUM(B45:J45)</f>
        <v/>
      </c>
      <c r="L45" s="53">
        <f>0.5*SUMPRODUCT('Navy plan'!B45:'Navy plan'!J45,'Navy plan'!K45:'Navy plan'!S45)+0.5*SUMPRODUCT('Navy plan'!B46:'Navy plan'!J46,'Navy plan'!K46:'Navy plan'!S46)</f>
        <v/>
      </c>
      <c r="M45" s="47">
        <f>SUMPRODUCT(B45:J45,Levers!$C$192:$K$192)</f>
        <v/>
      </c>
      <c r="N45" s="47">
        <f>SUMPRODUCT(B45:J45,Levers!$C$195:$K$195)</f>
        <v/>
      </c>
      <c r="O45" s="47">
        <f>N45-M45</f>
        <v/>
      </c>
      <c r="P45" s="53">
        <f>M45*sailor_pay*Economy!H45/1000000</f>
        <v/>
      </c>
      <c r="Q45" s="53">
        <f>SUMPRODUCT(B45:J45,'Navy plan'!K45:'Navy plan'!S45)*maint_rate</f>
        <v/>
      </c>
      <c r="R45" s="53">
        <f>SUMPRODUCT(B45:J45,Levers!$C$193:$K$193)*Economy!H45</f>
        <v/>
      </c>
      <c r="S45" s="53">
        <f>SUMPRODUCT(B45:J45,Levers!$C$193:$K$193,Levers!$C$194:$K$194)*(1/oil_fuel-1)*Economy!H45</f>
        <v/>
      </c>
      <c r="T45" s="53">
        <f>S45+O45*sailor_pay*Economy!H45/1000000</f>
        <v/>
      </c>
      <c r="U45" s="53">
        <f>(P45+Q45+R45)*navy_overhead</f>
        <v/>
      </c>
      <c r="V45" s="53">
        <f>L45+P45+Q45+R45+U45</f>
        <v/>
      </c>
      <c r="W45" s="69">
        <f>Japan!I45</f>
        <v/>
      </c>
      <c r="X45" s="53">
        <f>IF($A45&gt;=1927,V45+W45,0)</f>
        <v/>
      </c>
      <c r="Y45" s="53">
        <f>IF($A45&gt;=1927,pac_quota*X45,V45)</f>
        <v/>
      </c>
      <c r="Z45" s="67">
        <f>SUMPRODUCT(B45:J45,Levers!$C$193:$K$193,Levers!$C$194:$K$194)/0.6</f>
        <v/>
      </c>
      <c r="AA45" s="62">
        <f>H45</f>
        <v/>
      </c>
      <c r="AB45" s="47">
        <f>AA45+'Navy plan'!T45</f>
        <v/>
      </c>
      <c r="AC45" s="62">
        <f>'Navy plan'!U45</f>
        <v/>
      </c>
      <c r="AD45" s="62">
        <f>'Navy plan'!V45</f>
        <v/>
      </c>
      <c r="AE45" s="67">
        <f>IF(AC45&gt;0,AB45/AC45,0)</f>
        <v/>
      </c>
    </row>
    <row r="46">
      <c r="A46" s="58" t="n">
        <v>1886</v>
      </c>
      <c r="B46" s="47">
        <f>B45+'Navy plan'!B46-IF($A46-Levers!$C$191&gt;=1846,INDEX('Navy plan'!B$6:B$92,$A46-1845-Levers!$C$191),0)</f>
        <v/>
      </c>
      <c r="C46" s="47">
        <f>C45+'Navy plan'!C46-IF($A46-Levers!$D$191&gt;=1846,INDEX('Navy plan'!C$6:C$92,$A46-1845-Levers!$D$191),0)</f>
        <v/>
      </c>
      <c r="D46" s="47">
        <f>D45+'Navy plan'!D46-IF($A46-Levers!$E$191&gt;=1846,INDEX('Navy plan'!D$6:D$92,$A46-1845-Levers!$E$191),0)</f>
        <v/>
      </c>
      <c r="E46" s="47">
        <f>E45+'Navy plan'!E46-IF($A46-Levers!$F$191&gt;=1846,INDEX('Navy plan'!E$6:E$92,$A46-1845-Levers!$F$191),0)</f>
        <v/>
      </c>
      <c r="F46" s="47">
        <f>F45+'Navy plan'!F46-IF($A46-Levers!$G$191&gt;=1846,INDEX('Navy plan'!F$6:F$92,$A46-1845-Levers!$G$191),0)</f>
        <v/>
      </c>
      <c r="G46" s="47">
        <f>G45+'Navy plan'!G46-IF($A46-Levers!$H$191&gt;=1846,INDEX('Navy plan'!G$6:G$92,$A46-1845-Levers!$H$191),0)</f>
        <v/>
      </c>
      <c r="H46" s="47">
        <f>H45+'Navy plan'!H46-IF($A46-Levers!$I$191&gt;=1846,INDEX('Navy plan'!H$6:H$92,$A46-1845-Levers!$I$191),0)</f>
        <v/>
      </c>
      <c r="I46" s="47">
        <f>I45+'Navy plan'!I46-IF($A46-Levers!$J$191&gt;=1846,INDEX('Navy plan'!I$6:I$92,$A46-1845-Levers!$J$191),0)</f>
        <v/>
      </c>
      <c r="J46" s="47">
        <f>J45+'Navy plan'!J46-IF($A46-Levers!$K$191&gt;=1846,INDEX('Navy plan'!J$6:J$92,$A46-1845-Levers!$K$191),0)</f>
        <v/>
      </c>
      <c r="K46" s="47">
        <f>SUM(B46:J46)</f>
        <v/>
      </c>
      <c r="L46" s="53">
        <f>0.5*SUMPRODUCT('Navy plan'!B46:'Navy plan'!J46,'Navy plan'!K46:'Navy plan'!S46)+0.5*SUMPRODUCT('Navy plan'!B47:'Navy plan'!J47,'Navy plan'!K47:'Navy plan'!S47)</f>
        <v/>
      </c>
      <c r="M46" s="47">
        <f>SUMPRODUCT(B46:J46,Levers!$C$192:$K$192)</f>
        <v/>
      </c>
      <c r="N46" s="47">
        <f>SUMPRODUCT(B46:J46,Levers!$C$195:$K$195)</f>
        <v/>
      </c>
      <c r="O46" s="47">
        <f>N46-M46</f>
        <v/>
      </c>
      <c r="P46" s="53">
        <f>M46*sailor_pay*Economy!H46/1000000</f>
        <v/>
      </c>
      <c r="Q46" s="53">
        <f>SUMPRODUCT(B46:J46,'Navy plan'!K46:'Navy plan'!S46)*maint_rate</f>
        <v/>
      </c>
      <c r="R46" s="53">
        <f>SUMPRODUCT(B46:J46,Levers!$C$193:$K$193)*Economy!H46</f>
        <v/>
      </c>
      <c r="S46" s="53">
        <f>SUMPRODUCT(B46:J46,Levers!$C$193:$K$193,Levers!$C$194:$K$194)*(1/oil_fuel-1)*Economy!H46</f>
        <v/>
      </c>
      <c r="T46" s="53">
        <f>S46+O46*sailor_pay*Economy!H46/1000000</f>
        <v/>
      </c>
      <c r="U46" s="53">
        <f>(P46+Q46+R46)*navy_overhead</f>
        <v/>
      </c>
      <c r="V46" s="53">
        <f>L46+P46+Q46+R46+U46</f>
        <v/>
      </c>
      <c r="W46" s="69">
        <f>Japan!I46</f>
        <v/>
      </c>
      <c r="X46" s="53">
        <f>IF($A46&gt;=1927,V46+W46,0)</f>
        <v/>
      </c>
      <c r="Y46" s="53">
        <f>IF($A46&gt;=1927,pac_quota*X46,V46)</f>
        <v/>
      </c>
      <c r="Z46" s="67">
        <f>SUMPRODUCT(B46:J46,Levers!$C$193:$K$193,Levers!$C$194:$K$194)/0.6</f>
        <v/>
      </c>
      <c r="AA46" s="62">
        <f>H46</f>
        <v/>
      </c>
      <c r="AB46" s="47">
        <f>AA46+'Navy plan'!T46</f>
        <v/>
      </c>
      <c r="AC46" s="62">
        <f>'Navy plan'!U46</f>
        <v/>
      </c>
      <c r="AD46" s="62">
        <f>'Navy plan'!V46</f>
        <v/>
      </c>
      <c r="AE46" s="67">
        <f>IF(AC46&gt;0,AB46/AC46,0)</f>
        <v/>
      </c>
    </row>
    <row r="47">
      <c r="A47" s="58" t="n">
        <v>1887</v>
      </c>
      <c r="B47" s="47">
        <f>B46+'Navy plan'!B47-IF($A47-Levers!$C$191&gt;=1846,INDEX('Navy plan'!B$6:B$92,$A47-1845-Levers!$C$191),0)</f>
        <v/>
      </c>
      <c r="C47" s="47">
        <f>C46+'Navy plan'!C47-IF($A47-Levers!$D$191&gt;=1846,INDEX('Navy plan'!C$6:C$92,$A47-1845-Levers!$D$191),0)</f>
        <v/>
      </c>
      <c r="D47" s="47">
        <f>D46+'Navy plan'!D47-IF($A47-Levers!$E$191&gt;=1846,INDEX('Navy plan'!D$6:D$92,$A47-1845-Levers!$E$191),0)</f>
        <v/>
      </c>
      <c r="E47" s="47">
        <f>E46+'Navy plan'!E47-IF($A47-Levers!$F$191&gt;=1846,INDEX('Navy plan'!E$6:E$92,$A47-1845-Levers!$F$191),0)</f>
        <v/>
      </c>
      <c r="F47" s="47">
        <f>F46+'Navy plan'!F47-IF($A47-Levers!$G$191&gt;=1846,INDEX('Navy plan'!F$6:F$92,$A47-1845-Levers!$G$191),0)</f>
        <v/>
      </c>
      <c r="G47" s="47">
        <f>G46+'Navy plan'!G47-IF($A47-Levers!$H$191&gt;=1846,INDEX('Navy plan'!G$6:G$92,$A47-1845-Levers!$H$191),0)</f>
        <v/>
      </c>
      <c r="H47" s="47">
        <f>H46+'Navy plan'!H47-IF($A47-Levers!$I$191&gt;=1846,INDEX('Navy plan'!H$6:H$92,$A47-1845-Levers!$I$191),0)</f>
        <v/>
      </c>
      <c r="I47" s="47">
        <f>I46+'Navy plan'!I47-IF($A47-Levers!$J$191&gt;=1846,INDEX('Navy plan'!I$6:I$92,$A47-1845-Levers!$J$191),0)</f>
        <v/>
      </c>
      <c r="J47" s="47">
        <f>J46+'Navy plan'!J47-IF($A47-Levers!$K$191&gt;=1846,INDEX('Navy plan'!J$6:J$92,$A47-1845-Levers!$K$191),0)</f>
        <v/>
      </c>
      <c r="K47" s="47">
        <f>SUM(B47:J47)</f>
        <v/>
      </c>
      <c r="L47" s="53">
        <f>0.5*SUMPRODUCT('Navy plan'!B47:'Navy plan'!J47,'Navy plan'!K47:'Navy plan'!S47)+0.5*SUMPRODUCT('Navy plan'!B48:'Navy plan'!J48,'Navy plan'!K48:'Navy plan'!S48)</f>
        <v/>
      </c>
      <c r="M47" s="47">
        <f>SUMPRODUCT(B47:J47,Levers!$C$192:$K$192)</f>
        <v/>
      </c>
      <c r="N47" s="47">
        <f>SUMPRODUCT(B47:J47,Levers!$C$195:$K$195)</f>
        <v/>
      </c>
      <c r="O47" s="47">
        <f>N47-M47</f>
        <v/>
      </c>
      <c r="P47" s="53">
        <f>M47*sailor_pay*Economy!H47/1000000</f>
        <v/>
      </c>
      <c r="Q47" s="53">
        <f>SUMPRODUCT(B47:J47,'Navy plan'!K47:'Navy plan'!S47)*maint_rate</f>
        <v/>
      </c>
      <c r="R47" s="53">
        <f>SUMPRODUCT(B47:J47,Levers!$C$193:$K$193)*Economy!H47</f>
        <v/>
      </c>
      <c r="S47" s="53">
        <f>SUMPRODUCT(B47:J47,Levers!$C$193:$K$193,Levers!$C$194:$K$194)*(1/oil_fuel-1)*Economy!H47</f>
        <v/>
      </c>
      <c r="T47" s="53">
        <f>S47+O47*sailor_pay*Economy!H47/1000000</f>
        <v/>
      </c>
      <c r="U47" s="53">
        <f>(P47+Q47+R47)*navy_overhead</f>
        <v/>
      </c>
      <c r="V47" s="53">
        <f>L47+P47+Q47+R47+U47</f>
        <v/>
      </c>
      <c r="W47" s="69">
        <f>Japan!I47</f>
        <v/>
      </c>
      <c r="X47" s="53">
        <f>IF($A47&gt;=1927,V47+W47,0)</f>
        <v/>
      </c>
      <c r="Y47" s="53">
        <f>IF($A47&gt;=1927,pac_quota*X47,V47)</f>
        <v/>
      </c>
      <c r="Z47" s="67">
        <f>SUMPRODUCT(B47:J47,Levers!$C$193:$K$193,Levers!$C$194:$K$194)/0.6</f>
        <v/>
      </c>
      <c r="AA47" s="62">
        <f>H47</f>
        <v/>
      </c>
      <c r="AB47" s="47">
        <f>AA47+'Navy plan'!T47</f>
        <v/>
      </c>
      <c r="AC47" s="62">
        <f>'Navy plan'!U47</f>
        <v/>
      </c>
      <c r="AD47" s="62">
        <f>'Navy plan'!V47</f>
        <v/>
      </c>
      <c r="AE47" s="67">
        <f>IF(AC47&gt;0,AB47/AC47,0)</f>
        <v/>
      </c>
    </row>
    <row r="48">
      <c r="A48" s="58" t="n">
        <v>1888</v>
      </c>
      <c r="B48" s="47">
        <f>B47+'Navy plan'!B48-IF($A48-Levers!$C$191&gt;=1846,INDEX('Navy plan'!B$6:B$92,$A48-1845-Levers!$C$191),0)</f>
        <v/>
      </c>
      <c r="C48" s="47">
        <f>C47+'Navy plan'!C48-IF($A48-Levers!$D$191&gt;=1846,INDEX('Navy plan'!C$6:C$92,$A48-1845-Levers!$D$191),0)</f>
        <v/>
      </c>
      <c r="D48" s="47">
        <f>D47+'Navy plan'!D48-IF($A48-Levers!$E$191&gt;=1846,INDEX('Navy plan'!D$6:D$92,$A48-1845-Levers!$E$191),0)</f>
        <v/>
      </c>
      <c r="E48" s="47">
        <f>E47+'Navy plan'!E48-IF($A48-Levers!$F$191&gt;=1846,INDEX('Navy plan'!E$6:E$92,$A48-1845-Levers!$F$191),0)</f>
        <v/>
      </c>
      <c r="F48" s="47">
        <f>F47+'Navy plan'!F48-IF($A48-Levers!$G$191&gt;=1846,INDEX('Navy plan'!F$6:F$92,$A48-1845-Levers!$G$191),0)</f>
        <v/>
      </c>
      <c r="G48" s="47">
        <f>G47+'Navy plan'!G48-IF($A48-Levers!$H$191&gt;=1846,INDEX('Navy plan'!G$6:G$92,$A48-1845-Levers!$H$191),0)</f>
        <v/>
      </c>
      <c r="H48" s="47">
        <f>H47+'Navy plan'!H48-IF($A48-Levers!$I$191&gt;=1846,INDEX('Navy plan'!H$6:H$92,$A48-1845-Levers!$I$191),0)</f>
        <v/>
      </c>
      <c r="I48" s="47">
        <f>I47+'Navy plan'!I48-IF($A48-Levers!$J$191&gt;=1846,INDEX('Navy plan'!I$6:I$92,$A48-1845-Levers!$J$191),0)</f>
        <v/>
      </c>
      <c r="J48" s="47">
        <f>J47+'Navy plan'!J48-IF($A48-Levers!$K$191&gt;=1846,INDEX('Navy plan'!J$6:J$92,$A48-1845-Levers!$K$191),0)</f>
        <v/>
      </c>
      <c r="K48" s="47">
        <f>SUM(B48:J48)</f>
        <v/>
      </c>
      <c r="L48" s="53">
        <f>0.5*SUMPRODUCT('Navy plan'!B48:'Navy plan'!J48,'Navy plan'!K48:'Navy plan'!S48)+0.5*SUMPRODUCT('Navy plan'!B49:'Navy plan'!J49,'Navy plan'!K49:'Navy plan'!S49)</f>
        <v/>
      </c>
      <c r="M48" s="47">
        <f>SUMPRODUCT(B48:J48,Levers!$C$192:$K$192)</f>
        <v/>
      </c>
      <c r="N48" s="47">
        <f>SUMPRODUCT(B48:J48,Levers!$C$195:$K$195)</f>
        <v/>
      </c>
      <c r="O48" s="47">
        <f>N48-M48</f>
        <v/>
      </c>
      <c r="P48" s="53">
        <f>M48*sailor_pay*Economy!H48/1000000</f>
        <v/>
      </c>
      <c r="Q48" s="53">
        <f>SUMPRODUCT(B48:J48,'Navy plan'!K48:'Navy plan'!S48)*maint_rate</f>
        <v/>
      </c>
      <c r="R48" s="53">
        <f>SUMPRODUCT(B48:J48,Levers!$C$193:$K$193)*Economy!H48</f>
        <v/>
      </c>
      <c r="S48" s="53">
        <f>SUMPRODUCT(B48:J48,Levers!$C$193:$K$193,Levers!$C$194:$K$194)*(1/oil_fuel-1)*Economy!H48</f>
        <v/>
      </c>
      <c r="T48" s="53">
        <f>S48+O48*sailor_pay*Economy!H48/1000000</f>
        <v/>
      </c>
      <c r="U48" s="53">
        <f>(P48+Q48+R48)*navy_overhead</f>
        <v/>
      </c>
      <c r="V48" s="53">
        <f>L48+P48+Q48+R48+U48</f>
        <v/>
      </c>
      <c r="W48" s="69">
        <f>Japan!I48</f>
        <v/>
      </c>
      <c r="X48" s="53">
        <f>IF($A48&gt;=1927,V48+W48,0)</f>
        <v/>
      </c>
      <c r="Y48" s="53">
        <f>IF($A48&gt;=1927,pac_quota*X48,V48)</f>
        <v/>
      </c>
      <c r="Z48" s="67">
        <f>SUMPRODUCT(B48:J48,Levers!$C$193:$K$193,Levers!$C$194:$K$194)/0.6</f>
        <v/>
      </c>
      <c r="AA48" s="62">
        <f>H48</f>
        <v/>
      </c>
      <c r="AB48" s="47">
        <f>AA48+'Navy plan'!T48</f>
        <v/>
      </c>
      <c r="AC48" s="62">
        <f>'Navy plan'!U48</f>
        <v/>
      </c>
      <c r="AD48" s="62">
        <f>'Navy plan'!V48</f>
        <v/>
      </c>
      <c r="AE48" s="67">
        <f>IF(AC48&gt;0,AB48/AC48,0)</f>
        <v/>
      </c>
    </row>
    <row r="49">
      <c r="A49" s="58" t="n">
        <v>1889</v>
      </c>
      <c r="B49" s="47">
        <f>B48+'Navy plan'!B49-IF($A49-Levers!$C$191&gt;=1846,INDEX('Navy plan'!B$6:B$92,$A49-1845-Levers!$C$191),0)</f>
        <v/>
      </c>
      <c r="C49" s="47">
        <f>C48+'Navy plan'!C49-IF($A49-Levers!$D$191&gt;=1846,INDEX('Navy plan'!C$6:C$92,$A49-1845-Levers!$D$191),0)</f>
        <v/>
      </c>
      <c r="D49" s="47">
        <f>D48+'Navy plan'!D49-IF($A49-Levers!$E$191&gt;=1846,INDEX('Navy plan'!D$6:D$92,$A49-1845-Levers!$E$191),0)</f>
        <v/>
      </c>
      <c r="E49" s="47">
        <f>E48+'Navy plan'!E49-IF($A49-Levers!$F$191&gt;=1846,INDEX('Navy plan'!E$6:E$92,$A49-1845-Levers!$F$191),0)</f>
        <v/>
      </c>
      <c r="F49" s="47">
        <f>F48+'Navy plan'!F49-IF($A49-Levers!$G$191&gt;=1846,INDEX('Navy plan'!F$6:F$92,$A49-1845-Levers!$G$191),0)</f>
        <v/>
      </c>
      <c r="G49" s="47">
        <f>G48+'Navy plan'!G49-IF($A49-Levers!$H$191&gt;=1846,INDEX('Navy plan'!G$6:G$92,$A49-1845-Levers!$H$191),0)</f>
        <v/>
      </c>
      <c r="H49" s="47">
        <f>H48+'Navy plan'!H49-IF($A49-Levers!$I$191&gt;=1846,INDEX('Navy plan'!H$6:H$92,$A49-1845-Levers!$I$191),0)</f>
        <v/>
      </c>
      <c r="I49" s="47">
        <f>I48+'Navy plan'!I49-IF($A49-Levers!$J$191&gt;=1846,INDEX('Navy plan'!I$6:I$92,$A49-1845-Levers!$J$191),0)</f>
        <v/>
      </c>
      <c r="J49" s="47">
        <f>J48+'Navy plan'!J49-IF($A49-Levers!$K$191&gt;=1846,INDEX('Navy plan'!J$6:J$92,$A49-1845-Levers!$K$191),0)</f>
        <v/>
      </c>
      <c r="K49" s="47">
        <f>SUM(B49:J49)</f>
        <v/>
      </c>
      <c r="L49" s="53">
        <f>0.5*SUMPRODUCT('Navy plan'!B49:'Navy plan'!J49,'Navy plan'!K49:'Navy plan'!S49)+0.5*SUMPRODUCT('Navy plan'!B50:'Navy plan'!J50,'Navy plan'!K50:'Navy plan'!S50)</f>
        <v/>
      </c>
      <c r="M49" s="47">
        <f>SUMPRODUCT(B49:J49,Levers!$C$192:$K$192)</f>
        <v/>
      </c>
      <c r="N49" s="47">
        <f>SUMPRODUCT(B49:J49,Levers!$C$195:$K$195)</f>
        <v/>
      </c>
      <c r="O49" s="47">
        <f>N49-M49</f>
        <v/>
      </c>
      <c r="P49" s="53">
        <f>M49*sailor_pay*Economy!H49/1000000</f>
        <v/>
      </c>
      <c r="Q49" s="53">
        <f>SUMPRODUCT(B49:J49,'Navy plan'!K49:'Navy plan'!S49)*maint_rate</f>
        <v/>
      </c>
      <c r="R49" s="53">
        <f>SUMPRODUCT(B49:J49,Levers!$C$193:$K$193)*Economy!H49</f>
        <v/>
      </c>
      <c r="S49" s="53">
        <f>SUMPRODUCT(B49:J49,Levers!$C$193:$K$193,Levers!$C$194:$K$194)*(1/oil_fuel-1)*Economy!H49</f>
        <v/>
      </c>
      <c r="T49" s="53">
        <f>S49+O49*sailor_pay*Economy!H49/1000000</f>
        <v/>
      </c>
      <c r="U49" s="53">
        <f>(P49+Q49+R49)*navy_overhead</f>
        <v/>
      </c>
      <c r="V49" s="53">
        <f>L49+P49+Q49+R49+U49</f>
        <v/>
      </c>
      <c r="W49" s="69">
        <f>Japan!I49</f>
        <v/>
      </c>
      <c r="X49" s="53">
        <f>IF($A49&gt;=1927,V49+W49,0)</f>
        <v/>
      </c>
      <c r="Y49" s="53">
        <f>IF($A49&gt;=1927,pac_quota*X49,V49)</f>
        <v/>
      </c>
      <c r="Z49" s="67">
        <f>SUMPRODUCT(B49:J49,Levers!$C$193:$K$193,Levers!$C$194:$K$194)/0.6</f>
        <v/>
      </c>
      <c r="AA49" s="62">
        <f>H49</f>
        <v/>
      </c>
      <c r="AB49" s="47">
        <f>AA49+'Navy plan'!T49</f>
        <v/>
      </c>
      <c r="AC49" s="62">
        <f>'Navy plan'!U49</f>
        <v/>
      </c>
      <c r="AD49" s="62">
        <f>'Navy plan'!V49</f>
        <v/>
      </c>
      <c r="AE49" s="67">
        <f>IF(AC49&gt;0,AB49/AC49,0)</f>
        <v/>
      </c>
    </row>
    <row r="50">
      <c r="A50" s="58" t="n">
        <v>1890</v>
      </c>
      <c r="B50" s="47">
        <f>B49+'Navy plan'!B50-IF($A50-Levers!$C$191&gt;=1846,INDEX('Navy plan'!B$6:B$92,$A50-1845-Levers!$C$191),0)</f>
        <v/>
      </c>
      <c r="C50" s="47">
        <f>C49+'Navy plan'!C50-IF($A50-Levers!$D$191&gt;=1846,INDEX('Navy plan'!C$6:C$92,$A50-1845-Levers!$D$191),0)</f>
        <v/>
      </c>
      <c r="D50" s="47">
        <f>D49+'Navy plan'!D50-IF($A50-Levers!$E$191&gt;=1846,INDEX('Navy plan'!D$6:D$92,$A50-1845-Levers!$E$191),0)</f>
        <v/>
      </c>
      <c r="E50" s="47">
        <f>E49+'Navy plan'!E50-IF($A50-Levers!$F$191&gt;=1846,INDEX('Navy plan'!E$6:E$92,$A50-1845-Levers!$F$191),0)</f>
        <v/>
      </c>
      <c r="F50" s="47">
        <f>F49+'Navy plan'!F50-IF($A50-Levers!$G$191&gt;=1846,INDEX('Navy plan'!F$6:F$92,$A50-1845-Levers!$G$191),0)</f>
        <v/>
      </c>
      <c r="G50" s="47">
        <f>G49+'Navy plan'!G50-IF($A50-Levers!$H$191&gt;=1846,INDEX('Navy plan'!G$6:G$92,$A50-1845-Levers!$H$191),0)</f>
        <v/>
      </c>
      <c r="H50" s="47">
        <f>H49+'Navy plan'!H50-IF($A50-Levers!$I$191&gt;=1846,INDEX('Navy plan'!H$6:H$92,$A50-1845-Levers!$I$191),0)</f>
        <v/>
      </c>
      <c r="I50" s="47">
        <f>I49+'Navy plan'!I50-IF($A50-Levers!$J$191&gt;=1846,INDEX('Navy plan'!I$6:I$92,$A50-1845-Levers!$J$191),0)</f>
        <v/>
      </c>
      <c r="J50" s="47">
        <f>J49+'Navy plan'!J50-IF($A50-Levers!$K$191&gt;=1846,INDEX('Navy plan'!J$6:J$92,$A50-1845-Levers!$K$191),0)</f>
        <v/>
      </c>
      <c r="K50" s="47">
        <f>SUM(B50:J50)</f>
        <v/>
      </c>
      <c r="L50" s="53">
        <f>0.5*SUMPRODUCT('Navy plan'!B50:'Navy plan'!J50,'Navy plan'!K50:'Navy plan'!S50)+0.5*SUMPRODUCT('Navy plan'!B51:'Navy plan'!J51,'Navy plan'!K51:'Navy plan'!S51)</f>
        <v/>
      </c>
      <c r="M50" s="47">
        <f>SUMPRODUCT(B50:J50,Levers!$C$192:$K$192)</f>
        <v/>
      </c>
      <c r="N50" s="47">
        <f>SUMPRODUCT(B50:J50,Levers!$C$195:$K$195)</f>
        <v/>
      </c>
      <c r="O50" s="47">
        <f>N50-M50</f>
        <v/>
      </c>
      <c r="P50" s="53">
        <f>M50*sailor_pay*Economy!H50/1000000</f>
        <v/>
      </c>
      <c r="Q50" s="53">
        <f>SUMPRODUCT(B50:J50,'Navy plan'!K50:'Navy plan'!S50)*maint_rate</f>
        <v/>
      </c>
      <c r="R50" s="53">
        <f>SUMPRODUCT(B50:J50,Levers!$C$193:$K$193)*Economy!H50</f>
        <v/>
      </c>
      <c r="S50" s="53">
        <f>SUMPRODUCT(B50:J50,Levers!$C$193:$K$193,Levers!$C$194:$K$194)*(1/oil_fuel-1)*Economy!H50</f>
        <v/>
      </c>
      <c r="T50" s="53">
        <f>S50+O50*sailor_pay*Economy!H50/1000000</f>
        <v/>
      </c>
      <c r="U50" s="53">
        <f>(P50+Q50+R50)*navy_overhead</f>
        <v/>
      </c>
      <c r="V50" s="53">
        <f>L50+P50+Q50+R50+U50</f>
        <v/>
      </c>
      <c r="W50" s="69">
        <f>Japan!I50</f>
        <v/>
      </c>
      <c r="X50" s="53">
        <f>IF($A50&gt;=1927,V50+W50,0)</f>
        <v/>
      </c>
      <c r="Y50" s="53">
        <f>IF($A50&gt;=1927,pac_quota*X50,V50)</f>
        <v/>
      </c>
      <c r="Z50" s="67">
        <f>SUMPRODUCT(B50:J50,Levers!$C$193:$K$193,Levers!$C$194:$K$194)/0.6</f>
        <v/>
      </c>
      <c r="AA50" s="62">
        <f>H50</f>
        <v/>
      </c>
      <c r="AB50" s="47">
        <f>AA50+'Navy plan'!T50</f>
        <v/>
      </c>
      <c r="AC50" s="62">
        <f>'Navy plan'!U50</f>
        <v/>
      </c>
      <c r="AD50" s="62">
        <f>'Navy plan'!V50</f>
        <v/>
      </c>
      <c r="AE50" s="67">
        <f>IF(AC50&gt;0,AB50/AC50,0)</f>
        <v/>
      </c>
    </row>
    <row r="51">
      <c r="A51" s="58" t="n">
        <v>1891</v>
      </c>
      <c r="B51" s="47">
        <f>B50+'Navy plan'!B51-IF($A51-Levers!$C$191&gt;=1846,INDEX('Navy plan'!B$6:B$92,$A51-1845-Levers!$C$191),0)</f>
        <v/>
      </c>
      <c r="C51" s="47">
        <f>C50+'Navy plan'!C51-IF($A51-Levers!$D$191&gt;=1846,INDEX('Navy plan'!C$6:C$92,$A51-1845-Levers!$D$191),0)</f>
        <v/>
      </c>
      <c r="D51" s="47">
        <f>D50+'Navy plan'!D51-IF($A51-Levers!$E$191&gt;=1846,INDEX('Navy plan'!D$6:D$92,$A51-1845-Levers!$E$191),0)</f>
        <v/>
      </c>
      <c r="E51" s="47">
        <f>E50+'Navy plan'!E51-IF($A51-Levers!$F$191&gt;=1846,INDEX('Navy plan'!E$6:E$92,$A51-1845-Levers!$F$191),0)</f>
        <v/>
      </c>
      <c r="F51" s="47">
        <f>F50+'Navy plan'!F51-IF($A51-Levers!$G$191&gt;=1846,INDEX('Navy plan'!F$6:F$92,$A51-1845-Levers!$G$191),0)</f>
        <v/>
      </c>
      <c r="G51" s="47">
        <f>G50+'Navy plan'!G51-IF($A51-Levers!$H$191&gt;=1846,INDEX('Navy plan'!G$6:G$92,$A51-1845-Levers!$H$191),0)</f>
        <v/>
      </c>
      <c r="H51" s="47">
        <f>H50+'Navy plan'!H51-IF($A51-Levers!$I$191&gt;=1846,INDEX('Navy plan'!H$6:H$92,$A51-1845-Levers!$I$191),0)</f>
        <v/>
      </c>
      <c r="I51" s="47">
        <f>I50+'Navy plan'!I51-IF($A51-Levers!$J$191&gt;=1846,INDEX('Navy plan'!I$6:I$92,$A51-1845-Levers!$J$191),0)</f>
        <v/>
      </c>
      <c r="J51" s="47">
        <f>J50+'Navy plan'!J51-IF($A51-Levers!$K$191&gt;=1846,INDEX('Navy plan'!J$6:J$92,$A51-1845-Levers!$K$191),0)</f>
        <v/>
      </c>
      <c r="K51" s="47">
        <f>SUM(B51:J51)</f>
        <v/>
      </c>
      <c r="L51" s="53">
        <f>0.5*SUMPRODUCT('Navy plan'!B51:'Navy plan'!J51,'Navy plan'!K51:'Navy plan'!S51)+0.5*SUMPRODUCT('Navy plan'!B52:'Navy plan'!J52,'Navy plan'!K52:'Navy plan'!S52)</f>
        <v/>
      </c>
      <c r="M51" s="47">
        <f>SUMPRODUCT(B51:J51,Levers!$C$192:$K$192)</f>
        <v/>
      </c>
      <c r="N51" s="47">
        <f>SUMPRODUCT(B51:J51,Levers!$C$195:$K$195)</f>
        <v/>
      </c>
      <c r="O51" s="47">
        <f>N51-M51</f>
        <v/>
      </c>
      <c r="P51" s="53">
        <f>M51*sailor_pay*Economy!H51/1000000</f>
        <v/>
      </c>
      <c r="Q51" s="53">
        <f>SUMPRODUCT(B51:J51,'Navy plan'!K51:'Navy plan'!S51)*maint_rate</f>
        <v/>
      </c>
      <c r="R51" s="53">
        <f>SUMPRODUCT(B51:J51,Levers!$C$193:$K$193)*Economy!H51</f>
        <v/>
      </c>
      <c r="S51" s="53">
        <f>SUMPRODUCT(B51:J51,Levers!$C$193:$K$193,Levers!$C$194:$K$194)*(1/oil_fuel-1)*Economy!H51</f>
        <v/>
      </c>
      <c r="T51" s="53">
        <f>S51+O51*sailor_pay*Economy!H51/1000000</f>
        <v/>
      </c>
      <c r="U51" s="53">
        <f>(P51+Q51+R51)*navy_overhead</f>
        <v/>
      </c>
      <c r="V51" s="53">
        <f>L51+P51+Q51+R51+U51</f>
        <v/>
      </c>
      <c r="W51" s="69">
        <f>Japan!I51</f>
        <v/>
      </c>
      <c r="X51" s="53">
        <f>IF($A51&gt;=1927,V51+W51,0)</f>
        <v/>
      </c>
      <c r="Y51" s="53">
        <f>IF($A51&gt;=1927,pac_quota*X51,V51)</f>
        <v/>
      </c>
      <c r="Z51" s="67">
        <f>SUMPRODUCT(B51:J51,Levers!$C$193:$K$193,Levers!$C$194:$K$194)/0.6</f>
        <v/>
      </c>
      <c r="AA51" s="62">
        <f>H51</f>
        <v/>
      </c>
      <c r="AB51" s="47">
        <f>AA51+'Navy plan'!T51</f>
        <v/>
      </c>
      <c r="AC51" s="62">
        <f>'Navy plan'!U51</f>
        <v/>
      </c>
      <c r="AD51" s="62">
        <f>'Navy plan'!V51</f>
        <v/>
      </c>
      <c r="AE51" s="67">
        <f>IF(AC51&gt;0,AB51/AC51,0)</f>
        <v/>
      </c>
    </row>
    <row r="52">
      <c r="A52" s="58" t="n">
        <v>1892</v>
      </c>
      <c r="B52" s="47">
        <f>B51+'Navy plan'!B52-IF($A52-Levers!$C$191&gt;=1846,INDEX('Navy plan'!B$6:B$92,$A52-1845-Levers!$C$191),0)</f>
        <v/>
      </c>
      <c r="C52" s="47">
        <f>C51+'Navy plan'!C52-IF($A52-Levers!$D$191&gt;=1846,INDEX('Navy plan'!C$6:C$92,$A52-1845-Levers!$D$191),0)</f>
        <v/>
      </c>
      <c r="D52" s="47">
        <f>D51+'Navy plan'!D52-IF($A52-Levers!$E$191&gt;=1846,INDEX('Navy plan'!D$6:D$92,$A52-1845-Levers!$E$191),0)</f>
        <v/>
      </c>
      <c r="E52" s="47">
        <f>E51+'Navy plan'!E52-IF($A52-Levers!$F$191&gt;=1846,INDEX('Navy plan'!E$6:E$92,$A52-1845-Levers!$F$191),0)</f>
        <v/>
      </c>
      <c r="F52" s="47">
        <f>F51+'Navy plan'!F52-IF($A52-Levers!$G$191&gt;=1846,INDEX('Navy plan'!F$6:F$92,$A52-1845-Levers!$G$191),0)</f>
        <v/>
      </c>
      <c r="G52" s="47">
        <f>G51+'Navy plan'!G52-IF($A52-Levers!$H$191&gt;=1846,INDEX('Navy plan'!G$6:G$92,$A52-1845-Levers!$H$191),0)</f>
        <v/>
      </c>
      <c r="H52" s="47">
        <f>H51+'Navy plan'!H52-IF($A52-Levers!$I$191&gt;=1846,INDEX('Navy plan'!H$6:H$92,$A52-1845-Levers!$I$191),0)</f>
        <v/>
      </c>
      <c r="I52" s="47">
        <f>I51+'Navy plan'!I52-IF($A52-Levers!$J$191&gt;=1846,INDEX('Navy plan'!I$6:I$92,$A52-1845-Levers!$J$191),0)</f>
        <v/>
      </c>
      <c r="J52" s="47">
        <f>J51+'Navy plan'!J52-IF($A52-Levers!$K$191&gt;=1846,INDEX('Navy plan'!J$6:J$92,$A52-1845-Levers!$K$191),0)</f>
        <v/>
      </c>
      <c r="K52" s="47">
        <f>SUM(B52:J52)</f>
        <v/>
      </c>
      <c r="L52" s="53">
        <f>0.5*SUMPRODUCT('Navy plan'!B52:'Navy plan'!J52,'Navy plan'!K52:'Navy plan'!S52)+0.5*SUMPRODUCT('Navy plan'!B53:'Navy plan'!J53,'Navy plan'!K53:'Navy plan'!S53)</f>
        <v/>
      </c>
      <c r="M52" s="47">
        <f>SUMPRODUCT(B52:J52,Levers!$C$192:$K$192)</f>
        <v/>
      </c>
      <c r="N52" s="47">
        <f>SUMPRODUCT(B52:J52,Levers!$C$195:$K$195)</f>
        <v/>
      </c>
      <c r="O52" s="47">
        <f>N52-M52</f>
        <v/>
      </c>
      <c r="P52" s="53">
        <f>M52*sailor_pay*Economy!H52/1000000</f>
        <v/>
      </c>
      <c r="Q52" s="53">
        <f>SUMPRODUCT(B52:J52,'Navy plan'!K52:'Navy plan'!S52)*maint_rate</f>
        <v/>
      </c>
      <c r="R52" s="53">
        <f>SUMPRODUCT(B52:J52,Levers!$C$193:$K$193)*Economy!H52</f>
        <v/>
      </c>
      <c r="S52" s="53">
        <f>SUMPRODUCT(B52:J52,Levers!$C$193:$K$193,Levers!$C$194:$K$194)*(1/oil_fuel-1)*Economy!H52</f>
        <v/>
      </c>
      <c r="T52" s="53">
        <f>S52+O52*sailor_pay*Economy!H52/1000000</f>
        <v/>
      </c>
      <c r="U52" s="53">
        <f>(P52+Q52+R52)*navy_overhead</f>
        <v/>
      </c>
      <c r="V52" s="53">
        <f>L52+P52+Q52+R52+U52</f>
        <v/>
      </c>
      <c r="W52" s="69">
        <f>Japan!I52</f>
        <v/>
      </c>
      <c r="X52" s="53">
        <f>IF($A52&gt;=1927,V52+W52,0)</f>
        <v/>
      </c>
      <c r="Y52" s="53">
        <f>IF($A52&gt;=1927,pac_quota*X52,V52)</f>
        <v/>
      </c>
      <c r="Z52" s="67">
        <f>SUMPRODUCT(B52:J52,Levers!$C$193:$K$193,Levers!$C$194:$K$194)/0.6</f>
        <v/>
      </c>
      <c r="AA52" s="62">
        <f>H52</f>
        <v/>
      </c>
      <c r="AB52" s="47">
        <f>AA52+'Navy plan'!T52</f>
        <v/>
      </c>
      <c r="AC52" s="62">
        <f>'Navy plan'!U52</f>
        <v/>
      </c>
      <c r="AD52" s="62">
        <f>'Navy plan'!V52</f>
        <v/>
      </c>
      <c r="AE52" s="67">
        <f>IF(AC52&gt;0,AB52/AC52,0)</f>
        <v/>
      </c>
    </row>
    <row r="53">
      <c r="A53" s="58" t="n">
        <v>1893</v>
      </c>
      <c r="B53" s="47">
        <f>B52+'Navy plan'!B53-IF($A53-Levers!$C$191&gt;=1846,INDEX('Navy plan'!B$6:B$92,$A53-1845-Levers!$C$191),0)</f>
        <v/>
      </c>
      <c r="C53" s="47">
        <f>C52+'Navy plan'!C53-IF($A53-Levers!$D$191&gt;=1846,INDEX('Navy plan'!C$6:C$92,$A53-1845-Levers!$D$191),0)</f>
        <v/>
      </c>
      <c r="D53" s="47">
        <f>D52+'Navy plan'!D53-IF($A53-Levers!$E$191&gt;=1846,INDEX('Navy plan'!D$6:D$92,$A53-1845-Levers!$E$191),0)</f>
        <v/>
      </c>
      <c r="E53" s="47">
        <f>E52+'Navy plan'!E53-IF($A53-Levers!$F$191&gt;=1846,INDEX('Navy plan'!E$6:E$92,$A53-1845-Levers!$F$191),0)</f>
        <v/>
      </c>
      <c r="F53" s="47">
        <f>F52+'Navy plan'!F53-IF($A53-Levers!$G$191&gt;=1846,INDEX('Navy plan'!F$6:F$92,$A53-1845-Levers!$G$191),0)</f>
        <v/>
      </c>
      <c r="G53" s="47">
        <f>G52+'Navy plan'!G53-IF($A53-Levers!$H$191&gt;=1846,INDEX('Navy plan'!G$6:G$92,$A53-1845-Levers!$H$191),0)</f>
        <v/>
      </c>
      <c r="H53" s="47">
        <f>H52+'Navy plan'!H53-IF($A53-Levers!$I$191&gt;=1846,INDEX('Navy plan'!H$6:H$92,$A53-1845-Levers!$I$191),0)</f>
        <v/>
      </c>
      <c r="I53" s="47">
        <f>I52+'Navy plan'!I53-IF($A53-Levers!$J$191&gt;=1846,INDEX('Navy plan'!I$6:I$92,$A53-1845-Levers!$J$191),0)</f>
        <v/>
      </c>
      <c r="J53" s="47">
        <f>J52+'Navy plan'!J53-IF($A53-Levers!$K$191&gt;=1846,INDEX('Navy plan'!J$6:J$92,$A53-1845-Levers!$K$191),0)</f>
        <v/>
      </c>
      <c r="K53" s="47">
        <f>SUM(B53:J53)</f>
        <v/>
      </c>
      <c r="L53" s="53">
        <f>0.5*SUMPRODUCT('Navy plan'!B53:'Navy plan'!J53,'Navy plan'!K53:'Navy plan'!S53)+0.5*SUMPRODUCT('Navy plan'!B54:'Navy plan'!J54,'Navy plan'!K54:'Navy plan'!S54)</f>
        <v/>
      </c>
      <c r="M53" s="47">
        <f>SUMPRODUCT(B53:J53,Levers!$C$192:$K$192)</f>
        <v/>
      </c>
      <c r="N53" s="47">
        <f>SUMPRODUCT(B53:J53,Levers!$C$195:$K$195)</f>
        <v/>
      </c>
      <c r="O53" s="47">
        <f>N53-M53</f>
        <v/>
      </c>
      <c r="P53" s="53">
        <f>M53*sailor_pay*Economy!H53/1000000</f>
        <v/>
      </c>
      <c r="Q53" s="53">
        <f>SUMPRODUCT(B53:J53,'Navy plan'!K53:'Navy plan'!S53)*maint_rate</f>
        <v/>
      </c>
      <c r="R53" s="53">
        <f>SUMPRODUCT(B53:J53,Levers!$C$193:$K$193)*Economy!H53</f>
        <v/>
      </c>
      <c r="S53" s="53">
        <f>SUMPRODUCT(B53:J53,Levers!$C$193:$K$193,Levers!$C$194:$K$194)*(1/oil_fuel-1)*Economy!H53</f>
        <v/>
      </c>
      <c r="T53" s="53">
        <f>S53+O53*sailor_pay*Economy!H53/1000000</f>
        <v/>
      </c>
      <c r="U53" s="53">
        <f>(P53+Q53+R53)*navy_overhead</f>
        <v/>
      </c>
      <c r="V53" s="53">
        <f>L53+P53+Q53+R53+U53</f>
        <v/>
      </c>
      <c r="W53" s="69">
        <f>Japan!I53</f>
        <v/>
      </c>
      <c r="X53" s="53">
        <f>IF($A53&gt;=1927,V53+W53,0)</f>
        <v/>
      </c>
      <c r="Y53" s="53">
        <f>IF($A53&gt;=1927,pac_quota*X53,V53)</f>
        <v/>
      </c>
      <c r="Z53" s="67">
        <f>SUMPRODUCT(B53:J53,Levers!$C$193:$K$193,Levers!$C$194:$K$194)/0.6</f>
        <v/>
      </c>
      <c r="AA53" s="62">
        <f>H53</f>
        <v/>
      </c>
      <c r="AB53" s="47">
        <f>AA53+'Navy plan'!T53</f>
        <v/>
      </c>
      <c r="AC53" s="62">
        <f>'Navy plan'!U53</f>
        <v/>
      </c>
      <c r="AD53" s="62">
        <f>'Navy plan'!V53</f>
        <v/>
      </c>
      <c r="AE53" s="67">
        <f>IF(AC53&gt;0,AB53/AC53,0)</f>
        <v/>
      </c>
    </row>
    <row r="54">
      <c r="A54" s="58" t="n">
        <v>1894</v>
      </c>
      <c r="B54" s="47">
        <f>B53+'Navy plan'!B54-IF($A54-Levers!$C$191&gt;=1846,INDEX('Navy plan'!B$6:B$92,$A54-1845-Levers!$C$191),0)</f>
        <v/>
      </c>
      <c r="C54" s="47">
        <f>C53+'Navy plan'!C54-IF($A54-Levers!$D$191&gt;=1846,INDEX('Navy plan'!C$6:C$92,$A54-1845-Levers!$D$191),0)</f>
        <v/>
      </c>
      <c r="D54" s="47">
        <f>D53+'Navy plan'!D54-IF($A54-Levers!$E$191&gt;=1846,INDEX('Navy plan'!D$6:D$92,$A54-1845-Levers!$E$191),0)</f>
        <v/>
      </c>
      <c r="E54" s="47">
        <f>E53+'Navy plan'!E54-IF($A54-Levers!$F$191&gt;=1846,INDEX('Navy plan'!E$6:E$92,$A54-1845-Levers!$F$191),0)</f>
        <v/>
      </c>
      <c r="F54" s="47">
        <f>F53+'Navy plan'!F54-IF($A54-Levers!$G$191&gt;=1846,INDEX('Navy plan'!F$6:F$92,$A54-1845-Levers!$G$191),0)</f>
        <v/>
      </c>
      <c r="G54" s="47">
        <f>G53+'Navy plan'!G54-IF($A54-Levers!$H$191&gt;=1846,INDEX('Navy plan'!G$6:G$92,$A54-1845-Levers!$H$191),0)</f>
        <v/>
      </c>
      <c r="H54" s="47">
        <f>H53+'Navy plan'!H54-IF($A54-Levers!$I$191&gt;=1846,INDEX('Navy plan'!H$6:H$92,$A54-1845-Levers!$I$191),0)</f>
        <v/>
      </c>
      <c r="I54" s="47">
        <f>I53+'Navy plan'!I54-IF($A54-Levers!$J$191&gt;=1846,INDEX('Navy plan'!I$6:I$92,$A54-1845-Levers!$J$191),0)</f>
        <v/>
      </c>
      <c r="J54" s="47">
        <f>J53+'Navy plan'!J54-IF($A54-Levers!$K$191&gt;=1846,INDEX('Navy plan'!J$6:J$92,$A54-1845-Levers!$K$191),0)</f>
        <v/>
      </c>
      <c r="K54" s="47">
        <f>SUM(B54:J54)</f>
        <v/>
      </c>
      <c r="L54" s="53">
        <f>0.5*SUMPRODUCT('Navy plan'!B54:'Navy plan'!J54,'Navy plan'!K54:'Navy plan'!S54)+0.5*SUMPRODUCT('Navy plan'!B55:'Navy plan'!J55,'Navy plan'!K55:'Navy plan'!S55)</f>
        <v/>
      </c>
      <c r="M54" s="47">
        <f>SUMPRODUCT(B54:J54,Levers!$C$192:$K$192)</f>
        <v/>
      </c>
      <c r="N54" s="47">
        <f>SUMPRODUCT(B54:J54,Levers!$C$195:$K$195)</f>
        <v/>
      </c>
      <c r="O54" s="47">
        <f>N54-M54</f>
        <v/>
      </c>
      <c r="P54" s="53">
        <f>M54*sailor_pay*Economy!H54/1000000</f>
        <v/>
      </c>
      <c r="Q54" s="53">
        <f>SUMPRODUCT(B54:J54,'Navy plan'!K54:'Navy plan'!S54)*maint_rate</f>
        <v/>
      </c>
      <c r="R54" s="53">
        <f>SUMPRODUCT(B54:J54,Levers!$C$193:$K$193)*Economy!H54</f>
        <v/>
      </c>
      <c r="S54" s="53">
        <f>SUMPRODUCT(B54:J54,Levers!$C$193:$K$193,Levers!$C$194:$K$194)*(1/oil_fuel-1)*Economy!H54</f>
        <v/>
      </c>
      <c r="T54" s="53">
        <f>S54+O54*sailor_pay*Economy!H54/1000000</f>
        <v/>
      </c>
      <c r="U54" s="53">
        <f>(P54+Q54+R54)*navy_overhead</f>
        <v/>
      </c>
      <c r="V54" s="53">
        <f>L54+P54+Q54+R54+U54</f>
        <v/>
      </c>
      <c r="W54" s="69">
        <f>Japan!I54</f>
        <v/>
      </c>
      <c r="X54" s="53">
        <f>IF($A54&gt;=1927,V54+W54,0)</f>
        <v/>
      </c>
      <c r="Y54" s="53">
        <f>IF($A54&gt;=1927,pac_quota*X54,V54)</f>
        <v/>
      </c>
      <c r="Z54" s="67">
        <f>SUMPRODUCT(B54:J54,Levers!$C$193:$K$193,Levers!$C$194:$K$194)/0.6</f>
        <v/>
      </c>
      <c r="AA54" s="62">
        <f>H54</f>
        <v/>
      </c>
      <c r="AB54" s="47">
        <f>AA54+'Navy plan'!T54</f>
        <v/>
      </c>
      <c r="AC54" s="62">
        <f>'Navy plan'!U54</f>
        <v/>
      </c>
      <c r="AD54" s="62">
        <f>'Navy plan'!V54</f>
        <v/>
      </c>
      <c r="AE54" s="67">
        <f>IF(AC54&gt;0,AB54/AC54,0)</f>
        <v/>
      </c>
    </row>
    <row r="55">
      <c r="A55" s="58" t="n">
        <v>1895</v>
      </c>
      <c r="B55" s="47">
        <f>B54+'Navy plan'!B55-IF($A55-Levers!$C$191&gt;=1846,INDEX('Navy plan'!B$6:B$92,$A55-1845-Levers!$C$191),0)</f>
        <v/>
      </c>
      <c r="C55" s="47">
        <f>C54+'Navy plan'!C55-IF($A55-Levers!$D$191&gt;=1846,INDEX('Navy plan'!C$6:C$92,$A55-1845-Levers!$D$191),0)</f>
        <v/>
      </c>
      <c r="D55" s="47">
        <f>D54+'Navy plan'!D55-IF($A55-Levers!$E$191&gt;=1846,INDEX('Navy plan'!D$6:D$92,$A55-1845-Levers!$E$191),0)</f>
        <v/>
      </c>
      <c r="E55" s="47">
        <f>E54+'Navy plan'!E55-IF($A55-Levers!$F$191&gt;=1846,INDEX('Navy plan'!E$6:E$92,$A55-1845-Levers!$F$191),0)</f>
        <v/>
      </c>
      <c r="F55" s="47">
        <f>F54+'Navy plan'!F55-IF($A55-Levers!$G$191&gt;=1846,INDEX('Navy plan'!F$6:F$92,$A55-1845-Levers!$G$191),0)</f>
        <v/>
      </c>
      <c r="G55" s="47">
        <f>G54+'Navy plan'!G55-IF($A55-Levers!$H$191&gt;=1846,INDEX('Navy plan'!G$6:G$92,$A55-1845-Levers!$H$191),0)</f>
        <v/>
      </c>
      <c r="H55" s="47">
        <f>H54+'Navy plan'!H55-IF($A55-Levers!$I$191&gt;=1846,INDEX('Navy plan'!H$6:H$92,$A55-1845-Levers!$I$191),0)</f>
        <v/>
      </c>
      <c r="I55" s="47">
        <f>I54+'Navy plan'!I55-IF($A55-Levers!$J$191&gt;=1846,INDEX('Navy plan'!I$6:I$92,$A55-1845-Levers!$J$191),0)</f>
        <v/>
      </c>
      <c r="J55" s="47">
        <f>J54+'Navy plan'!J55-IF($A55-Levers!$K$191&gt;=1846,INDEX('Navy plan'!J$6:J$92,$A55-1845-Levers!$K$191),0)</f>
        <v/>
      </c>
      <c r="K55" s="47">
        <f>SUM(B55:J55)</f>
        <v/>
      </c>
      <c r="L55" s="53">
        <f>0.5*SUMPRODUCT('Navy plan'!B55:'Navy plan'!J55,'Navy plan'!K55:'Navy plan'!S55)+0.5*SUMPRODUCT('Navy plan'!B56:'Navy plan'!J56,'Navy plan'!K56:'Navy plan'!S56)</f>
        <v/>
      </c>
      <c r="M55" s="47">
        <f>SUMPRODUCT(B55:J55,Levers!$C$192:$K$192)</f>
        <v/>
      </c>
      <c r="N55" s="47">
        <f>SUMPRODUCT(B55:J55,Levers!$C$195:$K$195)</f>
        <v/>
      </c>
      <c r="O55" s="47">
        <f>N55-M55</f>
        <v/>
      </c>
      <c r="P55" s="53">
        <f>M55*sailor_pay*Economy!H55/1000000</f>
        <v/>
      </c>
      <c r="Q55" s="53">
        <f>SUMPRODUCT(B55:J55,'Navy plan'!K55:'Navy plan'!S55)*maint_rate</f>
        <v/>
      </c>
      <c r="R55" s="53">
        <f>SUMPRODUCT(B55:J55,Levers!$C$193:$K$193)*Economy!H55</f>
        <v/>
      </c>
      <c r="S55" s="53">
        <f>SUMPRODUCT(B55:J55,Levers!$C$193:$K$193,Levers!$C$194:$K$194)*(1/oil_fuel-1)*Economy!H55</f>
        <v/>
      </c>
      <c r="T55" s="53">
        <f>S55+O55*sailor_pay*Economy!H55/1000000</f>
        <v/>
      </c>
      <c r="U55" s="53">
        <f>(P55+Q55+R55)*navy_overhead</f>
        <v/>
      </c>
      <c r="V55" s="53">
        <f>L55+P55+Q55+R55+U55</f>
        <v/>
      </c>
      <c r="W55" s="69">
        <f>Japan!I55</f>
        <v/>
      </c>
      <c r="X55" s="53">
        <f>IF($A55&gt;=1927,V55+W55,0)</f>
        <v/>
      </c>
      <c r="Y55" s="53">
        <f>IF($A55&gt;=1927,pac_quota*X55,V55)</f>
        <v/>
      </c>
      <c r="Z55" s="67">
        <f>SUMPRODUCT(B55:J55,Levers!$C$193:$K$193,Levers!$C$194:$K$194)/0.6</f>
        <v/>
      </c>
      <c r="AA55" s="62">
        <f>H55</f>
        <v/>
      </c>
      <c r="AB55" s="47">
        <f>AA55+'Navy plan'!T55</f>
        <v/>
      </c>
      <c r="AC55" s="62">
        <f>'Navy plan'!U55</f>
        <v/>
      </c>
      <c r="AD55" s="62">
        <f>'Navy plan'!V55</f>
        <v/>
      </c>
      <c r="AE55" s="67">
        <f>IF(AC55&gt;0,AB55/AC55,0)</f>
        <v/>
      </c>
    </row>
    <row r="56">
      <c r="A56" s="58" t="n">
        <v>1896</v>
      </c>
      <c r="B56" s="47">
        <f>B55+'Navy plan'!B56-IF($A56-Levers!$C$191&gt;=1846,INDEX('Navy plan'!B$6:B$92,$A56-1845-Levers!$C$191),0)</f>
        <v/>
      </c>
      <c r="C56" s="47">
        <f>C55+'Navy plan'!C56-IF($A56-Levers!$D$191&gt;=1846,INDEX('Navy plan'!C$6:C$92,$A56-1845-Levers!$D$191),0)</f>
        <v/>
      </c>
      <c r="D56" s="47">
        <f>D55+'Navy plan'!D56-IF($A56-Levers!$E$191&gt;=1846,INDEX('Navy plan'!D$6:D$92,$A56-1845-Levers!$E$191),0)</f>
        <v/>
      </c>
      <c r="E56" s="47">
        <f>E55+'Navy plan'!E56-IF($A56-Levers!$F$191&gt;=1846,INDEX('Navy plan'!E$6:E$92,$A56-1845-Levers!$F$191),0)</f>
        <v/>
      </c>
      <c r="F56" s="47">
        <f>F55+'Navy plan'!F56-IF($A56-Levers!$G$191&gt;=1846,INDEX('Navy plan'!F$6:F$92,$A56-1845-Levers!$G$191),0)</f>
        <v/>
      </c>
      <c r="G56" s="47">
        <f>G55+'Navy plan'!G56-IF($A56-Levers!$H$191&gt;=1846,INDEX('Navy plan'!G$6:G$92,$A56-1845-Levers!$H$191),0)</f>
        <v/>
      </c>
      <c r="H56" s="47">
        <f>H55+'Navy plan'!H56-IF($A56-Levers!$I$191&gt;=1846,INDEX('Navy plan'!H$6:H$92,$A56-1845-Levers!$I$191),0)</f>
        <v/>
      </c>
      <c r="I56" s="47">
        <f>I55+'Navy plan'!I56-IF($A56-Levers!$J$191&gt;=1846,INDEX('Navy plan'!I$6:I$92,$A56-1845-Levers!$J$191),0)</f>
        <v/>
      </c>
      <c r="J56" s="47">
        <f>J55+'Navy plan'!J56-IF($A56-Levers!$K$191&gt;=1846,INDEX('Navy plan'!J$6:J$92,$A56-1845-Levers!$K$191),0)</f>
        <v/>
      </c>
      <c r="K56" s="47">
        <f>SUM(B56:J56)</f>
        <v/>
      </c>
      <c r="L56" s="53">
        <f>0.5*SUMPRODUCT('Navy plan'!B56:'Navy plan'!J56,'Navy plan'!K56:'Navy plan'!S56)+0.5*SUMPRODUCT('Navy plan'!B57:'Navy plan'!J57,'Navy plan'!K57:'Navy plan'!S57)</f>
        <v/>
      </c>
      <c r="M56" s="47">
        <f>SUMPRODUCT(B56:J56,Levers!$C$192:$K$192)</f>
        <v/>
      </c>
      <c r="N56" s="47">
        <f>SUMPRODUCT(B56:J56,Levers!$C$195:$K$195)</f>
        <v/>
      </c>
      <c r="O56" s="47">
        <f>N56-M56</f>
        <v/>
      </c>
      <c r="P56" s="53">
        <f>M56*sailor_pay*Economy!H56/1000000</f>
        <v/>
      </c>
      <c r="Q56" s="53">
        <f>SUMPRODUCT(B56:J56,'Navy plan'!K56:'Navy plan'!S56)*maint_rate</f>
        <v/>
      </c>
      <c r="R56" s="53">
        <f>SUMPRODUCT(B56:J56,Levers!$C$193:$K$193)*Economy!H56</f>
        <v/>
      </c>
      <c r="S56" s="53">
        <f>SUMPRODUCT(B56:J56,Levers!$C$193:$K$193,Levers!$C$194:$K$194)*(1/oil_fuel-1)*Economy!H56</f>
        <v/>
      </c>
      <c r="T56" s="53">
        <f>S56+O56*sailor_pay*Economy!H56/1000000</f>
        <v/>
      </c>
      <c r="U56" s="53">
        <f>(P56+Q56+R56)*navy_overhead</f>
        <v/>
      </c>
      <c r="V56" s="53">
        <f>L56+P56+Q56+R56+U56</f>
        <v/>
      </c>
      <c r="W56" s="69">
        <f>Japan!I56</f>
        <v/>
      </c>
      <c r="X56" s="53">
        <f>IF($A56&gt;=1927,V56+W56,0)</f>
        <v/>
      </c>
      <c r="Y56" s="53">
        <f>IF($A56&gt;=1927,pac_quota*X56,V56)</f>
        <v/>
      </c>
      <c r="Z56" s="67">
        <f>SUMPRODUCT(B56:J56,Levers!$C$193:$K$193,Levers!$C$194:$K$194)/0.6</f>
        <v/>
      </c>
      <c r="AA56" s="62">
        <f>H56</f>
        <v/>
      </c>
      <c r="AB56" s="47">
        <f>AA56+'Navy plan'!T56</f>
        <v/>
      </c>
      <c r="AC56" s="62">
        <f>'Navy plan'!U56</f>
        <v/>
      </c>
      <c r="AD56" s="62">
        <f>'Navy plan'!V56</f>
        <v/>
      </c>
      <c r="AE56" s="67">
        <f>IF(AC56&gt;0,AB56/AC56,0)</f>
        <v/>
      </c>
    </row>
    <row r="57">
      <c r="A57" s="58" t="n">
        <v>1897</v>
      </c>
      <c r="B57" s="47">
        <f>B56+'Navy plan'!B57-IF($A57-Levers!$C$191&gt;=1846,INDEX('Navy plan'!B$6:B$92,$A57-1845-Levers!$C$191),0)</f>
        <v/>
      </c>
      <c r="C57" s="47">
        <f>C56+'Navy plan'!C57-IF($A57-Levers!$D$191&gt;=1846,INDEX('Navy plan'!C$6:C$92,$A57-1845-Levers!$D$191),0)</f>
        <v/>
      </c>
      <c r="D57" s="47">
        <f>D56+'Navy plan'!D57-IF($A57-Levers!$E$191&gt;=1846,INDEX('Navy plan'!D$6:D$92,$A57-1845-Levers!$E$191),0)</f>
        <v/>
      </c>
      <c r="E57" s="47">
        <f>E56+'Navy plan'!E57-IF($A57-Levers!$F$191&gt;=1846,INDEX('Navy plan'!E$6:E$92,$A57-1845-Levers!$F$191),0)</f>
        <v/>
      </c>
      <c r="F57" s="47">
        <f>F56+'Navy plan'!F57-IF($A57-Levers!$G$191&gt;=1846,INDEX('Navy plan'!F$6:F$92,$A57-1845-Levers!$G$191),0)</f>
        <v/>
      </c>
      <c r="G57" s="47">
        <f>G56+'Navy plan'!G57-IF($A57-Levers!$H$191&gt;=1846,INDEX('Navy plan'!G$6:G$92,$A57-1845-Levers!$H$191),0)</f>
        <v/>
      </c>
      <c r="H57" s="47">
        <f>H56+'Navy plan'!H57-IF($A57-Levers!$I$191&gt;=1846,INDEX('Navy plan'!H$6:H$92,$A57-1845-Levers!$I$191),0)</f>
        <v/>
      </c>
      <c r="I57" s="47">
        <f>I56+'Navy plan'!I57-IF($A57-Levers!$J$191&gt;=1846,INDEX('Navy plan'!I$6:I$92,$A57-1845-Levers!$J$191),0)</f>
        <v/>
      </c>
      <c r="J57" s="47">
        <f>J56+'Navy plan'!J57-IF($A57-Levers!$K$191&gt;=1846,INDEX('Navy plan'!J$6:J$92,$A57-1845-Levers!$K$191),0)</f>
        <v/>
      </c>
      <c r="K57" s="47">
        <f>SUM(B57:J57)</f>
        <v/>
      </c>
      <c r="L57" s="53">
        <f>0.5*SUMPRODUCT('Navy plan'!B57:'Navy plan'!J57,'Navy plan'!K57:'Navy plan'!S57)+0.5*SUMPRODUCT('Navy plan'!B58:'Navy plan'!J58,'Navy plan'!K58:'Navy plan'!S58)</f>
        <v/>
      </c>
      <c r="M57" s="47">
        <f>SUMPRODUCT(B57:J57,Levers!$C$192:$K$192)</f>
        <v/>
      </c>
      <c r="N57" s="47">
        <f>SUMPRODUCT(B57:J57,Levers!$C$195:$K$195)</f>
        <v/>
      </c>
      <c r="O57" s="47">
        <f>N57-M57</f>
        <v/>
      </c>
      <c r="P57" s="53">
        <f>M57*sailor_pay*Economy!H57/1000000</f>
        <v/>
      </c>
      <c r="Q57" s="53">
        <f>SUMPRODUCT(B57:J57,'Navy plan'!K57:'Navy plan'!S57)*maint_rate</f>
        <v/>
      </c>
      <c r="R57" s="53">
        <f>SUMPRODUCT(B57:J57,Levers!$C$193:$K$193)*Economy!H57</f>
        <v/>
      </c>
      <c r="S57" s="53">
        <f>SUMPRODUCT(B57:J57,Levers!$C$193:$K$193,Levers!$C$194:$K$194)*(1/oil_fuel-1)*Economy!H57</f>
        <v/>
      </c>
      <c r="T57" s="53">
        <f>S57+O57*sailor_pay*Economy!H57/1000000</f>
        <v/>
      </c>
      <c r="U57" s="53">
        <f>(P57+Q57+R57)*navy_overhead</f>
        <v/>
      </c>
      <c r="V57" s="53">
        <f>L57+P57+Q57+R57+U57</f>
        <v/>
      </c>
      <c r="W57" s="69">
        <f>Japan!I57</f>
        <v/>
      </c>
      <c r="X57" s="53">
        <f>IF($A57&gt;=1927,V57+W57,0)</f>
        <v/>
      </c>
      <c r="Y57" s="53">
        <f>IF($A57&gt;=1927,pac_quota*X57,V57)</f>
        <v/>
      </c>
      <c r="Z57" s="67">
        <f>SUMPRODUCT(B57:J57,Levers!$C$193:$K$193,Levers!$C$194:$K$194)/0.6</f>
        <v/>
      </c>
      <c r="AA57" s="62">
        <f>H57</f>
        <v/>
      </c>
      <c r="AB57" s="47">
        <f>AA57+'Navy plan'!T57</f>
        <v/>
      </c>
      <c r="AC57" s="62">
        <f>'Navy plan'!U57</f>
        <v/>
      </c>
      <c r="AD57" s="62">
        <f>'Navy plan'!V57</f>
        <v/>
      </c>
      <c r="AE57" s="67">
        <f>IF(AC57&gt;0,AB57/AC57,0)</f>
        <v/>
      </c>
    </row>
    <row r="58">
      <c r="A58" s="58" t="n">
        <v>1898</v>
      </c>
      <c r="B58" s="47">
        <f>B57+'Navy plan'!B58-IF($A58-Levers!$C$191&gt;=1846,INDEX('Navy plan'!B$6:B$92,$A58-1845-Levers!$C$191),0)</f>
        <v/>
      </c>
      <c r="C58" s="47">
        <f>C57+'Navy plan'!C58-IF($A58-Levers!$D$191&gt;=1846,INDEX('Navy plan'!C$6:C$92,$A58-1845-Levers!$D$191),0)</f>
        <v/>
      </c>
      <c r="D58" s="47">
        <f>D57+'Navy plan'!D58-IF($A58-Levers!$E$191&gt;=1846,INDEX('Navy plan'!D$6:D$92,$A58-1845-Levers!$E$191),0)</f>
        <v/>
      </c>
      <c r="E58" s="47">
        <f>E57+'Navy plan'!E58-IF($A58-Levers!$F$191&gt;=1846,INDEX('Navy plan'!E$6:E$92,$A58-1845-Levers!$F$191),0)</f>
        <v/>
      </c>
      <c r="F58" s="47">
        <f>F57+'Navy plan'!F58-IF($A58-Levers!$G$191&gt;=1846,INDEX('Navy plan'!F$6:F$92,$A58-1845-Levers!$G$191),0)</f>
        <v/>
      </c>
      <c r="G58" s="47">
        <f>G57+'Navy plan'!G58-IF($A58-Levers!$H$191&gt;=1846,INDEX('Navy plan'!G$6:G$92,$A58-1845-Levers!$H$191),0)</f>
        <v/>
      </c>
      <c r="H58" s="47">
        <f>H57+'Navy plan'!H58-IF($A58-Levers!$I$191&gt;=1846,INDEX('Navy plan'!H$6:H$92,$A58-1845-Levers!$I$191),0)</f>
        <v/>
      </c>
      <c r="I58" s="47">
        <f>I57+'Navy plan'!I58-IF($A58-Levers!$J$191&gt;=1846,INDEX('Navy plan'!I$6:I$92,$A58-1845-Levers!$J$191),0)</f>
        <v/>
      </c>
      <c r="J58" s="47">
        <f>J57+'Navy plan'!J58-IF($A58-Levers!$K$191&gt;=1846,INDEX('Navy plan'!J$6:J$92,$A58-1845-Levers!$K$191),0)</f>
        <v/>
      </c>
      <c r="K58" s="47">
        <f>SUM(B58:J58)</f>
        <v/>
      </c>
      <c r="L58" s="53">
        <f>0.5*SUMPRODUCT('Navy plan'!B58:'Navy plan'!J58,'Navy plan'!K58:'Navy plan'!S58)+0.5*SUMPRODUCT('Navy plan'!B59:'Navy plan'!J59,'Navy plan'!K59:'Navy plan'!S59)</f>
        <v/>
      </c>
      <c r="M58" s="47">
        <f>SUMPRODUCT(B58:J58,Levers!$C$192:$K$192)</f>
        <v/>
      </c>
      <c r="N58" s="47">
        <f>SUMPRODUCT(B58:J58,Levers!$C$195:$K$195)</f>
        <v/>
      </c>
      <c r="O58" s="47">
        <f>N58-M58</f>
        <v/>
      </c>
      <c r="P58" s="53">
        <f>M58*sailor_pay*Economy!H58/1000000</f>
        <v/>
      </c>
      <c r="Q58" s="53">
        <f>SUMPRODUCT(B58:J58,'Navy plan'!K58:'Navy plan'!S58)*maint_rate</f>
        <v/>
      </c>
      <c r="R58" s="53">
        <f>SUMPRODUCT(B58:J58,Levers!$C$193:$K$193)*Economy!H58</f>
        <v/>
      </c>
      <c r="S58" s="53">
        <f>SUMPRODUCT(B58:J58,Levers!$C$193:$K$193,Levers!$C$194:$K$194)*(1/oil_fuel-1)*Economy!H58</f>
        <v/>
      </c>
      <c r="T58" s="53">
        <f>S58+O58*sailor_pay*Economy!H58/1000000</f>
        <v/>
      </c>
      <c r="U58" s="53">
        <f>(P58+Q58+R58)*navy_overhead</f>
        <v/>
      </c>
      <c r="V58" s="53">
        <f>L58+P58+Q58+R58+U58</f>
        <v/>
      </c>
      <c r="W58" s="69">
        <f>Japan!I58</f>
        <v/>
      </c>
      <c r="X58" s="53">
        <f>IF($A58&gt;=1927,V58+W58,0)</f>
        <v/>
      </c>
      <c r="Y58" s="53">
        <f>IF($A58&gt;=1927,pac_quota*X58,V58)</f>
        <v/>
      </c>
      <c r="Z58" s="67">
        <f>SUMPRODUCT(B58:J58,Levers!$C$193:$K$193,Levers!$C$194:$K$194)/0.6</f>
        <v/>
      </c>
      <c r="AA58" s="62">
        <f>H58</f>
        <v/>
      </c>
      <c r="AB58" s="47">
        <f>AA58+'Navy plan'!T58</f>
        <v/>
      </c>
      <c r="AC58" s="62">
        <f>'Navy plan'!U58</f>
        <v/>
      </c>
      <c r="AD58" s="62">
        <f>'Navy plan'!V58</f>
        <v/>
      </c>
      <c r="AE58" s="67">
        <f>IF(AC58&gt;0,AB58/AC58,0)</f>
        <v/>
      </c>
    </row>
    <row r="59">
      <c r="A59" s="58" t="n">
        <v>1899</v>
      </c>
      <c r="B59" s="47">
        <f>B58+'Navy plan'!B59-IF($A59-Levers!$C$191&gt;=1846,INDEX('Navy plan'!B$6:B$92,$A59-1845-Levers!$C$191),0)</f>
        <v/>
      </c>
      <c r="C59" s="47">
        <f>C58+'Navy plan'!C59-IF($A59-Levers!$D$191&gt;=1846,INDEX('Navy plan'!C$6:C$92,$A59-1845-Levers!$D$191),0)</f>
        <v/>
      </c>
      <c r="D59" s="47">
        <f>D58+'Navy plan'!D59-IF($A59-Levers!$E$191&gt;=1846,INDEX('Navy plan'!D$6:D$92,$A59-1845-Levers!$E$191),0)</f>
        <v/>
      </c>
      <c r="E59" s="47">
        <f>E58+'Navy plan'!E59-IF($A59-Levers!$F$191&gt;=1846,INDEX('Navy plan'!E$6:E$92,$A59-1845-Levers!$F$191),0)</f>
        <v/>
      </c>
      <c r="F59" s="47">
        <f>F58+'Navy plan'!F59-IF($A59-Levers!$G$191&gt;=1846,INDEX('Navy plan'!F$6:F$92,$A59-1845-Levers!$G$191),0)</f>
        <v/>
      </c>
      <c r="G59" s="47">
        <f>G58+'Navy plan'!G59-IF($A59-Levers!$H$191&gt;=1846,INDEX('Navy plan'!G$6:G$92,$A59-1845-Levers!$H$191),0)</f>
        <v/>
      </c>
      <c r="H59" s="47">
        <f>H58+'Navy plan'!H59-IF($A59-Levers!$I$191&gt;=1846,INDEX('Navy plan'!H$6:H$92,$A59-1845-Levers!$I$191),0)</f>
        <v/>
      </c>
      <c r="I59" s="47">
        <f>I58+'Navy plan'!I59-IF($A59-Levers!$J$191&gt;=1846,INDEX('Navy plan'!I$6:I$92,$A59-1845-Levers!$J$191),0)</f>
        <v/>
      </c>
      <c r="J59" s="47">
        <f>J58+'Navy plan'!J59-IF($A59-Levers!$K$191&gt;=1846,INDEX('Navy plan'!J$6:J$92,$A59-1845-Levers!$K$191),0)</f>
        <v/>
      </c>
      <c r="K59" s="47">
        <f>SUM(B59:J59)</f>
        <v/>
      </c>
      <c r="L59" s="53">
        <f>0.5*SUMPRODUCT('Navy plan'!B59:'Navy plan'!J59,'Navy plan'!K59:'Navy plan'!S59)+0.5*SUMPRODUCT('Navy plan'!B60:'Navy plan'!J60,'Navy plan'!K60:'Navy plan'!S60)</f>
        <v/>
      </c>
      <c r="M59" s="47">
        <f>SUMPRODUCT(B59:J59,Levers!$C$192:$K$192)</f>
        <v/>
      </c>
      <c r="N59" s="47">
        <f>SUMPRODUCT(B59:J59,Levers!$C$195:$K$195)</f>
        <v/>
      </c>
      <c r="O59" s="47">
        <f>N59-M59</f>
        <v/>
      </c>
      <c r="P59" s="53">
        <f>M59*sailor_pay*Economy!H59/1000000</f>
        <v/>
      </c>
      <c r="Q59" s="53">
        <f>SUMPRODUCT(B59:J59,'Navy plan'!K59:'Navy plan'!S59)*maint_rate</f>
        <v/>
      </c>
      <c r="R59" s="53">
        <f>SUMPRODUCT(B59:J59,Levers!$C$193:$K$193)*Economy!H59</f>
        <v/>
      </c>
      <c r="S59" s="53">
        <f>SUMPRODUCT(B59:J59,Levers!$C$193:$K$193,Levers!$C$194:$K$194)*(1/oil_fuel-1)*Economy!H59</f>
        <v/>
      </c>
      <c r="T59" s="53">
        <f>S59+O59*sailor_pay*Economy!H59/1000000</f>
        <v/>
      </c>
      <c r="U59" s="53">
        <f>(P59+Q59+R59)*navy_overhead</f>
        <v/>
      </c>
      <c r="V59" s="53">
        <f>L59+P59+Q59+R59+U59</f>
        <v/>
      </c>
      <c r="W59" s="69">
        <f>Japan!I59</f>
        <v/>
      </c>
      <c r="X59" s="53">
        <f>IF($A59&gt;=1927,V59+W59,0)</f>
        <v/>
      </c>
      <c r="Y59" s="53">
        <f>IF($A59&gt;=1927,pac_quota*X59,V59)</f>
        <v/>
      </c>
      <c r="Z59" s="67">
        <f>SUMPRODUCT(B59:J59,Levers!$C$193:$K$193,Levers!$C$194:$K$194)/0.6</f>
        <v/>
      </c>
      <c r="AA59" s="62">
        <f>H59</f>
        <v/>
      </c>
      <c r="AB59" s="47">
        <f>AA59+'Navy plan'!T59</f>
        <v/>
      </c>
      <c r="AC59" s="62">
        <f>'Navy plan'!U59</f>
        <v/>
      </c>
      <c r="AD59" s="62">
        <f>'Navy plan'!V59</f>
        <v/>
      </c>
      <c r="AE59" s="67">
        <f>IF(AC59&gt;0,AB59/AC59,0)</f>
        <v/>
      </c>
    </row>
    <row r="60">
      <c r="A60" s="58" t="n">
        <v>1900</v>
      </c>
      <c r="B60" s="47">
        <f>B59+'Navy plan'!B60-IF($A60-Levers!$C$191&gt;=1846,INDEX('Navy plan'!B$6:B$92,$A60-1845-Levers!$C$191),0)</f>
        <v/>
      </c>
      <c r="C60" s="47">
        <f>C59+'Navy plan'!C60-IF($A60-Levers!$D$191&gt;=1846,INDEX('Navy plan'!C$6:C$92,$A60-1845-Levers!$D$191),0)</f>
        <v/>
      </c>
      <c r="D60" s="47">
        <f>D59+'Navy plan'!D60-IF($A60-Levers!$E$191&gt;=1846,INDEX('Navy plan'!D$6:D$92,$A60-1845-Levers!$E$191),0)</f>
        <v/>
      </c>
      <c r="E60" s="47">
        <f>E59+'Navy plan'!E60-IF($A60-Levers!$F$191&gt;=1846,INDEX('Navy plan'!E$6:E$92,$A60-1845-Levers!$F$191),0)</f>
        <v/>
      </c>
      <c r="F60" s="47">
        <f>F59+'Navy plan'!F60-IF($A60-Levers!$G$191&gt;=1846,INDEX('Navy plan'!F$6:F$92,$A60-1845-Levers!$G$191),0)</f>
        <v/>
      </c>
      <c r="G60" s="47">
        <f>G59+'Navy plan'!G60-IF($A60-Levers!$H$191&gt;=1846,INDEX('Navy plan'!G$6:G$92,$A60-1845-Levers!$H$191),0)</f>
        <v/>
      </c>
      <c r="H60" s="47">
        <f>H59+'Navy plan'!H60-IF($A60-Levers!$I$191&gt;=1846,INDEX('Navy plan'!H$6:H$92,$A60-1845-Levers!$I$191),0)</f>
        <v/>
      </c>
      <c r="I60" s="47">
        <f>I59+'Navy plan'!I60-IF($A60-Levers!$J$191&gt;=1846,INDEX('Navy plan'!I$6:I$92,$A60-1845-Levers!$J$191),0)</f>
        <v/>
      </c>
      <c r="J60" s="47">
        <f>J59+'Navy plan'!J60-IF($A60-Levers!$K$191&gt;=1846,INDEX('Navy plan'!J$6:J$92,$A60-1845-Levers!$K$191),0)</f>
        <v/>
      </c>
      <c r="K60" s="47">
        <f>SUM(B60:J60)</f>
        <v/>
      </c>
      <c r="L60" s="53">
        <f>0.5*SUMPRODUCT('Navy plan'!B60:'Navy plan'!J60,'Navy plan'!K60:'Navy plan'!S60)+0.5*SUMPRODUCT('Navy plan'!B61:'Navy plan'!J61,'Navy plan'!K61:'Navy plan'!S61)</f>
        <v/>
      </c>
      <c r="M60" s="47">
        <f>SUMPRODUCT(B60:J60,Levers!$C$192:$K$192)</f>
        <v/>
      </c>
      <c r="N60" s="47">
        <f>SUMPRODUCT(B60:J60,Levers!$C$195:$K$195)</f>
        <v/>
      </c>
      <c r="O60" s="47">
        <f>N60-M60</f>
        <v/>
      </c>
      <c r="P60" s="53">
        <f>M60*sailor_pay*Economy!H60/1000000</f>
        <v/>
      </c>
      <c r="Q60" s="53">
        <f>SUMPRODUCT(B60:J60,'Navy plan'!K60:'Navy plan'!S60)*maint_rate</f>
        <v/>
      </c>
      <c r="R60" s="53">
        <f>SUMPRODUCT(B60:J60,Levers!$C$193:$K$193)*Economy!H60</f>
        <v/>
      </c>
      <c r="S60" s="53">
        <f>SUMPRODUCT(B60:J60,Levers!$C$193:$K$193,Levers!$C$194:$K$194)*(1/oil_fuel-1)*Economy!H60</f>
        <v/>
      </c>
      <c r="T60" s="53">
        <f>S60+O60*sailor_pay*Economy!H60/1000000</f>
        <v/>
      </c>
      <c r="U60" s="53">
        <f>(P60+Q60+R60)*navy_overhead</f>
        <v/>
      </c>
      <c r="V60" s="53">
        <f>L60+P60+Q60+R60+U60</f>
        <v/>
      </c>
      <c r="W60" s="69">
        <f>Japan!I60</f>
        <v/>
      </c>
      <c r="X60" s="53">
        <f>IF($A60&gt;=1927,V60+W60,0)</f>
        <v/>
      </c>
      <c r="Y60" s="53">
        <f>IF($A60&gt;=1927,pac_quota*X60,V60)</f>
        <v/>
      </c>
      <c r="Z60" s="67">
        <f>SUMPRODUCT(B60:J60,Levers!$C$193:$K$193,Levers!$C$194:$K$194)/0.6</f>
        <v/>
      </c>
      <c r="AA60" s="62">
        <f>H60</f>
        <v/>
      </c>
      <c r="AB60" s="47">
        <f>AA60+'Navy plan'!T60</f>
        <v/>
      </c>
      <c r="AC60" s="62">
        <f>'Navy plan'!U60</f>
        <v/>
      </c>
      <c r="AD60" s="62">
        <f>'Navy plan'!V60</f>
        <v/>
      </c>
      <c r="AE60" s="67">
        <f>IF(AC60&gt;0,AB60/AC60,0)</f>
        <v/>
      </c>
    </row>
    <row r="61">
      <c r="A61" s="58" t="n">
        <v>1901</v>
      </c>
      <c r="B61" s="47">
        <f>B60+'Navy plan'!B61-IF($A61-Levers!$C$191&gt;=1846,INDEX('Navy plan'!B$6:B$92,$A61-1845-Levers!$C$191),0)</f>
        <v/>
      </c>
      <c r="C61" s="47">
        <f>C60+'Navy plan'!C61-IF($A61-Levers!$D$191&gt;=1846,INDEX('Navy plan'!C$6:C$92,$A61-1845-Levers!$D$191),0)</f>
        <v/>
      </c>
      <c r="D61" s="47">
        <f>D60+'Navy plan'!D61-IF($A61-Levers!$E$191&gt;=1846,INDEX('Navy plan'!D$6:D$92,$A61-1845-Levers!$E$191),0)</f>
        <v/>
      </c>
      <c r="E61" s="47">
        <f>E60+'Navy plan'!E61-IF($A61-Levers!$F$191&gt;=1846,INDEX('Navy plan'!E$6:E$92,$A61-1845-Levers!$F$191),0)</f>
        <v/>
      </c>
      <c r="F61" s="47">
        <f>F60+'Navy plan'!F61-IF($A61-Levers!$G$191&gt;=1846,INDEX('Navy plan'!F$6:F$92,$A61-1845-Levers!$G$191),0)</f>
        <v/>
      </c>
      <c r="G61" s="47">
        <f>G60+'Navy plan'!G61-IF($A61-Levers!$H$191&gt;=1846,INDEX('Navy plan'!G$6:G$92,$A61-1845-Levers!$H$191),0)</f>
        <v/>
      </c>
      <c r="H61" s="47">
        <f>H60+'Navy plan'!H61-IF($A61-Levers!$I$191&gt;=1846,INDEX('Navy plan'!H$6:H$92,$A61-1845-Levers!$I$191),0)</f>
        <v/>
      </c>
      <c r="I61" s="47">
        <f>I60+'Navy plan'!I61-IF($A61-Levers!$J$191&gt;=1846,INDEX('Navy plan'!I$6:I$92,$A61-1845-Levers!$J$191),0)</f>
        <v/>
      </c>
      <c r="J61" s="47">
        <f>J60+'Navy plan'!J61-IF($A61-Levers!$K$191&gt;=1846,INDEX('Navy plan'!J$6:J$92,$A61-1845-Levers!$K$191),0)</f>
        <v/>
      </c>
      <c r="K61" s="47">
        <f>SUM(B61:J61)</f>
        <v/>
      </c>
      <c r="L61" s="53">
        <f>0.5*SUMPRODUCT('Navy plan'!B61:'Navy plan'!J61,'Navy plan'!K61:'Navy plan'!S61)+0.5*SUMPRODUCT('Navy plan'!B62:'Navy plan'!J62,'Navy plan'!K62:'Navy plan'!S62)</f>
        <v/>
      </c>
      <c r="M61" s="47">
        <f>SUMPRODUCT(B61:J61,Levers!$C$192:$K$192)</f>
        <v/>
      </c>
      <c r="N61" s="47">
        <f>SUMPRODUCT(B61:J61,Levers!$C$195:$K$195)</f>
        <v/>
      </c>
      <c r="O61" s="47">
        <f>N61-M61</f>
        <v/>
      </c>
      <c r="P61" s="53">
        <f>M61*sailor_pay*Economy!H61/1000000</f>
        <v/>
      </c>
      <c r="Q61" s="53">
        <f>SUMPRODUCT(B61:J61,'Navy plan'!K61:'Navy plan'!S61)*maint_rate</f>
        <v/>
      </c>
      <c r="R61" s="53">
        <f>SUMPRODUCT(B61:J61,Levers!$C$193:$K$193)*Economy!H61</f>
        <v/>
      </c>
      <c r="S61" s="53">
        <f>SUMPRODUCT(B61:J61,Levers!$C$193:$K$193,Levers!$C$194:$K$194)*(1/oil_fuel-1)*Economy!H61</f>
        <v/>
      </c>
      <c r="T61" s="53">
        <f>S61+O61*sailor_pay*Economy!H61/1000000</f>
        <v/>
      </c>
      <c r="U61" s="53">
        <f>(P61+Q61+R61)*navy_overhead</f>
        <v/>
      </c>
      <c r="V61" s="53">
        <f>L61+P61+Q61+R61+U61</f>
        <v/>
      </c>
      <c r="W61" s="69">
        <f>Japan!I61</f>
        <v/>
      </c>
      <c r="X61" s="53">
        <f>IF($A61&gt;=1927,V61+W61,0)</f>
        <v/>
      </c>
      <c r="Y61" s="53">
        <f>IF($A61&gt;=1927,pac_quota*X61,V61)</f>
        <v/>
      </c>
      <c r="Z61" s="67">
        <f>SUMPRODUCT(B61:J61,Levers!$C$193:$K$193,Levers!$C$194:$K$194)/0.6</f>
        <v/>
      </c>
      <c r="AA61" s="62">
        <f>H61</f>
        <v/>
      </c>
      <c r="AB61" s="47">
        <f>AA61+'Navy plan'!T61</f>
        <v/>
      </c>
      <c r="AC61" s="62">
        <f>'Navy plan'!U61</f>
        <v/>
      </c>
      <c r="AD61" s="62">
        <f>'Navy plan'!V61</f>
        <v/>
      </c>
      <c r="AE61" s="67">
        <f>IF(AC61&gt;0,AB61/AC61,0)</f>
        <v/>
      </c>
    </row>
    <row r="62">
      <c r="A62" s="58" t="n">
        <v>1902</v>
      </c>
      <c r="B62" s="47">
        <f>B61+'Navy plan'!B62-IF($A62-Levers!$C$191&gt;=1846,INDEX('Navy plan'!B$6:B$92,$A62-1845-Levers!$C$191),0)</f>
        <v/>
      </c>
      <c r="C62" s="47">
        <f>C61+'Navy plan'!C62-IF($A62-Levers!$D$191&gt;=1846,INDEX('Navy plan'!C$6:C$92,$A62-1845-Levers!$D$191),0)</f>
        <v/>
      </c>
      <c r="D62" s="47">
        <f>D61+'Navy plan'!D62-IF($A62-Levers!$E$191&gt;=1846,INDEX('Navy plan'!D$6:D$92,$A62-1845-Levers!$E$191),0)</f>
        <v/>
      </c>
      <c r="E62" s="47">
        <f>E61+'Navy plan'!E62-IF($A62-Levers!$F$191&gt;=1846,INDEX('Navy plan'!E$6:E$92,$A62-1845-Levers!$F$191),0)</f>
        <v/>
      </c>
      <c r="F62" s="47">
        <f>F61+'Navy plan'!F62-IF($A62-Levers!$G$191&gt;=1846,INDEX('Navy plan'!F$6:F$92,$A62-1845-Levers!$G$191),0)</f>
        <v/>
      </c>
      <c r="G62" s="47">
        <f>G61+'Navy plan'!G62-IF($A62-Levers!$H$191&gt;=1846,INDEX('Navy plan'!G$6:G$92,$A62-1845-Levers!$H$191),0)</f>
        <v/>
      </c>
      <c r="H62" s="47">
        <f>H61+'Navy plan'!H62-IF($A62-Levers!$I$191&gt;=1846,INDEX('Navy plan'!H$6:H$92,$A62-1845-Levers!$I$191),0)</f>
        <v/>
      </c>
      <c r="I62" s="47">
        <f>I61+'Navy plan'!I62-IF($A62-Levers!$J$191&gt;=1846,INDEX('Navy plan'!I$6:I$92,$A62-1845-Levers!$J$191),0)</f>
        <v/>
      </c>
      <c r="J62" s="47">
        <f>J61+'Navy plan'!J62-IF($A62-Levers!$K$191&gt;=1846,INDEX('Navy plan'!J$6:J$92,$A62-1845-Levers!$K$191),0)</f>
        <v/>
      </c>
      <c r="K62" s="47">
        <f>SUM(B62:J62)</f>
        <v/>
      </c>
      <c r="L62" s="53">
        <f>0.5*SUMPRODUCT('Navy plan'!B62:'Navy plan'!J62,'Navy plan'!K62:'Navy plan'!S62)+0.5*SUMPRODUCT('Navy plan'!B63:'Navy plan'!J63,'Navy plan'!K63:'Navy plan'!S63)</f>
        <v/>
      </c>
      <c r="M62" s="47">
        <f>SUMPRODUCT(B62:J62,Levers!$C$192:$K$192)</f>
        <v/>
      </c>
      <c r="N62" s="47">
        <f>SUMPRODUCT(B62:J62,Levers!$C$195:$K$195)</f>
        <v/>
      </c>
      <c r="O62" s="47">
        <f>N62-M62</f>
        <v/>
      </c>
      <c r="P62" s="53">
        <f>M62*sailor_pay*Economy!H62/1000000</f>
        <v/>
      </c>
      <c r="Q62" s="53">
        <f>SUMPRODUCT(B62:J62,'Navy plan'!K62:'Navy plan'!S62)*maint_rate</f>
        <v/>
      </c>
      <c r="R62" s="53">
        <f>SUMPRODUCT(B62:J62,Levers!$C$193:$K$193)*Economy!H62</f>
        <v/>
      </c>
      <c r="S62" s="53">
        <f>SUMPRODUCT(B62:J62,Levers!$C$193:$K$193,Levers!$C$194:$K$194)*(1/oil_fuel-1)*Economy!H62</f>
        <v/>
      </c>
      <c r="T62" s="53">
        <f>S62+O62*sailor_pay*Economy!H62/1000000</f>
        <v/>
      </c>
      <c r="U62" s="53">
        <f>(P62+Q62+R62)*navy_overhead</f>
        <v/>
      </c>
      <c r="V62" s="53">
        <f>L62+P62+Q62+R62+U62</f>
        <v/>
      </c>
      <c r="W62" s="69">
        <f>Japan!I62</f>
        <v/>
      </c>
      <c r="X62" s="53">
        <f>IF($A62&gt;=1927,V62+W62,0)</f>
        <v/>
      </c>
      <c r="Y62" s="53">
        <f>IF($A62&gt;=1927,pac_quota*X62,V62)</f>
        <v/>
      </c>
      <c r="Z62" s="67">
        <f>SUMPRODUCT(B62:J62,Levers!$C$193:$K$193,Levers!$C$194:$K$194)/0.6</f>
        <v/>
      </c>
      <c r="AA62" s="62">
        <f>H62</f>
        <v/>
      </c>
      <c r="AB62" s="47">
        <f>AA62+'Navy plan'!T62</f>
        <v/>
      </c>
      <c r="AC62" s="62">
        <f>'Navy plan'!U62</f>
        <v/>
      </c>
      <c r="AD62" s="62">
        <f>'Navy plan'!V62</f>
        <v/>
      </c>
      <c r="AE62" s="67">
        <f>IF(AC62&gt;0,AB62/AC62,0)</f>
        <v/>
      </c>
    </row>
    <row r="63">
      <c r="A63" s="58" t="n">
        <v>1903</v>
      </c>
      <c r="B63" s="47">
        <f>B62+'Navy plan'!B63-IF($A63-Levers!$C$191&gt;=1846,INDEX('Navy plan'!B$6:B$92,$A63-1845-Levers!$C$191),0)</f>
        <v/>
      </c>
      <c r="C63" s="47">
        <f>C62+'Navy plan'!C63-IF($A63-Levers!$D$191&gt;=1846,INDEX('Navy plan'!C$6:C$92,$A63-1845-Levers!$D$191),0)</f>
        <v/>
      </c>
      <c r="D63" s="47">
        <f>D62+'Navy plan'!D63-IF($A63-Levers!$E$191&gt;=1846,INDEX('Navy plan'!D$6:D$92,$A63-1845-Levers!$E$191),0)</f>
        <v/>
      </c>
      <c r="E63" s="47">
        <f>E62+'Navy plan'!E63-IF($A63-Levers!$F$191&gt;=1846,INDEX('Navy plan'!E$6:E$92,$A63-1845-Levers!$F$191),0)</f>
        <v/>
      </c>
      <c r="F63" s="47">
        <f>F62+'Navy plan'!F63-IF($A63-Levers!$G$191&gt;=1846,INDEX('Navy plan'!F$6:F$92,$A63-1845-Levers!$G$191),0)</f>
        <v/>
      </c>
      <c r="G63" s="47">
        <f>G62+'Navy plan'!G63-IF($A63-Levers!$H$191&gt;=1846,INDEX('Navy plan'!G$6:G$92,$A63-1845-Levers!$H$191),0)</f>
        <v/>
      </c>
      <c r="H63" s="47">
        <f>H62+'Navy plan'!H63-IF($A63-Levers!$I$191&gt;=1846,INDEX('Navy plan'!H$6:H$92,$A63-1845-Levers!$I$191),0)</f>
        <v/>
      </c>
      <c r="I63" s="47">
        <f>I62+'Navy plan'!I63-IF($A63-Levers!$J$191&gt;=1846,INDEX('Navy plan'!I$6:I$92,$A63-1845-Levers!$J$191),0)</f>
        <v/>
      </c>
      <c r="J63" s="47">
        <f>J62+'Navy plan'!J63-IF($A63-Levers!$K$191&gt;=1846,INDEX('Navy plan'!J$6:J$92,$A63-1845-Levers!$K$191),0)</f>
        <v/>
      </c>
      <c r="K63" s="47">
        <f>SUM(B63:J63)</f>
        <v/>
      </c>
      <c r="L63" s="53">
        <f>0.5*SUMPRODUCT('Navy plan'!B63:'Navy plan'!J63,'Navy plan'!K63:'Navy plan'!S63)+0.5*SUMPRODUCT('Navy plan'!B64:'Navy plan'!J64,'Navy plan'!K64:'Navy plan'!S64)</f>
        <v/>
      </c>
      <c r="M63" s="47">
        <f>SUMPRODUCT(B63:J63,Levers!$C$192:$K$192)</f>
        <v/>
      </c>
      <c r="N63" s="47">
        <f>SUMPRODUCT(B63:J63,Levers!$C$195:$K$195)</f>
        <v/>
      </c>
      <c r="O63" s="47">
        <f>N63-M63</f>
        <v/>
      </c>
      <c r="P63" s="53">
        <f>M63*sailor_pay*Economy!H63/1000000</f>
        <v/>
      </c>
      <c r="Q63" s="53">
        <f>SUMPRODUCT(B63:J63,'Navy plan'!K63:'Navy plan'!S63)*maint_rate</f>
        <v/>
      </c>
      <c r="R63" s="53">
        <f>SUMPRODUCT(B63:J63,Levers!$C$193:$K$193)*Economy!H63</f>
        <v/>
      </c>
      <c r="S63" s="53">
        <f>SUMPRODUCT(B63:J63,Levers!$C$193:$K$193,Levers!$C$194:$K$194)*(1/oil_fuel-1)*Economy!H63</f>
        <v/>
      </c>
      <c r="T63" s="53">
        <f>S63+O63*sailor_pay*Economy!H63/1000000</f>
        <v/>
      </c>
      <c r="U63" s="53">
        <f>(P63+Q63+R63)*navy_overhead</f>
        <v/>
      </c>
      <c r="V63" s="53">
        <f>L63+P63+Q63+R63+U63</f>
        <v/>
      </c>
      <c r="W63" s="69">
        <f>Japan!I63</f>
        <v/>
      </c>
      <c r="X63" s="53">
        <f>IF($A63&gt;=1927,V63+W63,0)</f>
        <v/>
      </c>
      <c r="Y63" s="53">
        <f>IF($A63&gt;=1927,pac_quota*X63,V63)</f>
        <v/>
      </c>
      <c r="Z63" s="67">
        <f>SUMPRODUCT(B63:J63,Levers!$C$193:$K$193,Levers!$C$194:$K$194)/0.6</f>
        <v/>
      </c>
      <c r="AA63" s="62">
        <f>H63</f>
        <v/>
      </c>
      <c r="AB63" s="47">
        <f>AA63+'Navy plan'!T63</f>
        <v/>
      </c>
      <c r="AC63" s="62">
        <f>'Navy plan'!U63</f>
        <v/>
      </c>
      <c r="AD63" s="62">
        <f>'Navy plan'!V63</f>
        <v/>
      </c>
      <c r="AE63" s="67">
        <f>IF(AC63&gt;0,AB63/AC63,0)</f>
        <v/>
      </c>
    </row>
    <row r="64">
      <c r="A64" s="58" t="n">
        <v>1904</v>
      </c>
      <c r="B64" s="47">
        <f>B63+'Navy plan'!B64-IF($A64-Levers!$C$191&gt;=1846,INDEX('Navy plan'!B$6:B$92,$A64-1845-Levers!$C$191),0)</f>
        <v/>
      </c>
      <c r="C64" s="47">
        <f>C63+'Navy plan'!C64-IF($A64-Levers!$D$191&gt;=1846,INDEX('Navy plan'!C$6:C$92,$A64-1845-Levers!$D$191),0)</f>
        <v/>
      </c>
      <c r="D64" s="47">
        <f>D63+'Navy plan'!D64-IF($A64-Levers!$E$191&gt;=1846,INDEX('Navy plan'!D$6:D$92,$A64-1845-Levers!$E$191),0)</f>
        <v/>
      </c>
      <c r="E64" s="47">
        <f>E63+'Navy plan'!E64-IF($A64-Levers!$F$191&gt;=1846,INDEX('Navy plan'!E$6:E$92,$A64-1845-Levers!$F$191),0)</f>
        <v/>
      </c>
      <c r="F64" s="47">
        <f>F63+'Navy plan'!F64-IF($A64-Levers!$G$191&gt;=1846,INDEX('Navy plan'!F$6:F$92,$A64-1845-Levers!$G$191),0)</f>
        <v/>
      </c>
      <c r="G64" s="47">
        <f>G63+'Navy plan'!G64-IF($A64-Levers!$H$191&gt;=1846,INDEX('Navy plan'!G$6:G$92,$A64-1845-Levers!$H$191),0)</f>
        <v/>
      </c>
      <c r="H64" s="47">
        <f>H63+'Navy plan'!H64-IF($A64-Levers!$I$191&gt;=1846,INDEX('Navy plan'!H$6:H$92,$A64-1845-Levers!$I$191),0)</f>
        <v/>
      </c>
      <c r="I64" s="47">
        <f>I63+'Navy plan'!I64-IF($A64-Levers!$J$191&gt;=1846,INDEX('Navy plan'!I$6:I$92,$A64-1845-Levers!$J$191),0)</f>
        <v/>
      </c>
      <c r="J64" s="47">
        <f>J63+'Navy plan'!J64-IF($A64-Levers!$K$191&gt;=1846,INDEX('Navy plan'!J$6:J$92,$A64-1845-Levers!$K$191),0)</f>
        <v/>
      </c>
      <c r="K64" s="47">
        <f>SUM(B64:J64)</f>
        <v/>
      </c>
      <c r="L64" s="53">
        <f>0.5*SUMPRODUCT('Navy plan'!B64:'Navy plan'!J64,'Navy plan'!K64:'Navy plan'!S64)+0.5*SUMPRODUCT('Navy plan'!B65:'Navy plan'!J65,'Navy plan'!K65:'Navy plan'!S65)</f>
        <v/>
      </c>
      <c r="M64" s="47">
        <f>SUMPRODUCT(B64:J64,Levers!$C$192:$K$192)</f>
        <v/>
      </c>
      <c r="N64" s="47">
        <f>SUMPRODUCT(B64:J64,Levers!$C$195:$K$195)</f>
        <v/>
      </c>
      <c r="O64" s="47">
        <f>N64-M64</f>
        <v/>
      </c>
      <c r="P64" s="53">
        <f>M64*sailor_pay*Economy!H64/1000000</f>
        <v/>
      </c>
      <c r="Q64" s="53">
        <f>SUMPRODUCT(B64:J64,'Navy plan'!K64:'Navy plan'!S64)*maint_rate</f>
        <v/>
      </c>
      <c r="R64" s="53">
        <f>SUMPRODUCT(B64:J64,Levers!$C$193:$K$193)*Economy!H64</f>
        <v/>
      </c>
      <c r="S64" s="53">
        <f>SUMPRODUCT(B64:J64,Levers!$C$193:$K$193,Levers!$C$194:$K$194)*(1/oil_fuel-1)*Economy!H64</f>
        <v/>
      </c>
      <c r="T64" s="53">
        <f>S64+O64*sailor_pay*Economy!H64/1000000</f>
        <v/>
      </c>
      <c r="U64" s="53">
        <f>(P64+Q64+R64)*navy_overhead</f>
        <v/>
      </c>
      <c r="V64" s="53">
        <f>L64+P64+Q64+R64+U64</f>
        <v/>
      </c>
      <c r="W64" s="69">
        <f>Japan!I64</f>
        <v/>
      </c>
      <c r="X64" s="53">
        <f>IF($A64&gt;=1927,V64+W64,0)</f>
        <v/>
      </c>
      <c r="Y64" s="53">
        <f>IF($A64&gt;=1927,pac_quota*X64,V64)</f>
        <v/>
      </c>
      <c r="Z64" s="67">
        <f>SUMPRODUCT(B64:J64,Levers!$C$193:$K$193,Levers!$C$194:$K$194)/0.6</f>
        <v/>
      </c>
      <c r="AA64" s="62">
        <f>H64</f>
        <v/>
      </c>
      <c r="AB64" s="47">
        <f>AA64+'Navy plan'!T64</f>
        <v/>
      </c>
      <c r="AC64" s="62">
        <f>'Navy plan'!U64</f>
        <v/>
      </c>
      <c r="AD64" s="62">
        <f>'Navy plan'!V64</f>
        <v/>
      </c>
      <c r="AE64" s="67">
        <f>IF(AC64&gt;0,AB64/AC64,0)</f>
        <v/>
      </c>
    </row>
    <row r="65">
      <c r="A65" s="58" t="n">
        <v>1905</v>
      </c>
      <c r="B65" s="47">
        <f>B64+'Navy plan'!B65-IF($A65-Levers!$C$191&gt;=1846,INDEX('Navy plan'!B$6:B$92,$A65-1845-Levers!$C$191),0)</f>
        <v/>
      </c>
      <c r="C65" s="47">
        <f>C64+'Navy plan'!C65-IF($A65-Levers!$D$191&gt;=1846,INDEX('Navy plan'!C$6:C$92,$A65-1845-Levers!$D$191),0)</f>
        <v/>
      </c>
      <c r="D65" s="47">
        <f>D64+'Navy plan'!D65-IF($A65-Levers!$E$191&gt;=1846,INDEX('Navy plan'!D$6:D$92,$A65-1845-Levers!$E$191),0)</f>
        <v/>
      </c>
      <c r="E65" s="47">
        <f>E64+'Navy plan'!E65-IF($A65-Levers!$F$191&gt;=1846,INDEX('Navy plan'!E$6:E$92,$A65-1845-Levers!$F$191),0)</f>
        <v/>
      </c>
      <c r="F65" s="47">
        <f>F64+'Navy plan'!F65-IF($A65-Levers!$G$191&gt;=1846,INDEX('Navy plan'!F$6:F$92,$A65-1845-Levers!$G$191),0)</f>
        <v/>
      </c>
      <c r="G65" s="47">
        <f>G64+'Navy plan'!G65-IF($A65-Levers!$H$191&gt;=1846,INDEX('Navy plan'!G$6:G$92,$A65-1845-Levers!$H$191),0)</f>
        <v/>
      </c>
      <c r="H65" s="47">
        <f>H64+'Navy plan'!H65-IF($A65-Levers!$I$191&gt;=1846,INDEX('Navy plan'!H$6:H$92,$A65-1845-Levers!$I$191),0)</f>
        <v/>
      </c>
      <c r="I65" s="47">
        <f>I64+'Navy plan'!I65-IF($A65-Levers!$J$191&gt;=1846,INDEX('Navy plan'!I$6:I$92,$A65-1845-Levers!$J$191),0)</f>
        <v/>
      </c>
      <c r="J65" s="47">
        <f>J64+'Navy plan'!J65-IF($A65-Levers!$K$191&gt;=1846,INDEX('Navy plan'!J$6:J$92,$A65-1845-Levers!$K$191),0)</f>
        <v/>
      </c>
      <c r="K65" s="47">
        <f>SUM(B65:J65)</f>
        <v/>
      </c>
      <c r="L65" s="53">
        <f>0.5*SUMPRODUCT('Navy plan'!B65:'Navy plan'!J65,'Navy plan'!K65:'Navy plan'!S65)+0.5*SUMPRODUCT('Navy plan'!B66:'Navy plan'!J66,'Navy plan'!K66:'Navy plan'!S66)</f>
        <v/>
      </c>
      <c r="M65" s="47">
        <f>SUMPRODUCT(B65:J65,Levers!$C$192:$K$192)</f>
        <v/>
      </c>
      <c r="N65" s="47">
        <f>SUMPRODUCT(B65:J65,Levers!$C$195:$K$195)</f>
        <v/>
      </c>
      <c r="O65" s="47">
        <f>N65-M65</f>
        <v/>
      </c>
      <c r="P65" s="53">
        <f>M65*sailor_pay*Economy!H65/1000000</f>
        <v/>
      </c>
      <c r="Q65" s="53">
        <f>SUMPRODUCT(B65:J65,'Navy plan'!K65:'Navy plan'!S65)*maint_rate</f>
        <v/>
      </c>
      <c r="R65" s="53">
        <f>SUMPRODUCT(B65:J65,Levers!$C$193:$K$193)*Economy!H65</f>
        <v/>
      </c>
      <c r="S65" s="53">
        <f>SUMPRODUCT(B65:J65,Levers!$C$193:$K$193,Levers!$C$194:$K$194)*(1/oil_fuel-1)*Economy!H65</f>
        <v/>
      </c>
      <c r="T65" s="53">
        <f>S65+O65*sailor_pay*Economy!H65/1000000</f>
        <v/>
      </c>
      <c r="U65" s="53">
        <f>(P65+Q65+R65)*navy_overhead</f>
        <v/>
      </c>
      <c r="V65" s="53">
        <f>L65+P65+Q65+R65+U65</f>
        <v/>
      </c>
      <c r="W65" s="69">
        <f>Japan!I65</f>
        <v/>
      </c>
      <c r="X65" s="53">
        <f>IF($A65&gt;=1927,V65+W65,0)</f>
        <v/>
      </c>
      <c r="Y65" s="53">
        <f>IF($A65&gt;=1927,pac_quota*X65,V65)</f>
        <v/>
      </c>
      <c r="Z65" s="67">
        <f>SUMPRODUCT(B65:J65,Levers!$C$193:$K$193,Levers!$C$194:$K$194)/0.6</f>
        <v/>
      </c>
      <c r="AA65" s="62">
        <f>H65</f>
        <v/>
      </c>
      <c r="AB65" s="47">
        <f>AA65+'Navy plan'!T65</f>
        <v/>
      </c>
      <c r="AC65" s="62">
        <f>'Navy plan'!U65</f>
        <v/>
      </c>
      <c r="AD65" s="62">
        <f>'Navy plan'!V65</f>
        <v/>
      </c>
      <c r="AE65" s="67">
        <f>IF(AC65&gt;0,AB65/AC65,0)</f>
        <v/>
      </c>
    </row>
    <row r="66">
      <c r="A66" s="58" t="n">
        <v>1906</v>
      </c>
      <c r="B66" s="47">
        <f>B65+'Navy plan'!B66-IF($A66-Levers!$C$191&gt;=1846,INDEX('Navy plan'!B$6:B$92,$A66-1845-Levers!$C$191),0)</f>
        <v/>
      </c>
      <c r="C66" s="47">
        <f>C65+'Navy plan'!C66-IF($A66-Levers!$D$191&gt;=1846,INDEX('Navy plan'!C$6:C$92,$A66-1845-Levers!$D$191),0)</f>
        <v/>
      </c>
      <c r="D66" s="47">
        <f>D65+'Navy plan'!D66-IF($A66-Levers!$E$191&gt;=1846,INDEX('Navy plan'!D$6:D$92,$A66-1845-Levers!$E$191),0)</f>
        <v/>
      </c>
      <c r="E66" s="47">
        <f>E65+'Navy plan'!E66-IF($A66-Levers!$F$191&gt;=1846,INDEX('Navy plan'!E$6:E$92,$A66-1845-Levers!$F$191),0)</f>
        <v/>
      </c>
      <c r="F66" s="47">
        <f>F65+'Navy plan'!F66-IF($A66-Levers!$G$191&gt;=1846,INDEX('Navy plan'!F$6:F$92,$A66-1845-Levers!$G$191),0)</f>
        <v/>
      </c>
      <c r="G66" s="47">
        <f>G65+'Navy plan'!G66-IF($A66-Levers!$H$191&gt;=1846,INDEX('Navy plan'!G$6:G$92,$A66-1845-Levers!$H$191),0)</f>
        <v/>
      </c>
      <c r="H66" s="47">
        <f>H65+'Navy plan'!H66-IF($A66-Levers!$I$191&gt;=1846,INDEX('Navy plan'!H$6:H$92,$A66-1845-Levers!$I$191),0)</f>
        <v/>
      </c>
      <c r="I66" s="47">
        <f>I65+'Navy plan'!I66-IF($A66-Levers!$J$191&gt;=1846,INDEX('Navy plan'!I$6:I$92,$A66-1845-Levers!$J$191),0)</f>
        <v/>
      </c>
      <c r="J66" s="47">
        <f>J65+'Navy plan'!J66-IF($A66-Levers!$K$191&gt;=1846,INDEX('Navy plan'!J$6:J$92,$A66-1845-Levers!$K$191),0)</f>
        <v/>
      </c>
      <c r="K66" s="47">
        <f>SUM(B66:J66)</f>
        <v/>
      </c>
      <c r="L66" s="53">
        <f>0.5*SUMPRODUCT('Navy plan'!B66:'Navy plan'!J66,'Navy plan'!K66:'Navy plan'!S66)+0.5*SUMPRODUCT('Navy plan'!B67:'Navy plan'!J67,'Navy plan'!K67:'Navy plan'!S67)</f>
        <v/>
      </c>
      <c r="M66" s="47">
        <f>SUMPRODUCT(B66:J66,Levers!$C$192:$K$192)</f>
        <v/>
      </c>
      <c r="N66" s="47">
        <f>SUMPRODUCT(B66:J66,Levers!$C$195:$K$195)</f>
        <v/>
      </c>
      <c r="O66" s="47">
        <f>N66-M66</f>
        <v/>
      </c>
      <c r="P66" s="53">
        <f>M66*sailor_pay*Economy!H66/1000000</f>
        <v/>
      </c>
      <c r="Q66" s="53">
        <f>SUMPRODUCT(B66:J66,'Navy plan'!K66:'Navy plan'!S66)*maint_rate</f>
        <v/>
      </c>
      <c r="R66" s="53">
        <f>SUMPRODUCT(B66:J66,Levers!$C$193:$K$193)*Economy!H66</f>
        <v/>
      </c>
      <c r="S66" s="53">
        <f>SUMPRODUCT(B66:J66,Levers!$C$193:$K$193,Levers!$C$194:$K$194)*(1/oil_fuel-1)*Economy!H66</f>
        <v/>
      </c>
      <c r="T66" s="53">
        <f>S66+O66*sailor_pay*Economy!H66/1000000</f>
        <v/>
      </c>
      <c r="U66" s="53">
        <f>(P66+Q66+R66)*navy_overhead</f>
        <v/>
      </c>
      <c r="V66" s="53">
        <f>L66+P66+Q66+R66+U66</f>
        <v/>
      </c>
      <c r="W66" s="69">
        <f>Japan!I66</f>
        <v/>
      </c>
      <c r="X66" s="53">
        <f>IF($A66&gt;=1927,V66+W66,0)</f>
        <v/>
      </c>
      <c r="Y66" s="53">
        <f>IF($A66&gt;=1927,pac_quota*X66,V66)</f>
        <v/>
      </c>
      <c r="Z66" s="67">
        <f>SUMPRODUCT(B66:J66,Levers!$C$193:$K$193,Levers!$C$194:$K$194)/0.6</f>
        <v/>
      </c>
      <c r="AA66" s="62">
        <f>H66</f>
        <v/>
      </c>
      <c r="AB66" s="47">
        <f>AA66+'Navy plan'!T66</f>
        <v/>
      </c>
      <c r="AC66" s="62">
        <f>'Navy plan'!U66</f>
        <v/>
      </c>
      <c r="AD66" s="62">
        <f>'Navy plan'!V66</f>
        <v/>
      </c>
      <c r="AE66" s="67">
        <f>IF(AC66&gt;0,AB66/AC66,0)</f>
        <v/>
      </c>
    </row>
    <row r="67">
      <c r="A67" s="58" t="n">
        <v>1907</v>
      </c>
      <c r="B67" s="47">
        <f>B66+'Navy plan'!B67-IF($A67-Levers!$C$191&gt;=1846,INDEX('Navy plan'!B$6:B$92,$A67-1845-Levers!$C$191),0)</f>
        <v/>
      </c>
      <c r="C67" s="47">
        <f>C66+'Navy plan'!C67-IF($A67-Levers!$D$191&gt;=1846,INDEX('Navy plan'!C$6:C$92,$A67-1845-Levers!$D$191),0)</f>
        <v/>
      </c>
      <c r="D67" s="47">
        <f>D66+'Navy plan'!D67-IF($A67-Levers!$E$191&gt;=1846,INDEX('Navy plan'!D$6:D$92,$A67-1845-Levers!$E$191),0)</f>
        <v/>
      </c>
      <c r="E67" s="47">
        <f>E66+'Navy plan'!E67-IF($A67-Levers!$F$191&gt;=1846,INDEX('Navy plan'!E$6:E$92,$A67-1845-Levers!$F$191),0)</f>
        <v/>
      </c>
      <c r="F67" s="47">
        <f>F66+'Navy plan'!F67-IF($A67-Levers!$G$191&gt;=1846,INDEX('Navy plan'!F$6:F$92,$A67-1845-Levers!$G$191),0)</f>
        <v/>
      </c>
      <c r="G67" s="47">
        <f>G66+'Navy plan'!G67-IF($A67-Levers!$H$191&gt;=1846,INDEX('Navy plan'!G$6:G$92,$A67-1845-Levers!$H$191),0)</f>
        <v/>
      </c>
      <c r="H67" s="47">
        <f>H66+'Navy plan'!H67-IF($A67-Levers!$I$191&gt;=1846,INDEX('Navy plan'!H$6:H$92,$A67-1845-Levers!$I$191),0)</f>
        <v/>
      </c>
      <c r="I67" s="47">
        <f>I66+'Navy plan'!I67-IF($A67-Levers!$J$191&gt;=1846,INDEX('Navy plan'!I$6:I$92,$A67-1845-Levers!$J$191),0)</f>
        <v/>
      </c>
      <c r="J67" s="47">
        <f>J66+'Navy plan'!J67-IF($A67-Levers!$K$191&gt;=1846,INDEX('Navy plan'!J$6:J$92,$A67-1845-Levers!$K$191),0)</f>
        <v/>
      </c>
      <c r="K67" s="47">
        <f>SUM(B67:J67)</f>
        <v/>
      </c>
      <c r="L67" s="53">
        <f>0.5*SUMPRODUCT('Navy plan'!B67:'Navy plan'!J67,'Navy plan'!K67:'Navy plan'!S67)+0.5*SUMPRODUCT('Navy plan'!B68:'Navy plan'!J68,'Navy plan'!K68:'Navy plan'!S68)</f>
        <v/>
      </c>
      <c r="M67" s="47">
        <f>SUMPRODUCT(B67:J67,Levers!$C$192:$K$192)</f>
        <v/>
      </c>
      <c r="N67" s="47">
        <f>SUMPRODUCT(B67:J67,Levers!$C$195:$K$195)</f>
        <v/>
      </c>
      <c r="O67" s="47">
        <f>N67-M67</f>
        <v/>
      </c>
      <c r="P67" s="53">
        <f>M67*sailor_pay*Economy!H67/1000000</f>
        <v/>
      </c>
      <c r="Q67" s="53">
        <f>SUMPRODUCT(B67:J67,'Navy plan'!K67:'Navy plan'!S67)*maint_rate</f>
        <v/>
      </c>
      <c r="R67" s="53">
        <f>SUMPRODUCT(B67:J67,Levers!$C$193:$K$193)*Economy!H67</f>
        <v/>
      </c>
      <c r="S67" s="53">
        <f>SUMPRODUCT(B67:J67,Levers!$C$193:$K$193,Levers!$C$194:$K$194)*(1/oil_fuel-1)*Economy!H67</f>
        <v/>
      </c>
      <c r="T67" s="53">
        <f>S67+O67*sailor_pay*Economy!H67/1000000</f>
        <v/>
      </c>
      <c r="U67" s="53">
        <f>(P67+Q67+R67)*navy_overhead</f>
        <v/>
      </c>
      <c r="V67" s="53">
        <f>L67+P67+Q67+R67+U67</f>
        <v/>
      </c>
      <c r="W67" s="69">
        <f>Japan!I67</f>
        <v/>
      </c>
      <c r="X67" s="53">
        <f>IF($A67&gt;=1927,V67+W67,0)</f>
        <v/>
      </c>
      <c r="Y67" s="53">
        <f>IF($A67&gt;=1927,pac_quota*X67,V67)</f>
        <v/>
      </c>
      <c r="Z67" s="67">
        <f>SUMPRODUCT(B67:J67,Levers!$C$193:$K$193,Levers!$C$194:$K$194)/0.6</f>
        <v/>
      </c>
      <c r="AA67" s="62">
        <f>H67</f>
        <v/>
      </c>
      <c r="AB67" s="47">
        <f>AA67+'Navy plan'!T67</f>
        <v/>
      </c>
      <c r="AC67" s="62">
        <f>'Navy plan'!U67</f>
        <v/>
      </c>
      <c r="AD67" s="62">
        <f>'Navy plan'!V67</f>
        <v/>
      </c>
      <c r="AE67" s="67">
        <f>IF(AC67&gt;0,AB67/AC67,0)</f>
        <v/>
      </c>
    </row>
    <row r="68">
      <c r="A68" s="58" t="n">
        <v>1908</v>
      </c>
      <c r="B68" s="47">
        <f>B67+'Navy plan'!B68-IF($A68-Levers!$C$191&gt;=1846,INDEX('Navy plan'!B$6:B$92,$A68-1845-Levers!$C$191),0)</f>
        <v/>
      </c>
      <c r="C68" s="47">
        <f>C67+'Navy plan'!C68-IF($A68-Levers!$D$191&gt;=1846,INDEX('Navy plan'!C$6:C$92,$A68-1845-Levers!$D$191),0)</f>
        <v/>
      </c>
      <c r="D68" s="47">
        <f>D67+'Navy plan'!D68-IF($A68-Levers!$E$191&gt;=1846,INDEX('Navy plan'!D$6:D$92,$A68-1845-Levers!$E$191),0)</f>
        <v/>
      </c>
      <c r="E68" s="47">
        <f>E67+'Navy plan'!E68-IF($A68-Levers!$F$191&gt;=1846,INDEX('Navy plan'!E$6:E$92,$A68-1845-Levers!$F$191),0)</f>
        <v/>
      </c>
      <c r="F68" s="47">
        <f>F67+'Navy plan'!F68-IF($A68-Levers!$G$191&gt;=1846,INDEX('Navy plan'!F$6:F$92,$A68-1845-Levers!$G$191),0)</f>
        <v/>
      </c>
      <c r="G68" s="47">
        <f>G67+'Navy plan'!G68-IF($A68-Levers!$H$191&gt;=1846,INDEX('Navy plan'!G$6:G$92,$A68-1845-Levers!$H$191),0)</f>
        <v/>
      </c>
      <c r="H68" s="47">
        <f>H67+'Navy plan'!H68-IF($A68-Levers!$I$191&gt;=1846,INDEX('Navy plan'!H$6:H$92,$A68-1845-Levers!$I$191),0)</f>
        <v/>
      </c>
      <c r="I68" s="47">
        <f>I67+'Navy plan'!I68-IF($A68-Levers!$J$191&gt;=1846,INDEX('Navy plan'!I$6:I$92,$A68-1845-Levers!$J$191),0)</f>
        <v/>
      </c>
      <c r="J68" s="47">
        <f>J67+'Navy plan'!J68-IF($A68-Levers!$K$191&gt;=1846,INDEX('Navy plan'!J$6:J$92,$A68-1845-Levers!$K$191),0)</f>
        <v/>
      </c>
      <c r="K68" s="47">
        <f>SUM(B68:J68)</f>
        <v/>
      </c>
      <c r="L68" s="53">
        <f>0.5*SUMPRODUCT('Navy plan'!B68:'Navy plan'!J68,'Navy plan'!K68:'Navy plan'!S68)+0.5*SUMPRODUCT('Navy plan'!B69:'Navy plan'!J69,'Navy plan'!K69:'Navy plan'!S69)</f>
        <v/>
      </c>
      <c r="M68" s="47">
        <f>SUMPRODUCT(B68:J68,Levers!$C$192:$K$192)</f>
        <v/>
      </c>
      <c r="N68" s="47">
        <f>SUMPRODUCT(B68:J68,Levers!$C$195:$K$195)</f>
        <v/>
      </c>
      <c r="O68" s="47">
        <f>N68-M68</f>
        <v/>
      </c>
      <c r="P68" s="53">
        <f>M68*sailor_pay*Economy!H68/1000000</f>
        <v/>
      </c>
      <c r="Q68" s="53">
        <f>SUMPRODUCT(B68:J68,'Navy plan'!K68:'Navy plan'!S68)*maint_rate</f>
        <v/>
      </c>
      <c r="R68" s="53">
        <f>SUMPRODUCT(B68:J68,Levers!$C$193:$K$193)*Economy!H68</f>
        <v/>
      </c>
      <c r="S68" s="53">
        <f>SUMPRODUCT(B68:J68,Levers!$C$193:$K$193,Levers!$C$194:$K$194)*(1/oil_fuel-1)*Economy!H68</f>
        <v/>
      </c>
      <c r="T68" s="53">
        <f>S68+O68*sailor_pay*Economy!H68/1000000</f>
        <v/>
      </c>
      <c r="U68" s="53">
        <f>(P68+Q68+R68)*navy_overhead</f>
        <v/>
      </c>
      <c r="V68" s="53">
        <f>L68+P68+Q68+R68+U68</f>
        <v/>
      </c>
      <c r="W68" s="69">
        <f>Japan!I68</f>
        <v/>
      </c>
      <c r="X68" s="53">
        <f>IF($A68&gt;=1927,V68+W68,0)</f>
        <v/>
      </c>
      <c r="Y68" s="53">
        <f>IF($A68&gt;=1927,pac_quota*X68,V68)</f>
        <v/>
      </c>
      <c r="Z68" s="67">
        <f>SUMPRODUCT(B68:J68,Levers!$C$193:$K$193,Levers!$C$194:$K$194)/0.6</f>
        <v/>
      </c>
      <c r="AA68" s="62">
        <f>H68</f>
        <v/>
      </c>
      <c r="AB68" s="47">
        <f>AA68+'Navy plan'!T68</f>
        <v/>
      </c>
      <c r="AC68" s="62">
        <f>'Navy plan'!U68</f>
        <v/>
      </c>
      <c r="AD68" s="62">
        <f>'Navy plan'!V68</f>
        <v/>
      </c>
      <c r="AE68" s="67">
        <f>IF(AC68&gt;0,AB68/AC68,0)</f>
        <v/>
      </c>
    </row>
    <row r="69">
      <c r="A69" s="58" t="n">
        <v>1909</v>
      </c>
      <c r="B69" s="47">
        <f>B68+'Navy plan'!B69-IF($A69-Levers!$C$191&gt;=1846,INDEX('Navy plan'!B$6:B$92,$A69-1845-Levers!$C$191),0)</f>
        <v/>
      </c>
      <c r="C69" s="47">
        <f>C68+'Navy plan'!C69-IF($A69-Levers!$D$191&gt;=1846,INDEX('Navy plan'!C$6:C$92,$A69-1845-Levers!$D$191),0)</f>
        <v/>
      </c>
      <c r="D69" s="47">
        <f>D68+'Navy plan'!D69-IF($A69-Levers!$E$191&gt;=1846,INDEX('Navy plan'!D$6:D$92,$A69-1845-Levers!$E$191),0)</f>
        <v/>
      </c>
      <c r="E69" s="47">
        <f>E68+'Navy plan'!E69-IF($A69-Levers!$F$191&gt;=1846,INDEX('Navy plan'!E$6:E$92,$A69-1845-Levers!$F$191),0)</f>
        <v/>
      </c>
      <c r="F69" s="47">
        <f>F68+'Navy plan'!F69-IF($A69-Levers!$G$191&gt;=1846,INDEX('Navy plan'!F$6:F$92,$A69-1845-Levers!$G$191),0)</f>
        <v/>
      </c>
      <c r="G69" s="47">
        <f>G68+'Navy plan'!G69-IF($A69-Levers!$H$191&gt;=1846,INDEX('Navy plan'!G$6:G$92,$A69-1845-Levers!$H$191),0)</f>
        <v/>
      </c>
      <c r="H69" s="47">
        <f>H68+'Navy plan'!H69-IF($A69-Levers!$I$191&gt;=1846,INDEX('Navy plan'!H$6:H$92,$A69-1845-Levers!$I$191),0)</f>
        <v/>
      </c>
      <c r="I69" s="47">
        <f>I68+'Navy plan'!I69-IF($A69-Levers!$J$191&gt;=1846,INDEX('Navy plan'!I$6:I$92,$A69-1845-Levers!$J$191),0)</f>
        <v/>
      </c>
      <c r="J69" s="47">
        <f>J68+'Navy plan'!J69-IF($A69-Levers!$K$191&gt;=1846,INDEX('Navy plan'!J$6:J$92,$A69-1845-Levers!$K$191),0)</f>
        <v/>
      </c>
      <c r="K69" s="47">
        <f>SUM(B69:J69)</f>
        <v/>
      </c>
      <c r="L69" s="53">
        <f>0.5*SUMPRODUCT('Navy plan'!B69:'Navy plan'!J69,'Navy plan'!K69:'Navy plan'!S69)+0.5*SUMPRODUCT('Navy plan'!B70:'Navy plan'!J70,'Navy plan'!K70:'Navy plan'!S70)</f>
        <v/>
      </c>
      <c r="M69" s="47">
        <f>SUMPRODUCT(B69:J69,Levers!$C$192:$K$192)</f>
        <v/>
      </c>
      <c r="N69" s="47">
        <f>SUMPRODUCT(B69:J69,Levers!$C$195:$K$195)</f>
        <v/>
      </c>
      <c r="O69" s="47">
        <f>N69-M69</f>
        <v/>
      </c>
      <c r="P69" s="53">
        <f>M69*sailor_pay*Economy!H69/1000000</f>
        <v/>
      </c>
      <c r="Q69" s="53">
        <f>SUMPRODUCT(B69:J69,'Navy plan'!K69:'Navy plan'!S69)*maint_rate</f>
        <v/>
      </c>
      <c r="R69" s="53">
        <f>SUMPRODUCT(B69:J69,Levers!$C$193:$K$193)*Economy!H69</f>
        <v/>
      </c>
      <c r="S69" s="53">
        <f>SUMPRODUCT(B69:J69,Levers!$C$193:$K$193,Levers!$C$194:$K$194)*(1/oil_fuel-1)*Economy!H69</f>
        <v/>
      </c>
      <c r="T69" s="53">
        <f>S69+O69*sailor_pay*Economy!H69/1000000</f>
        <v/>
      </c>
      <c r="U69" s="53">
        <f>(P69+Q69+R69)*navy_overhead</f>
        <v/>
      </c>
      <c r="V69" s="53">
        <f>L69+P69+Q69+R69+U69</f>
        <v/>
      </c>
      <c r="W69" s="69">
        <f>Japan!I69</f>
        <v/>
      </c>
      <c r="X69" s="53">
        <f>IF($A69&gt;=1927,V69+W69,0)</f>
        <v/>
      </c>
      <c r="Y69" s="53">
        <f>IF($A69&gt;=1927,pac_quota*X69,V69)</f>
        <v/>
      </c>
      <c r="Z69" s="67">
        <f>SUMPRODUCT(B69:J69,Levers!$C$193:$K$193,Levers!$C$194:$K$194)/0.6</f>
        <v/>
      </c>
      <c r="AA69" s="62">
        <f>H69</f>
        <v/>
      </c>
      <c r="AB69" s="47">
        <f>AA69+'Navy plan'!T69</f>
        <v/>
      </c>
      <c r="AC69" s="62">
        <f>'Navy plan'!U69</f>
        <v/>
      </c>
      <c r="AD69" s="62">
        <f>'Navy plan'!V69</f>
        <v/>
      </c>
      <c r="AE69" s="67">
        <f>IF(AC69&gt;0,AB69/AC69,0)</f>
        <v/>
      </c>
    </row>
    <row r="70">
      <c r="A70" s="58" t="n">
        <v>1910</v>
      </c>
      <c r="B70" s="47">
        <f>B69+'Navy plan'!B70-IF($A70-Levers!$C$191&gt;=1846,INDEX('Navy plan'!B$6:B$92,$A70-1845-Levers!$C$191),0)</f>
        <v/>
      </c>
      <c r="C70" s="47">
        <f>C69+'Navy plan'!C70-IF($A70-Levers!$D$191&gt;=1846,INDEX('Navy plan'!C$6:C$92,$A70-1845-Levers!$D$191),0)</f>
        <v/>
      </c>
      <c r="D70" s="47">
        <f>D69+'Navy plan'!D70-IF($A70-Levers!$E$191&gt;=1846,INDEX('Navy plan'!D$6:D$92,$A70-1845-Levers!$E$191),0)</f>
        <v/>
      </c>
      <c r="E70" s="47">
        <f>E69+'Navy plan'!E70-IF($A70-Levers!$F$191&gt;=1846,INDEX('Navy plan'!E$6:E$92,$A70-1845-Levers!$F$191),0)</f>
        <v/>
      </c>
      <c r="F70" s="47">
        <f>F69+'Navy plan'!F70-IF($A70-Levers!$G$191&gt;=1846,INDEX('Navy plan'!F$6:F$92,$A70-1845-Levers!$G$191),0)</f>
        <v/>
      </c>
      <c r="G70" s="47">
        <f>G69+'Navy plan'!G70-IF($A70-Levers!$H$191&gt;=1846,INDEX('Navy plan'!G$6:G$92,$A70-1845-Levers!$H$191),0)</f>
        <v/>
      </c>
      <c r="H70" s="47">
        <f>H69+'Navy plan'!H70-IF($A70-Levers!$I$191&gt;=1846,INDEX('Navy plan'!H$6:H$92,$A70-1845-Levers!$I$191),0)</f>
        <v/>
      </c>
      <c r="I70" s="47">
        <f>I69+'Navy plan'!I70-IF($A70-Levers!$J$191&gt;=1846,INDEX('Navy plan'!I$6:I$92,$A70-1845-Levers!$J$191),0)</f>
        <v/>
      </c>
      <c r="J70" s="47">
        <f>J69+'Navy plan'!J70-IF($A70-Levers!$K$191&gt;=1846,INDEX('Navy plan'!J$6:J$92,$A70-1845-Levers!$K$191),0)</f>
        <v/>
      </c>
      <c r="K70" s="47">
        <f>SUM(B70:J70)</f>
        <v/>
      </c>
      <c r="L70" s="53">
        <f>0.5*SUMPRODUCT('Navy plan'!B70:'Navy plan'!J70,'Navy plan'!K70:'Navy plan'!S70)+0.5*SUMPRODUCT('Navy plan'!B71:'Navy plan'!J71,'Navy plan'!K71:'Navy plan'!S71)</f>
        <v/>
      </c>
      <c r="M70" s="47">
        <f>SUMPRODUCT(B70:J70,Levers!$C$192:$K$192)</f>
        <v/>
      </c>
      <c r="N70" s="47">
        <f>SUMPRODUCT(B70:J70,Levers!$C$195:$K$195)</f>
        <v/>
      </c>
      <c r="O70" s="47">
        <f>N70-M70</f>
        <v/>
      </c>
      <c r="P70" s="53">
        <f>M70*sailor_pay*Economy!H70/1000000</f>
        <v/>
      </c>
      <c r="Q70" s="53">
        <f>SUMPRODUCT(B70:J70,'Navy plan'!K70:'Navy plan'!S70)*maint_rate</f>
        <v/>
      </c>
      <c r="R70" s="53">
        <f>SUMPRODUCT(B70:J70,Levers!$C$193:$K$193)*Economy!H70</f>
        <v/>
      </c>
      <c r="S70" s="53">
        <f>SUMPRODUCT(B70:J70,Levers!$C$193:$K$193,Levers!$C$194:$K$194)*(1/oil_fuel-1)*Economy!H70</f>
        <v/>
      </c>
      <c r="T70" s="53">
        <f>S70+O70*sailor_pay*Economy!H70/1000000</f>
        <v/>
      </c>
      <c r="U70" s="53">
        <f>(P70+Q70+R70)*navy_overhead</f>
        <v/>
      </c>
      <c r="V70" s="53">
        <f>L70+P70+Q70+R70+U70</f>
        <v/>
      </c>
      <c r="W70" s="69">
        <f>Japan!I70</f>
        <v/>
      </c>
      <c r="X70" s="53">
        <f>IF($A70&gt;=1927,V70+W70,0)</f>
        <v/>
      </c>
      <c r="Y70" s="53">
        <f>IF($A70&gt;=1927,pac_quota*X70,V70)</f>
        <v/>
      </c>
      <c r="Z70" s="67">
        <f>SUMPRODUCT(B70:J70,Levers!$C$193:$K$193,Levers!$C$194:$K$194)/0.6</f>
        <v/>
      </c>
      <c r="AA70" s="62">
        <f>H70</f>
        <v/>
      </c>
      <c r="AB70" s="47">
        <f>AA70+'Navy plan'!T70</f>
        <v/>
      </c>
      <c r="AC70" s="62">
        <f>'Navy plan'!U70</f>
        <v/>
      </c>
      <c r="AD70" s="62">
        <f>'Navy plan'!V70</f>
        <v/>
      </c>
      <c r="AE70" s="67">
        <f>IF(AC70&gt;0,AB70/AC70,0)</f>
        <v/>
      </c>
    </row>
    <row r="71">
      <c r="A71" s="58" t="n">
        <v>1911</v>
      </c>
      <c r="B71" s="47">
        <f>B70+'Navy plan'!B71-IF($A71-Levers!$C$191&gt;=1846,INDEX('Navy plan'!B$6:B$92,$A71-1845-Levers!$C$191),0)</f>
        <v/>
      </c>
      <c r="C71" s="47">
        <f>C70+'Navy plan'!C71-IF($A71-Levers!$D$191&gt;=1846,INDEX('Navy plan'!C$6:C$92,$A71-1845-Levers!$D$191),0)</f>
        <v/>
      </c>
      <c r="D71" s="47">
        <f>D70+'Navy plan'!D71-IF($A71-Levers!$E$191&gt;=1846,INDEX('Navy plan'!D$6:D$92,$A71-1845-Levers!$E$191),0)</f>
        <v/>
      </c>
      <c r="E71" s="47">
        <f>E70+'Navy plan'!E71-IF($A71-Levers!$F$191&gt;=1846,INDEX('Navy plan'!E$6:E$92,$A71-1845-Levers!$F$191),0)</f>
        <v/>
      </c>
      <c r="F71" s="47">
        <f>F70+'Navy plan'!F71-IF($A71-Levers!$G$191&gt;=1846,INDEX('Navy plan'!F$6:F$92,$A71-1845-Levers!$G$191),0)</f>
        <v/>
      </c>
      <c r="G71" s="47">
        <f>G70+'Navy plan'!G71-IF($A71-Levers!$H$191&gt;=1846,INDEX('Navy plan'!G$6:G$92,$A71-1845-Levers!$H$191),0)</f>
        <v/>
      </c>
      <c r="H71" s="47">
        <f>H70+'Navy plan'!H71-IF($A71-Levers!$I$191&gt;=1846,INDEX('Navy plan'!H$6:H$92,$A71-1845-Levers!$I$191),0)</f>
        <v/>
      </c>
      <c r="I71" s="47">
        <f>I70+'Navy plan'!I71-IF($A71-Levers!$J$191&gt;=1846,INDEX('Navy plan'!I$6:I$92,$A71-1845-Levers!$J$191),0)</f>
        <v/>
      </c>
      <c r="J71" s="47">
        <f>J70+'Navy plan'!J71-IF($A71-Levers!$K$191&gt;=1846,INDEX('Navy plan'!J$6:J$92,$A71-1845-Levers!$K$191),0)</f>
        <v/>
      </c>
      <c r="K71" s="47">
        <f>SUM(B71:J71)</f>
        <v/>
      </c>
      <c r="L71" s="53">
        <f>0.5*SUMPRODUCT('Navy plan'!B71:'Navy plan'!J71,'Navy plan'!K71:'Navy plan'!S71)+0.5*SUMPRODUCT('Navy plan'!B72:'Navy plan'!J72,'Navy plan'!K72:'Navy plan'!S72)</f>
        <v/>
      </c>
      <c r="M71" s="47">
        <f>SUMPRODUCT(B71:J71,Levers!$C$192:$K$192)</f>
        <v/>
      </c>
      <c r="N71" s="47">
        <f>SUMPRODUCT(B71:J71,Levers!$C$195:$K$195)</f>
        <v/>
      </c>
      <c r="O71" s="47">
        <f>N71-M71</f>
        <v/>
      </c>
      <c r="P71" s="53">
        <f>M71*sailor_pay*Economy!H71/1000000</f>
        <v/>
      </c>
      <c r="Q71" s="53">
        <f>SUMPRODUCT(B71:J71,'Navy plan'!K71:'Navy plan'!S71)*maint_rate</f>
        <v/>
      </c>
      <c r="R71" s="53">
        <f>SUMPRODUCT(B71:J71,Levers!$C$193:$K$193)*Economy!H71</f>
        <v/>
      </c>
      <c r="S71" s="53">
        <f>SUMPRODUCT(B71:J71,Levers!$C$193:$K$193,Levers!$C$194:$K$194)*(1/oil_fuel-1)*Economy!H71</f>
        <v/>
      </c>
      <c r="T71" s="53">
        <f>S71+O71*sailor_pay*Economy!H71/1000000</f>
        <v/>
      </c>
      <c r="U71" s="53">
        <f>(P71+Q71+R71)*navy_overhead</f>
        <v/>
      </c>
      <c r="V71" s="53">
        <f>L71+P71+Q71+R71+U71</f>
        <v/>
      </c>
      <c r="W71" s="69">
        <f>Japan!I71</f>
        <v/>
      </c>
      <c r="X71" s="53">
        <f>IF($A71&gt;=1927,V71+W71,0)</f>
        <v/>
      </c>
      <c r="Y71" s="53">
        <f>IF($A71&gt;=1927,pac_quota*X71,V71)</f>
        <v/>
      </c>
      <c r="Z71" s="67">
        <f>SUMPRODUCT(B71:J71,Levers!$C$193:$K$193,Levers!$C$194:$K$194)/0.6</f>
        <v/>
      </c>
      <c r="AA71" s="62">
        <f>H71</f>
        <v/>
      </c>
      <c r="AB71" s="47">
        <f>AA71+'Navy plan'!T71</f>
        <v/>
      </c>
      <c r="AC71" s="62">
        <f>'Navy plan'!U71</f>
        <v/>
      </c>
      <c r="AD71" s="62">
        <f>'Navy plan'!V71</f>
        <v/>
      </c>
      <c r="AE71" s="67">
        <f>IF(AC71&gt;0,AB71/AC71,0)</f>
        <v/>
      </c>
    </row>
    <row r="72">
      <c r="A72" s="58" t="n">
        <v>1912</v>
      </c>
      <c r="B72" s="47">
        <f>B71+'Navy plan'!B72-IF($A72-Levers!$C$191&gt;=1846,INDEX('Navy plan'!B$6:B$92,$A72-1845-Levers!$C$191),0)</f>
        <v/>
      </c>
      <c r="C72" s="47">
        <f>C71+'Navy plan'!C72-IF($A72-Levers!$D$191&gt;=1846,INDEX('Navy plan'!C$6:C$92,$A72-1845-Levers!$D$191),0)</f>
        <v/>
      </c>
      <c r="D72" s="47">
        <f>D71+'Navy plan'!D72-IF($A72-Levers!$E$191&gt;=1846,INDEX('Navy plan'!D$6:D$92,$A72-1845-Levers!$E$191),0)</f>
        <v/>
      </c>
      <c r="E72" s="47">
        <f>E71+'Navy plan'!E72-IF($A72-Levers!$F$191&gt;=1846,INDEX('Navy plan'!E$6:E$92,$A72-1845-Levers!$F$191),0)</f>
        <v/>
      </c>
      <c r="F72" s="47">
        <f>F71+'Navy plan'!F72-IF($A72-Levers!$G$191&gt;=1846,INDEX('Navy plan'!F$6:F$92,$A72-1845-Levers!$G$191),0)</f>
        <v/>
      </c>
      <c r="G72" s="47">
        <f>G71+'Navy plan'!G72-IF($A72-Levers!$H$191&gt;=1846,INDEX('Navy plan'!G$6:G$92,$A72-1845-Levers!$H$191),0)</f>
        <v/>
      </c>
      <c r="H72" s="47">
        <f>H71+'Navy plan'!H72-IF($A72-Levers!$I$191&gt;=1846,INDEX('Navy plan'!H$6:H$92,$A72-1845-Levers!$I$191),0)</f>
        <v/>
      </c>
      <c r="I72" s="47">
        <f>I71+'Navy plan'!I72-IF($A72-Levers!$J$191&gt;=1846,INDEX('Navy plan'!I$6:I$92,$A72-1845-Levers!$J$191),0)</f>
        <v/>
      </c>
      <c r="J72" s="47">
        <f>J71+'Navy plan'!J72-IF($A72-Levers!$K$191&gt;=1846,INDEX('Navy plan'!J$6:J$92,$A72-1845-Levers!$K$191),0)</f>
        <v/>
      </c>
      <c r="K72" s="47">
        <f>SUM(B72:J72)</f>
        <v/>
      </c>
      <c r="L72" s="53">
        <f>0.5*SUMPRODUCT('Navy plan'!B72:'Navy plan'!J72,'Navy plan'!K72:'Navy plan'!S72)+0.5*SUMPRODUCT('Navy plan'!B73:'Navy plan'!J73,'Navy plan'!K73:'Navy plan'!S73)</f>
        <v/>
      </c>
      <c r="M72" s="47">
        <f>SUMPRODUCT(B72:J72,Levers!$C$192:$K$192)</f>
        <v/>
      </c>
      <c r="N72" s="47">
        <f>SUMPRODUCT(B72:J72,Levers!$C$195:$K$195)</f>
        <v/>
      </c>
      <c r="O72" s="47">
        <f>N72-M72</f>
        <v/>
      </c>
      <c r="P72" s="53">
        <f>M72*sailor_pay*Economy!H72/1000000</f>
        <v/>
      </c>
      <c r="Q72" s="53">
        <f>SUMPRODUCT(B72:J72,'Navy plan'!K72:'Navy plan'!S72)*maint_rate</f>
        <v/>
      </c>
      <c r="R72" s="53">
        <f>SUMPRODUCT(B72:J72,Levers!$C$193:$K$193)*Economy!H72</f>
        <v/>
      </c>
      <c r="S72" s="53">
        <f>SUMPRODUCT(B72:J72,Levers!$C$193:$K$193,Levers!$C$194:$K$194)*(1/oil_fuel-1)*Economy!H72</f>
        <v/>
      </c>
      <c r="T72" s="53">
        <f>S72+O72*sailor_pay*Economy!H72/1000000</f>
        <v/>
      </c>
      <c r="U72" s="53">
        <f>(P72+Q72+R72)*navy_overhead</f>
        <v/>
      </c>
      <c r="V72" s="53">
        <f>L72+P72+Q72+R72+U72</f>
        <v/>
      </c>
      <c r="W72" s="69">
        <f>Japan!I72</f>
        <v/>
      </c>
      <c r="X72" s="53">
        <f>IF($A72&gt;=1927,V72+W72,0)</f>
        <v/>
      </c>
      <c r="Y72" s="53">
        <f>IF($A72&gt;=1927,pac_quota*X72,V72)</f>
        <v/>
      </c>
      <c r="Z72" s="67">
        <f>SUMPRODUCT(B72:J72,Levers!$C$193:$K$193,Levers!$C$194:$K$194)/0.6</f>
        <v/>
      </c>
      <c r="AA72" s="62">
        <f>H72</f>
        <v/>
      </c>
      <c r="AB72" s="47">
        <f>AA72+'Navy plan'!T72</f>
        <v/>
      </c>
      <c r="AC72" s="62">
        <f>'Navy plan'!U72</f>
        <v/>
      </c>
      <c r="AD72" s="62">
        <f>'Navy plan'!V72</f>
        <v/>
      </c>
      <c r="AE72" s="67">
        <f>IF(AC72&gt;0,AB72/AC72,0)</f>
        <v/>
      </c>
    </row>
    <row r="73">
      <c r="A73" s="58" t="n">
        <v>1913</v>
      </c>
      <c r="B73" s="47">
        <f>B72+'Navy plan'!B73-IF($A73-Levers!$C$191&gt;=1846,INDEX('Navy plan'!B$6:B$92,$A73-1845-Levers!$C$191),0)</f>
        <v/>
      </c>
      <c r="C73" s="47">
        <f>C72+'Navy plan'!C73-IF($A73-Levers!$D$191&gt;=1846,INDEX('Navy plan'!C$6:C$92,$A73-1845-Levers!$D$191),0)</f>
        <v/>
      </c>
      <c r="D73" s="47">
        <f>D72+'Navy plan'!D73-IF($A73-Levers!$E$191&gt;=1846,INDEX('Navy plan'!D$6:D$92,$A73-1845-Levers!$E$191),0)</f>
        <v/>
      </c>
      <c r="E73" s="47">
        <f>E72+'Navy plan'!E73-IF($A73-Levers!$F$191&gt;=1846,INDEX('Navy plan'!E$6:E$92,$A73-1845-Levers!$F$191),0)</f>
        <v/>
      </c>
      <c r="F73" s="47">
        <f>F72+'Navy plan'!F73-IF($A73-Levers!$G$191&gt;=1846,INDEX('Navy plan'!F$6:F$92,$A73-1845-Levers!$G$191),0)</f>
        <v/>
      </c>
      <c r="G73" s="47">
        <f>G72+'Navy plan'!G73-IF($A73-Levers!$H$191&gt;=1846,INDEX('Navy plan'!G$6:G$92,$A73-1845-Levers!$H$191),0)</f>
        <v/>
      </c>
      <c r="H73" s="47">
        <f>H72+'Navy plan'!H73-IF($A73-Levers!$I$191&gt;=1846,INDEX('Navy plan'!H$6:H$92,$A73-1845-Levers!$I$191),0)</f>
        <v/>
      </c>
      <c r="I73" s="47">
        <f>I72+'Navy plan'!I73-IF($A73-Levers!$J$191&gt;=1846,INDEX('Navy plan'!I$6:I$92,$A73-1845-Levers!$J$191),0)</f>
        <v/>
      </c>
      <c r="J73" s="47">
        <f>J72+'Navy plan'!J73-IF($A73-Levers!$K$191&gt;=1846,INDEX('Navy plan'!J$6:J$92,$A73-1845-Levers!$K$191),0)</f>
        <v/>
      </c>
      <c r="K73" s="47">
        <f>SUM(B73:J73)</f>
        <v/>
      </c>
      <c r="L73" s="53">
        <f>0.5*SUMPRODUCT('Navy plan'!B73:'Navy plan'!J73,'Navy plan'!K73:'Navy plan'!S73)+0.5*SUMPRODUCT('Navy plan'!B74:'Navy plan'!J74,'Navy plan'!K74:'Navy plan'!S74)</f>
        <v/>
      </c>
      <c r="M73" s="47">
        <f>SUMPRODUCT(B73:J73,Levers!$C$192:$K$192)</f>
        <v/>
      </c>
      <c r="N73" s="47">
        <f>SUMPRODUCT(B73:J73,Levers!$C$195:$K$195)</f>
        <v/>
      </c>
      <c r="O73" s="47">
        <f>N73-M73</f>
        <v/>
      </c>
      <c r="P73" s="53">
        <f>M73*sailor_pay*Economy!H73/1000000</f>
        <v/>
      </c>
      <c r="Q73" s="53">
        <f>SUMPRODUCT(B73:J73,'Navy plan'!K73:'Navy plan'!S73)*maint_rate</f>
        <v/>
      </c>
      <c r="R73" s="53">
        <f>SUMPRODUCT(B73:J73,Levers!$C$193:$K$193)*Economy!H73</f>
        <v/>
      </c>
      <c r="S73" s="53">
        <f>SUMPRODUCT(B73:J73,Levers!$C$193:$K$193,Levers!$C$194:$K$194)*(1/oil_fuel-1)*Economy!H73</f>
        <v/>
      </c>
      <c r="T73" s="53">
        <f>S73+O73*sailor_pay*Economy!H73/1000000</f>
        <v/>
      </c>
      <c r="U73" s="53">
        <f>(P73+Q73+R73)*navy_overhead</f>
        <v/>
      </c>
      <c r="V73" s="53">
        <f>L73+P73+Q73+R73+U73</f>
        <v/>
      </c>
      <c r="W73" s="69">
        <f>Japan!I73</f>
        <v/>
      </c>
      <c r="X73" s="53">
        <f>IF($A73&gt;=1927,V73+W73,0)</f>
        <v/>
      </c>
      <c r="Y73" s="53">
        <f>IF($A73&gt;=1927,pac_quota*X73,V73)</f>
        <v/>
      </c>
      <c r="Z73" s="67">
        <f>SUMPRODUCT(B73:J73,Levers!$C$193:$K$193,Levers!$C$194:$K$194)/0.6</f>
        <v/>
      </c>
      <c r="AA73" s="62">
        <f>H73</f>
        <v/>
      </c>
      <c r="AB73" s="47">
        <f>AA73+'Navy plan'!T73</f>
        <v/>
      </c>
      <c r="AC73" s="62">
        <f>'Navy plan'!U73</f>
        <v/>
      </c>
      <c r="AD73" s="62">
        <f>'Navy plan'!V73</f>
        <v/>
      </c>
      <c r="AE73" s="67">
        <f>IF(AC73&gt;0,AB73/AC73,0)</f>
        <v/>
      </c>
    </row>
    <row r="74">
      <c r="A74" s="58" t="n">
        <v>1914</v>
      </c>
      <c r="B74" s="47">
        <f>B73+'Navy plan'!B74-IF($A74-Levers!$C$191&gt;=1846,INDEX('Navy plan'!B$6:B$92,$A74-1845-Levers!$C$191),0)</f>
        <v/>
      </c>
      <c r="C74" s="47">
        <f>C73+'Navy plan'!C74-IF($A74-Levers!$D$191&gt;=1846,INDEX('Navy plan'!C$6:C$92,$A74-1845-Levers!$D$191),0)</f>
        <v/>
      </c>
      <c r="D74" s="47">
        <f>D73+'Navy plan'!D74-IF($A74-Levers!$E$191&gt;=1846,INDEX('Navy plan'!D$6:D$92,$A74-1845-Levers!$E$191),0)</f>
        <v/>
      </c>
      <c r="E74" s="47">
        <f>E73+'Navy plan'!E74-IF($A74-Levers!$F$191&gt;=1846,INDEX('Navy plan'!E$6:E$92,$A74-1845-Levers!$F$191),0)</f>
        <v/>
      </c>
      <c r="F74" s="47">
        <f>F73+'Navy plan'!F74-IF($A74-Levers!$G$191&gt;=1846,INDEX('Navy plan'!F$6:F$92,$A74-1845-Levers!$G$191),0)</f>
        <v/>
      </c>
      <c r="G74" s="47">
        <f>G73+'Navy plan'!G74-IF($A74-Levers!$H$191&gt;=1846,INDEX('Navy plan'!G$6:G$92,$A74-1845-Levers!$H$191),0)</f>
        <v/>
      </c>
      <c r="H74" s="47">
        <f>H73+'Navy plan'!H74-IF($A74-Levers!$I$191&gt;=1846,INDEX('Navy plan'!H$6:H$92,$A74-1845-Levers!$I$191),0)</f>
        <v/>
      </c>
      <c r="I74" s="47">
        <f>I73+'Navy plan'!I74-IF($A74-Levers!$J$191&gt;=1846,INDEX('Navy plan'!I$6:I$92,$A74-1845-Levers!$J$191),0)</f>
        <v/>
      </c>
      <c r="J74" s="47">
        <f>J73+'Navy plan'!J74-IF($A74-Levers!$K$191&gt;=1846,INDEX('Navy plan'!J$6:J$92,$A74-1845-Levers!$K$191),0)</f>
        <v/>
      </c>
      <c r="K74" s="47">
        <f>SUM(B74:J74)</f>
        <v/>
      </c>
      <c r="L74" s="53">
        <f>0.5*SUMPRODUCT('Navy plan'!B74:'Navy plan'!J74,'Navy plan'!K74:'Navy plan'!S74)+0.5*SUMPRODUCT('Navy plan'!B75:'Navy plan'!J75,'Navy plan'!K75:'Navy plan'!S75)</f>
        <v/>
      </c>
      <c r="M74" s="47">
        <f>SUMPRODUCT(B74:J74,Levers!$C$192:$K$192)</f>
        <v/>
      </c>
      <c r="N74" s="47">
        <f>SUMPRODUCT(B74:J74,Levers!$C$195:$K$195)</f>
        <v/>
      </c>
      <c r="O74" s="47">
        <f>N74-M74</f>
        <v/>
      </c>
      <c r="P74" s="53">
        <f>M74*sailor_pay*Economy!H74/1000000</f>
        <v/>
      </c>
      <c r="Q74" s="53">
        <f>SUMPRODUCT(B74:J74,'Navy plan'!K74:'Navy plan'!S74)*maint_rate</f>
        <v/>
      </c>
      <c r="R74" s="53">
        <f>SUMPRODUCT(B74:J74,Levers!$C$193:$K$193)*Economy!H74</f>
        <v/>
      </c>
      <c r="S74" s="53">
        <f>SUMPRODUCT(B74:J74,Levers!$C$193:$K$193,Levers!$C$194:$K$194)*(1/oil_fuel-1)*Economy!H74</f>
        <v/>
      </c>
      <c r="T74" s="53">
        <f>S74+O74*sailor_pay*Economy!H74/1000000</f>
        <v/>
      </c>
      <c r="U74" s="53">
        <f>(P74+Q74+R74)*navy_overhead</f>
        <v/>
      </c>
      <c r="V74" s="53">
        <f>L74+P74+Q74+R74+U74</f>
        <v/>
      </c>
      <c r="W74" s="69">
        <f>Japan!I74</f>
        <v/>
      </c>
      <c r="X74" s="53">
        <f>IF($A74&gt;=1927,V74+W74,0)</f>
        <v/>
      </c>
      <c r="Y74" s="53">
        <f>IF($A74&gt;=1927,pac_quota*X74,V74)</f>
        <v/>
      </c>
      <c r="Z74" s="67">
        <f>SUMPRODUCT(B74:J74,Levers!$C$193:$K$193,Levers!$C$194:$K$194)/0.6</f>
        <v/>
      </c>
      <c r="AA74" s="62">
        <f>H74</f>
        <v/>
      </c>
      <c r="AB74" s="47">
        <f>AA74+'Navy plan'!T74</f>
        <v/>
      </c>
      <c r="AC74" s="62">
        <f>'Navy plan'!U74</f>
        <v/>
      </c>
      <c r="AD74" s="62">
        <f>'Navy plan'!V74</f>
        <v/>
      </c>
      <c r="AE74" s="67">
        <f>IF(AC74&gt;0,AB74/AC74,0)</f>
        <v/>
      </c>
    </row>
    <row r="75">
      <c r="A75" s="58" t="n">
        <v>1915</v>
      </c>
      <c r="B75" s="47">
        <f>B74+'Navy plan'!B75-IF($A75-Levers!$C$191&gt;=1846,INDEX('Navy plan'!B$6:B$92,$A75-1845-Levers!$C$191),0)</f>
        <v/>
      </c>
      <c r="C75" s="47">
        <f>C74+'Navy plan'!C75-IF($A75-Levers!$D$191&gt;=1846,INDEX('Navy plan'!C$6:C$92,$A75-1845-Levers!$D$191),0)</f>
        <v/>
      </c>
      <c r="D75" s="47">
        <f>D74+'Navy plan'!D75-IF($A75-Levers!$E$191&gt;=1846,INDEX('Navy plan'!D$6:D$92,$A75-1845-Levers!$E$191),0)</f>
        <v/>
      </c>
      <c r="E75" s="47">
        <f>E74+'Navy plan'!E75-IF($A75-Levers!$F$191&gt;=1846,INDEX('Navy plan'!E$6:E$92,$A75-1845-Levers!$F$191),0)</f>
        <v/>
      </c>
      <c r="F75" s="47">
        <f>F74+'Navy plan'!F75-IF($A75-Levers!$G$191&gt;=1846,INDEX('Navy plan'!F$6:F$92,$A75-1845-Levers!$G$191),0)</f>
        <v/>
      </c>
      <c r="G75" s="47">
        <f>G74+'Navy plan'!G75-IF($A75-Levers!$H$191&gt;=1846,INDEX('Navy plan'!G$6:G$92,$A75-1845-Levers!$H$191),0)</f>
        <v/>
      </c>
      <c r="H75" s="47">
        <f>H74+'Navy plan'!H75-IF($A75-Levers!$I$191&gt;=1846,INDEX('Navy plan'!H$6:H$92,$A75-1845-Levers!$I$191),0)</f>
        <v/>
      </c>
      <c r="I75" s="47">
        <f>I74+'Navy plan'!I75-IF($A75-Levers!$J$191&gt;=1846,INDEX('Navy plan'!I$6:I$92,$A75-1845-Levers!$J$191),0)</f>
        <v/>
      </c>
      <c r="J75" s="47">
        <f>J74+'Navy plan'!J75-IF($A75-Levers!$K$191&gt;=1846,INDEX('Navy plan'!J$6:J$92,$A75-1845-Levers!$K$191),0)</f>
        <v/>
      </c>
      <c r="K75" s="47">
        <f>SUM(B75:J75)</f>
        <v/>
      </c>
      <c r="L75" s="53">
        <f>0.5*SUMPRODUCT('Navy plan'!B75:'Navy plan'!J75,'Navy plan'!K75:'Navy plan'!S75)+0.5*SUMPRODUCT('Navy plan'!B76:'Navy plan'!J76,'Navy plan'!K76:'Navy plan'!S76)</f>
        <v/>
      </c>
      <c r="M75" s="47">
        <f>SUMPRODUCT(B75:J75,Levers!$C$192:$K$192)</f>
        <v/>
      </c>
      <c r="N75" s="47">
        <f>SUMPRODUCT(B75:J75,Levers!$C$195:$K$195)</f>
        <v/>
      </c>
      <c r="O75" s="47">
        <f>N75-M75</f>
        <v/>
      </c>
      <c r="P75" s="53">
        <f>M75*sailor_pay*Economy!H75/1000000</f>
        <v/>
      </c>
      <c r="Q75" s="53">
        <f>SUMPRODUCT(B75:J75,'Navy plan'!K75:'Navy plan'!S75)*maint_rate</f>
        <v/>
      </c>
      <c r="R75" s="53">
        <f>SUMPRODUCT(B75:J75,Levers!$C$193:$K$193)*Economy!H75</f>
        <v/>
      </c>
      <c r="S75" s="53">
        <f>SUMPRODUCT(B75:J75,Levers!$C$193:$K$193,Levers!$C$194:$K$194)*(1/oil_fuel-1)*Economy!H75</f>
        <v/>
      </c>
      <c r="T75" s="53">
        <f>S75+O75*sailor_pay*Economy!H75/1000000</f>
        <v/>
      </c>
      <c r="U75" s="53">
        <f>(P75+Q75+R75)*navy_overhead</f>
        <v/>
      </c>
      <c r="V75" s="53">
        <f>L75+P75+Q75+R75+U75</f>
        <v/>
      </c>
      <c r="W75" s="69">
        <f>Japan!I75</f>
        <v/>
      </c>
      <c r="X75" s="53">
        <f>IF($A75&gt;=1927,V75+W75,0)</f>
        <v/>
      </c>
      <c r="Y75" s="53">
        <f>IF($A75&gt;=1927,pac_quota*X75,V75)</f>
        <v/>
      </c>
      <c r="Z75" s="67">
        <f>SUMPRODUCT(B75:J75,Levers!$C$193:$K$193,Levers!$C$194:$K$194)/0.6</f>
        <v/>
      </c>
      <c r="AA75" s="62">
        <f>H75</f>
        <v/>
      </c>
      <c r="AB75" s="47">
        <f>AA75+'Navy plan'!T75</f>
        <v/>
      </c>
      <c r="AC75" s="62">
        <f>'Navy plan'!U75</f>
        <v/>
      </c>
      <c r="AD75" s="62">
        <f>'Navy plan'!V75</f>
        <v/>
      </c>
      <c r="AE75" s="67">
        <f>IF(AC75&gt;0,AB75/AC75,0)</f>
        <v/>
      </c>
    </row>
    <row r="76">
      <c r="A76" s="58" t="n">
        <v>1916</v>
      </c>
      <c r="B76" s="47">
        <f>B75+'Navy plan'!B76-IF($A76-Levers!$C$191&gt;=1846,INDEX('Navy plan'!B$6:B$92,$A76-1845-Levers!$C$191),0)</f>
        <v/>
      </c>
      <c r="C76" s="47">
        <f>C75+'Navy plan'!C76-IF($A76-Levers!$D$191&gt;=1846,INDEX('Navy plan'!C$6:C$92,$A76-1845-Levers!$D$191),0)</f>
        <v/>
      </c>
      <c r="D76" s="47">
        <f>D75+'Navy plan'!D76-IF($A76-Levers!$E$191&gt;=1846,INDEX('Navy plan'!D$6:D$92,$A76-1845-Levers!$E$191),0)</f>
        <v/>
      </c>
      <c r="E76" s="47">
        <f>E75+'Navy plan'!E76-IF($A76-Levers!$F$191&gt;=1846,INDEX('Navy plan'!E$6:E$92,$A76-1845-Levers!$F$191),0)</f>
        <v/>
      </c>
      <c r="F76" s="47">
        <f>F75+'Navy plan'!F76-IF($A76-Levers!$G$191&gt;=1846,INDEX('Navy plan'!F$6:F$92,$A76-1845-Levers!$G$191),0)</f>
        <v/>
      </c>
      <c r="G76" s="47">
        <f>G75+'Navy plan'!G76-IF($A76-Levers!$H$191&gt;=1846,INDEX('Navy plan'!G$6:G$92,$A76-1845-Levers!$H$191),0)</f>
        <v/>
      </c>
      <c r="H76" s="47">
        <f>H75+'Navy plan'!H76-IF($A76-Levers!$I$191&gt;=1846,INDEX('Navy plan'!H$6:H$92,$A76-1845-Levers!$I$191),0)</f>
        <v/>
      </c>
      <c r="I76" s="47">
        <f>I75+'Navy plan'!I76-IF($A76-Levers!$J$191&gt;=1846,INDEX('Navy plan'!I$6:I$92,$A76-1845-Levers!$J$191),0)</f>
        <v/>
      </c>
      <c r="J76" s="47">
        <f>J75+'Navy plan'!J76-IF($A76-Levers!$K$191&gt;=1846,INDEX('Navy plan'!J$6:J$92,$A76-1845-Levers!$K$191),0)</f>
        <v/>
      </c>
      <c r="K76" s="47">
        <f>SUM(B76:J76)</f>
        <v/>
      </c>
      <c r="L76" s="53">
        <f>0.5*SUMPRODUCT('Navy plan'!B76:'Navy plan'!J76,'Navy plan'!K76:'Navy plan'!S76)+0.5*SUMPRODUCT('Navy plan'!B77:'Navy plan'!J77,'Navy plan'!K77:'Navy plan'!S77)</f>
        <v/>
      </c>
      <c r="M76" s="47">
        <f>SUMPRODUCT(B76:J76,Levers!$C$192:$K$192)</f>
        <v/>
      </c>
      <c r="N76" s="47">
        <f>SUMPRODUCT(B76:J76,Levers!$C$195:$K$195)</f>
        <v/>
      </c>
      <c r="O76" s="47">
        <f>N76-M76</f>
        <v/>
      </c>
      <c r="P76" s="53">
        <f>M76*sailor_pay*Economy!H76/1000000</f>
        <v/>
      </c>
      <c r="Q76" s="53">
        <f>SUMPRODUCT(B76:J76,'Navy plan'!K76:'Navy plan'!S76)*maint_rate</f>
        <v/>
      </c>
      <c r="R76" s="53">
        <f>SUMPRODUCT(B76:J76,Levers!$C$193:$K$193)*Economy!H76</f>
        <v/>
      </c>
      <c r="S76" s="53">
        <f>SUMPRODUCT(B76:J76,Levers!$C$193:$K$193,Levers!$C$194:$K$194)*(1/oil_fuel-1)*Economy!H76</f>
        <v/>
      </c>
      <c r="T76" s="53">
        <f>S76+O76*sailor_pay*Economy!H76/1000000</f>
        <v/>
      </c>
      <c r="U76" s="53">
        <f>(P76+Q76+R76)*navy_overhead</f>
        <v/>
      </c>
      <c r="V76" s="53">
        <f>L76+P76+Q76+R76+U76</f>
        <v/>
      </c>
      <c r="W76" s="69">
        <f>Japan!I76</f>
        <v/>
      </c>
      <c r="X76" s="53">
        <f>IF($A76&gt;=1927,V76+W76,0)</f>
        <v/>
      </c>
      <c r="Y76" s="53">
        <f>IF($A76&gt;=1927,pac_quota*X76,V76)</f>
        <v/>
      </c>
      <c r="Z76" s="67">
        <f>SUMPRODUCT(B76:J76,Levers!$C$193:$K$193,Levers!$C$194:$K$194)/0.6</f>
        <v/>
      </c>
      <c r="AA76" s="62">
        <f>H76</f>
        <v/>
      </c>
      <c r="AB76" s="47">
        <f>AA76+'Navy plan'!T76</f>
        <v/>
      </c>
      <c r="AC76" s="62">
        <f>'Navy plan'!U76</f>
        <v/>
      </c>
      <c r="AD76" s="62">
        <f>'Navy plan'!V76</f>
        <v/>
      </c>
      <c r="AE76" s="67">
        <f>IF(AC76&gt;0,AB76/AC76,0)</f>
        <v/>
      </c>
    </row>
    <row r="77">
      <c r="A77" s="58" t="n">
        <v>1917</v>
      </c>
      <c r="B77" s="47">
        <f>B76+'Navy plan'!B77-IF($A77-Levers!$C$191&gt;=1846,INDEX('Navy plan'!B$6:B$92,$A77-1845-Levers!$C$191),0)</f>
        <v/>
      </c>
      <c r="C77" s="47">
        <f>C76+'Navy plan'!C77-IF($A77-Levers!$D$191&gt;=1846,INDEX('Navy plan'!C$6:C$92,$A77-1845-Levers!$D$191),0)</f>
        <v/>
      </c>
      <c r="D77" s="47">
        <f>D76+'Navy plan'!D77-IF($A77-Levers!$E$191&gt;=1846,INDEX('Navy plan'!D$6:D$92,$A77-1845-Levers!$E$191),0)</f>
        <v/>
      </c>
      <c r="E77" s="47">
        <f>E76+'Navy plan'!E77-IF($A77-Levers!$F$191&gt;=1846,INDEX('Navy plan'!E$6:E$92,$A77-1845-Levers!$F$191),0)</f>
        <v/>
      </c>
      <c r="F77" s="47">
        <f>F76+'Navy plan'!F77-IF($A77-Levers!$G$191&gt;=1846,INDEX('Navy plan'!F$6:F$92,$A77-1845-Levers!$G$191),0)</f>
        <v/>
      </c>
      <c r="G77" s="47">
        <f>G76+'Navy plan'!G77-IF($A77-Levers!$H$191&gt;=1846,INDEX('Navy plan'!G$6:G$92,$A77-1845-Levers!$H$191),0)</f>
        <v/>
      </c>
      <c r="H77" s="47">
        <f>H76+'Navy plan'!H77-IF($A77-Levers!$I$191&gt;=1846,INDEX('Navy plan'!H$6:H$92,$A77-1845-Levers!$I$191),0)</f>
        <v/>
      </c>
      <c r="I77" s="47">
        <f>I76+'Navy plan'!I77-IF($A77-Levers!$J$191&gt;=1846,INDEX('Navy plan'!I$6:I$92,$A77-1845-Levers!$J$191),0)</f>
        <v/>
      </c>
      <c r="J77" s="47">
        <f>J76+'Navy plan'!J77-IF($A77-Levers!$K$191&gt;=1846,INDEX('Navy plan'!J$6:J$92,$A77-1845-Levers!$K$191),0)</f>
        <v/>
      </c>
      <c r="K77" s="47">
        <f>SUM(B77:J77)</f>
        <v/>
      </c>
      <c r="L77" s="53">
        <f>0.5*SUMPRODUCT('Navy plan'!B77:'Navy plan'!J77,'Navy plan'!K77:'Navy plan'!S77)+0.5*SUMPRODUCT('Navy plan'!B78:'Navy plan'!J78,'Navy plan'!K78:'Navy plan'!S78)</f>
        <v/>
      </c>
      <c r="M77" s="47">
        <f>SUMPRODUCT(B77:J77,Levers!$C$192:$K$192)</f>
        <v/>
      </c>
      <c r="N77" s="47">
        <f>SUMPRODUCT(B77:J77,Levers!$C$195:$K$195)</f>
        <v/>
      </c>
      <c r="O77" s="47">
        <f>N77-M77</f>
        <v/>
      </c>
      <c r="P77" s="53">
        <f>M77*sailor_pay*Economy!H77/1000000</f>
        <v/>
      </c>
      <c r="Q77" s="53">
        <f>SUMPRODUCT(B77:J77,'Navy plan'!K77:'Navy plan'!S77)*maint_rate</f>
        <v/>
      </c>
      <c r="R77" s="53">
        <f>SUMPRODUCT(B77:J77,Levers!$C$193:$K$193)*Economy!H77</f>
        <v/>
      </c>
      <c r="S77" s="53">
        <f>SUMPRODUCT(B77:J77,Levers!$C$193:$K$193,Levers!$C$194:$K$194)*(1/oil_fuel-1)*Economy!H77</f>
        <v/>
      </c>
      <c r="T77" s="53">
        <f>S77+O77*sailor_pay*Economy!H77/1000000</f>
        <v/>
      </c>
      <c r="U77" s="53">
        <f>(P77+Q77+R77)*navy_overhead</f>
        <v/>
      </c>
      <c r="V77" s="53">
        <f>L77+P77+Q77+R77+U77</f>
        <v/>
      </c>
      <c r="W77" s="69">
        <f>Japan!I77</f>
        <v/>
      </c>
      <c r="X77" s="53">
        <f>IF($A77&gt;=1927,V77+W77,0)</f>
        <v/>
      </c>
      <c r="Y77" s="53">
        <f>IF($A77&gt;=1927,pac_quota*X77,V77)</f>
        <v/>
      </c>
      <c r="Z77" s="67">
        <f>SUMPRODUCT(B77:J77,Levers!$C$193:$K$193,Levers!$C$194:$K$194)/0.6</f>
        <v/>
      </c>
      <c r="AA77" s="62">
        <f>H77</f>
        <v/>
      </c>
      <c r="AB77" s="47">
        <f>AA77+'Navy plan'!T77</f>
        <v/>
      </c>
      <c r="AC77" s="62">
        <f>'Navy plan'!U77</f>
        <v/>
      </c>
      <c r="AD77" s="62">
        <f>'Navy plan'!V77</f>
        <v/>
      </c>
      <c r="AE77" s="67">
        <f>IF(AC77&gt;0,AB77/AC77,0)</f>
        <v/>
      </c>
    </row>
    <row r="78">
      <c r="A78" s="58" t="n">
        <v>1918</v>
      </c>
      <c r="B78" s="47">
        <f>B77+'Navy plan'!B78-IF($A78-Levers!$C$191&gt;=1846,INDEX('Navy plan'!B$6:B$92,$A78-1845-Levers!$C$191),0)</f>
        <v/>
      </c>
      <c r="C78" s="47">
        <f>C77+'Navy plan'!C78-IF($A78-Levers!$D$191&gt;=1846,INDEX('Navy plan'!C$6:C$92,$A78-1845-Levers!$D$191),0)</f>
        <v/>
      </c>
      <c r="D78" s="47">
        <f>D77+'Navy plan'!D78-IF($A78-Levers!$E$191&gt;=1846,INDEX('Navy plan'!D$6:D$92,$A78-1845-Levers!$E$191),0)</f>
        <v/>
      </c>
      <c r="E78" s="47">
        <f>E77+'Navy plan'!E78-IF($A78-Levers!$F$191&gt;=1846,INDEX('Navy plan'!E$6:E$92,$A78-1845-Levers!$F$191),0)</f>
        <v/>
      </c>
      <c r="F78" s="47">
        <f>F77+'Navy plan'!F78-IF($A78-Levers!$G$191&gt;=1846,INDEX('Navy plan'!F$6:F$92,$A78-1845-Levers!$G$191),0)</f>
        <v/>
      </c>
      <c r="G78" s="47">
        <f>G77+'Navy plan'!G78-IF($A78-Levers!$H$191&gt;=1846,INDEX('Navy plan'!G$6:G$92,$A78-1845-Levers!$H$191),0)</f>
        <v/>
      </c>
      <c r="H78" s="47">
        <f>H77+'Navy plan'!H78-IF($A78-Levers!$I$191&gt;=1846,INDEX('Navy plan'!H$6:H$92,$A78-1845-Levers!$I$191),0)</f>
        <v/>
      </c>
      <c r="I78" s="47">
        <f>I77+'Navy plan'!I78-IF($A78-Levers!$J$191&gt;=1846,INDEX('Navy plan'!I$6:I$92,$A78-1845-Levers!$J$191),0)</f>
        <v/>
      </c>
      <c r="J78" s="47">
        <f>J77+'Navy plan'!J78-IF($A78-Levers!$K$191&gt;=1846,INDEX('Navy plan'!J$6:J$92,$A78-1845-Levers!$K$191),0)</f>
        <v/>
      </c>
      <c r="K78" s="47">
        <f>SUM(B78:J78)</f>
        <v/>
      </c>
      <c r="L78" s="53">
        <f>0.5*SUMPRODUCT('Navy plan'!B78:'Navy plan'!J78,'Navy plan'!K78:'Navy plan'!S78)+0.5*SUMPRODUCT('Navy plan'!B79:'Navy plan'!J79,'Navy plan'!K79:'Navy plan'!S79)</f>
        <v/>
      </c>
      <c r="M78" s="47">
        <f>SUMPRODUCT(B78:J78,Levers!$C$192:$K$192)</f>
        <v/>
      </c>
      <c r="N78" s="47">
        <f>SUMPRODUCT(B78:J78,Levers!$C$195:$K$195)</f>
        <v/>
      </c>
      <c r="O78" s="47">
        <f>N78-M78</f>
        <v/>
      </c>
      <c r="P78" s="53">
        <f>M78*sailor_pay*Economy!H78/1000000</f>
        <v/>
      </c>
      <c r="Q78" s="53">
        <f>SUMPRODUCT(B78:J78,'Navy plan'!K78:'Navy plan'!S78)*maint_rate</f>
        <v/>
      </c>
      <c r="R78" s="53">
        <f>SUMPRODUCT(B78:J78,Levers!$C$193:$K$193)*Economy!H78</f>
        <v/>
      </c>
      <c r="S78" s="53">
        <f>SUMPRODUCT(B78:J78,Levers!$C$193:$K$193,Levers!$C$194:$K$194)*(1/oil_fuel-1)*Economy!H78</f>
        <v/>
      </c>
      <c r="T78" s="53">
        <f>S78+O78*sailor_pay*Economy!H78/1000000</f>
        <v/>
      </c>
      <c r="U78" s="53">
        <f>(P78+Q78+R78)*navy_overhead</f>
        <v/>
      </c>
      <c r="V78" s="53">
        <f>L78+P78+Q78+R78+U78</f>
        <v/>
      </c>
      <c r="W78" s="69">
        <f>Japan!I78</f>
        <v/>
      </c>
      <c r="X78" s="53">
        <f>IF($A78&gt;=1927,V78+W78,0)</f>
        <v/>
      </c>
      <c r="Y78" s="53">
        <f>IF($A78&gt;=1927,pac_quota*X78,V78)</f>
        <v/>
      </c>
      <c r="Z78" s="67">
        <f>SUMPRODUCT(B78:J78,Levers!$C$193:$K$193,Levers!$C$194:$K$194)/0.6</f>
        <v/>
      </c>
      <c r="AA78" s="62">
        <f>H78</f>
        <v/>
      </c>
      <c r="AB78" s="47">
        <f>AA78+'Navy plan'!T78</f>
        <v/>
      </c>
      <c r="AC78" s="62">
        <f>'Navy plan'!U78</f>
        <v/>
      </c>
      <c r="AD78" s="62">
        <f>'Navy plan'!V78</f>
        <v/>
      </c>
      <c r="AE78" s="67">
        <f>IF(AC78&gt;0,AB78/AC78,0)</f>
        <v/>
      </c>
    </row>
    <row r="79">
      <c r="A79" s="58" t="n">
        <v>1919</v>
      </c>
      <c r="B79" s="47">
        <f>B78+'Navy plan'!B79-IF($A79-Levers!$C$191&gt;=1846,INDEX('Navy plan'!B$6:B$92,$A79-1845-Levers!$C$191),0)</f>
        <v/>
      </c>
      <c r="C79" s="47">
        <f>C78+'Navy plan'!C79-IF($A79-Levers!$D$191&gt;=1846,INDEX('Navy plan'!C$6:C$92,$A79-1845-Levers!$D$191),0)</f>
        <v/>
      </c>
      <c r="D79" s="47">
        <f>D78+'Navy plan'!D79-IF($A79-Levers!$E$191&gt;=1846,INDEX('Navy plan'!D$6:D$92,$A79-1845-Levers!$E$191),0)</f>
        <v/>
      </c>
      <c r="E79" s="47">
        <f>E78+'Navy plan'!E79-IF($A79-Levers!$F$191&gt;=1846,INDEX('Navy plan'!E$6:E$92,$A79-1845-Levers!$F$191),0)</f>
        <v/>
      </c>
      <c r="F79" s="47">
        <f>F78+'Navy plan'!F79-IF($A79-Levers!$G$191&gt;=1846,INDEX('Navy plan'!F$6:F$92,$A79-1845-Levers!$G$191),0)</f>
        <v/>
      </c>
      <c r="G79" s="47">
        <f>G78+'Navy plan'!G79-IF($A79-Levers!$H$191&gt;=1846,INDEX('Navy plan'!G$6:G$92,$A79-1845-Levers!$H$191),0)</f>
        <v/>
      </c>
      <c r="H79" s="47">
        <f>H78+'Navy plan'!H79-IF($A79-Levers!$I$191&gt;=1846,INDEX('Navy plan'!H$6:H$92,$A79-1845-Levers!$I$191),0)</f>
        <v/>
      </c>
      <c r="I79" s="47">
        <f>I78+'Navy plan'!I79-IF($A79-Levers!$J$191&gt;=1846,INDEX('Navy plan'!I$6:I$92,$A79-1845-Levers!$J$191),0)</f>
        <v/>
      </c>
      <c r="J79" s="47">
        <f>J78+'Navy plan'!J79-IF($A79-Levers!$K$191&gt;=1846,INDEX('Navy plan'!J$6:J$92,$A79-1845-Levers!$K$191),0)</f>
        <v/>
      </c>
      <c r="K79" s="47">
        <f>SUM(B79:J79)</f>
        <v/>
      </c>
      <c r="L79" s="53">
        <f>0.5*SUMPRODUCT('Navy plan'!B79:'Navy plan'!J79,'Navy plan'!K79:'Navy plan'!S79)+0.5*SUMPRODUCT('Navy plan'!B80:'Navy plan'!J80,'Navy plan'!K80:'Navy plan'!S80)</f>
        <v/>
      </c>
      <c r="M79" s="47">
        <f>SUMPRODUCT(B79:J79,Levers!$C$192:$K$192)</f>
        <v/>
      </c>
      <c r="N79" s="47">
        <f>SUMPRODUCT(B79:J79,Levers!$C$195:$K$195)</f>
        <v/>
      </c>
      <c r="O79" s="47">
        <f>N79-M79</f>
        <v/>
      </c>
      <c r="P79" s="53">
        <f>M79*sailor_pay*Economy!H79/1000000</f>
        <v/>
      </c>
      <c r="Q79" s="53">
        <f>SUMPRODUCT(B79:J79,'Navy plan'!K79:'Navy plan'!S79)*maint_rate</f>
        <v/>
      </c>
      <c r="R79" s="53">
        <f>SUMPRODUCT(B79:J79,Levers!$C$193:$K$193)*Economy!H79</f>
        <v/>
      </c>
      <c r="S79" s="53">
        <f>SUMPRODUCT(B79:J79,Levers!$C$193:$K$193,Levers!$C$194:$K$194)*(1/oil_fuel-1)*Economy!H79</f>
        <v/>
      </c>
      <c r="T79" s="53">
        <f>S79+O79*sailor_pay*Economy!H79/1000000</f>
        <v/>
      </c>
      <c r="U79" s="53">
        <f>(P79+Q79+R79)*navy_overhead</f>
        <v/>
      </c>
      <c r="V79" s="53">
        <f>L79+P79+Q79+R79+U79</f>
        <v/>
      </c>
      <c r="W79" s="69">
        <f>Japan!I79</f>
        <v/>
      </c>
      <c r="X79" s="53">
        <f>IF($A79&gt;=1927,V79+W79,0)</f>
        <v/>
      </c>
      <c r="Y79" s="53">
        <f>IF($A79&gt;=1927,pac_quota*X79,V79)</f>
        <v/>
      </c>
      <c r="Z79" s="67">
        <f>SUMPRODUCT(B79:J79,Levers!$C$193:$K$193,Levers!$C$194:$K$194)/0.6</f>
        <v/>
      </c>
      <c r="AA79" s="62">
        <f>H79</f>
        <v/>
      </c>
      <c r="AB79" s="47">
        <f>AA79+'Navy plan'!T79</f>
        <v/>
      </c>
      <c r="AC79" s="62">
        <f>'Navy plan'!U79</f>
        <v/>
      </c>
      <c r="AD79" s="62">
        <f>'Navy plan'!V79</f>
        <v/>
      </c>
      <c r="AE79" s="67">
        <f>IF(AC79&gt;0,AB79/AC79,0)</f>
        <v/>
      </c>
    </row>
    <row r="80">
      <c r="A80" s="58" t="n">
        <v>1920</v>
      </c>
      <c r="B80" s="47">
        <f>B79+'Navy plan'!B80-IF($A80-Levers!$C$191&gt;=1846,INDEX('Navy plan'!B$6:B$92,$A80-1845-Levers!$C$191),0)</f>
        <v/>
      </c>
      <c r="C80" s="47">
        <f>C79+'Navy plan'!C80-IF($A80-Levers!$D$191&gt;=1846,INDEX('Navy plan'!C$6:C$92,$A80-1845-Levers!$D$191),0)</f>
        <v/>
      </c>
      <c r="D80" s="47">
        <f>D79+'Navy plan'!D80-IF($A80-Levers!$E$191&gt;=1846,INDEX('Navy plan'!D$6:D$92,$A80-1845-Levers!$E$191),0)</f>
        <v/>
      </c>
      <c r="E80" s="47">
        <f>E79+'Navy plan'!E80-IF($A80-Levers!$F$191&gt;=1846,INDEX('Navy plan'!E$6:E$92,$A80-1845-Levers!$F$191),0)</f>
        <v/>
      </c>
      <c r="F80" s="47">
        <f>F79+'Navy plan'!F80-IF($A80-Levers!$G$191&gt;=1846,INDEX('Navy plan'!F$6:F$92,$A80-1845-Levers!$G$191),0)</f>
        <v/>
      </c>
      <c r="G80" s="47">
        <f>G79+'Navy plan'!G80-IF($A80-Levers!$H$191&gt;=1846,INDEX('Navy plan'!G$6:G$92,$A80-1845-Levers!$H$191),0)</f>
        <v/>
      </c>
      <c r="H80" s="47">
        <f>H79+'Navy plan'!H80-IF($A80-Levers!$I$191&gt;=1846,INDEX('Navy plan'!H$6:H$92,$A80-1845-Levers!$I$191),0)</f>
        <v/>
      </c>
      <c r="I80" s="47">
        <f>I79+'Navy plan'!I80-IF($A80-Levers!$J$191&gt;=1846,INDEX('Navy plan'!I$6:I$92,$A80-1845-Levers!$J$191),0)</f>
        <v/>
      </c>
      <c r="J80" s="47">
        <f>J79+'Navy plan'!J80-IF($A80-Levers!$K$191&gt;=1846,INDEX('Navy plan'!J$6:J$92,$A80-1845-Levers!$K$191),0)</f>
        <v/>
      </c>
      <c r="K80" s="47">
        <f>SUM(B80:J80)</f>
        <v/>
      </c>
      <c r="L80" s="53">
        <f>0.5*SUMPRODUCT('Navy plan'!B80:'Navy plan'!J80,'Navy plan'!K80:'Navy plan'!S80)+0.5*SUMPRODUCT('Navy plan'!B81:'Navy plan'!J81,'Navy plan'!K81:'Navy plan'!S81)</f>
        <v/>
      </c>
      <c r="M80" s="47">
        <f>SUMPRODUCT(B80:J80,Levers!$C$192:$K$192)</f>
        <v/>
      </c>
      <c r="N80" s="47">
        <f>SUMPRODUCT(B80:J80,Levers!$C$195:$K$195)</f>
        <v/>
      </c>
      <c r="O80" s="47">
        <f>N80-M80</f>
        <v/>
      </c>
      <c r="P80" s="53">
        <f>M80*sailor_pay*Economy!H80/1000000</f>
        <v/>
      </c>
      <c r="Q80" s="53">
        <f>SUMPRODUCT(B80:J80,'Navy plan'!K80:'Navy plan'!S80)*maint_rate</f>
        <v/>
      </c>
      <c r="R80" s="53">
        <f>SUMPRODUCT(B80:J80,Levers!$C$193:$K$193)*Economy!H80</f>
        <v/>
      </c>
      <c r="S80" s="53">
        <f>SUMPRODUCT(B80:J80,Levers!$C$193:$K$193,Levers!$C$194:$K$194)*(1/oil_fuel-1)*Economy!H80</f>
        <v/>
      </c>
      <c r="T80" s="53">
        <f>S80+O80*sailor_pay*Economy!H80/1000000</f>
        <v/>
      </c>
      <c r="U80" s="53">
        <f>(P80+Q80+R80)*navy_overhead</f>
        <v/>
      </c>
      <c r="V80" s="53">
        <f>L80+P80+Q80+R80+U80</f>
        <v/>
      </c>
      <c r="W80" s="69">
        <f>Japan!I80</f>
        <v/>
      </c>
      <c r="X80" s="53">
        <f>IF($A80&gt;=1927,V80+W80,0)</f>
        <v/>
      </c>
      <c r="Y80" s="53">
        <f>IF($A80&gt;=1927,pac_quota*X80,V80)</f>
        <v/>
      </c>
      <c r="Z80" s="67">
        <f>SUMPRODUCT(B80:J80,Levers!$C$193:$K$193,Levers!$C$194:$K$194)/0.6</f>
        <v/>
      </c>
      <c r="AA80" s="62">
        <f>H80</f>
        <v/>
      </c>
      <c r="AB80" s="47">
        <f>AA80+'Navy plan'!T80</f>
        <v/>
      </c>
      <c r="AC80" s="62">
        <f>'Navy plan'!U80</f>
        <v/>
      </c>
      <c r="AD80" s="62">
        <f>'Navy plan'!V80</f>
        <v/>
      </c>
      <c r="AE80" s="67">
        <f>IF(AC80&gt;0,AB80/AC80,0)</f>
        <v/>
      </c>
    </row>
    <row r="81">
      <c r="A81" s="58" t="n">
        <v>1921</v>
      </c>
      <c r="B81" s="47">
        <f>B80+'Navy plan'!B81-IF($A81-Levers!$C$191&gt;=1846,INDEX('Navy plan'!B$6:B$92,$A81-1845-Levers!$C$191),0)</f>
        <v/>
      </c>
      <c r="C81" s="47">
        <f>C80+'Navy plan'!C81-IF($A81-Levers!$D$191&gt;=1846,INDEX('Navy plan'!C$6:C$92,$A81-1845-Levers!$D$191),0)</f>
        <v/>
      </c>
      <c r="D81" s="47">
        <f>D80+'Navy plan'!D81-IF($A81-Levers!$E$191&gt;=1846,INDEX('Navy plan'!D$6:D$92,$A81-1845-Levers!$E$191),0)</f>
        <v/>
      </c>
      <c r="E81" s="47">
        <f>E80+'Navy plan'!E81-IF($A81-Levers!$F$191&gt;=1846,INDEX('Navy plan'!E$6:E$92,$A81-1845-Levers!$F$191),0)</f>
        <v/>
      </c>
      <c r="F81" s="47">
        <f>F80+'Navy plan'!F81-IF($A81-Levers!$G$191&gt;=1846,INDEX('Navy plan'!F$6:F$92,$A81-1845-Levers!$G$191),0)</f>
        <v/>
      </c>
      <c r="G81" s="47">
        <f>G80+'Navy plan'!G81-IF($A81-Levers!$H$191&gt;=1846,INDEX('Navy plan'!G$6:G$92,$A81-1845-Levers!$H$191),0)</f>
        <v/>
      </c>
      <c r="H81" s="47">
        <f>H80+'Navy plan'!H81-IF($A81-Levers!$I$191&gt;=1846,INDEX('Navy plan'!H$6:H$92,$A81-1845-Levers!$I$191),0)</f>
        <v/>
      </c>
      <c r="I81" s="47">
        <f>I80+'Navy plan'!I81-IF($A81-Levers!$J$191&gt;=1846,INDEX('Navy plan'!I$6:I$92,$A81-1845-Levers!$J$191),0)</f>
        <v/>
      </c>
      <c r="J81" s="47">
        <f>J80+'Navy plan'!J81-IF($A81-Levers!$K$191&gt;=1846,INDEX('Navy plan'!J$6:J$92,$A81-1845-Levers!$K$191),0)</f>
        <v/>
      </c>
      <c r="K81" s="47">
        <f>SUM(B81:J81)</f>
        <v/>
      </c>
      <c r="L81" s="53">
        <f>0.5*SUMPRODUCT('Navy plan'!B81:'Navy plan'!J81,'Navy plan'!K81:'Navy plan'!S81)+0.5*SUMPRODUCT('Navy plan'!B82:'Navy plan'!J82,'Navy plan'!K82:'Navy plan'!S82)</f>
        <v/>
      </c>
      <c r="M81" s="47">
        <f>SUMPRODUCT(B81:J81,Levers!$C$192:$K$192)</f>
        <v/>
      </c>
      <c r="N81" s="47">
        <f>SUMPRODUCT(B81:J81,Levers!$C$195:$K$195)</f>
        <v/>
      </c>
      <c r="O81" s="47">
        <f>N81-M81</f>
        <v/>
      </c>
      <c r="P81" s="53">
        <f>M81*sailor_pay*Economy!H81/1000000</f>
        <v/>
      </c>
      <c r="Q81" s="53">
        <f>SUMPRODUCT(B81:J81,'Navy plan'!K81:'Navy plan'!S81)*maint_rate</f>
        <v/>
      </c>
      <c r="R81" s="53">
        <f>SUMPRODUCT(B81:J81,Levers!$C$193:$K$193)*Economy!H81</f>
        <v/>
      </c>
      <c r="S81" s="53">
        <f>SUMPRODUCT(B81:J81,Levers!$C$193:$K$193,Levers!$C$194:$K$194)*(1/oil_fuel-1)*Economy!H81</f>
        <v/>
      </c>
      <c r="T81" s="53">
        <f>S81+O81*sailor_pay*Economy!H81/1000000</f>
        <v/>
      </c>
      <c r="U81" s="53">
        <f>(P81+Q81+R81)*navy_overhead</f>
        <v/>
      </c>
      <c r="V81" s="53">
        <f>L81+P81+Q81+R81+U81</f>
        <v/>
      </c>
      <c r="W81" s="69">
        <f>Japan!I81</f>
        <v/>
      </c>
      <c r="X81" s="53">
        <f>IF($A81&gt;=1927,V81+W81,0)</f>
        <v/>
      </c>
      <c r="Y81" s="53">
        <f>IF($A81&gt;=1927,pac_quota*X81,V81)</f>
        <v/>
      </c>
      <c r="Z81" s="67">
        <f>SUMPRODUCT(B81:J81,Levers!$C$193:$K$193,Levers!$C$194:$K$194)/0.6</f>
        <v/>
      </c>
      <c r="AA81" s="62">
        <f>H81</f>
        <v/>
      </c>
      <c r="AB81" s="47">
        <f>AA81+'Navy plan'!T81</f>
        <v/>
      </c>
      <c r="AC81" s="62">
        <f>'Navy plan'!U81</f>
        <v/>
      </c>
      <c r="AD81" s="62">
        <f>'Navy plan'!V81</f>
        <v/>
      </c>
      <c r="AE81" s="67">
        <f>IF(AC81&gt;0,AB81/AC81,0)</f>
        <v/>
      </c>
    </row>
    <row r="82">
      <c r="A82" s="58" t="n">
        <v>1922</v>
      </c>
      <c r="B82" s="47">
        <f>B81+'Navy plan'!B82-IF($A82-Levers!$C$191&gt;=1846,INDEX('Navy plan'!B$6:B$92,$A82-1845-Levers!$C$191),0)</f>
        <v/>
      </c>
      <c r="C82" s="47">
        <f>C81+'Navy plan'!C82-IF($A82-Levers!$D$191&gt;=1846,INDEX('Navy plan'!C$6:C$92,$A82-1845-Levers!$D$191),0)</f>
        <v/>
      </c>
      <c r="D82" s="47">
        <f>D81+'Navy plan'!D82-IF($A82-Levers!$E$191&gt;=1846,INDEX('Navy plan'!D$6:D$92,$A82-1845-Levers!$E$191),0)</f>
        <v/>
      </c>
      <c r="E82" s="47">
        <f>E81+'Navy plan'!E82-IF($A82-Levers!$F$191&gt;=1846,INDEX('Navy plan'!E$6:E$92,$A82-1845-Levers!$F$191),0)</f>
        <v/>
      </c>
      <c r="F82" s="47">
        <f>F81+'Navy plan'!F82-IF($A82-Levers!$G$191&gt;=1846,INDEX('Navy plan'!F$6:F$92,$A82-1845-Levers!$G$191),0)</f>
        <v/>
      </c>
      <c r="G82" s="47">
        <f>G81+'Navy plan'!G82-IF($A82-Levers!$H$191&gt;=1846,INDEX('Navy plan'!G$6:G$92,$A82-1845-Levers!$H$191),0)</f>
        <v/>
      </c>
      <c r="H82" s="47">
        <f>H81+'Navy plan'!H82-IF($A82-Levers!$I$191&gt;=1846,INDEX('Navy plan'!H$6:H$92,$A82-1845-Levers!$I$191),0)</f>
        <v/>
      </c>
      <c r="I82" s="47">
        <f>I81+'Navy plan'!I82-IF($A82-Levers!$J$191&gt;=1846,INDEX('Navy plan'!I$6:I$92,$A82-1845-Levers!$J$191),0)</f>
        <v/>
      </c>
      <c r="J82" s="47">
        <f>J81+'Navy plan'!J82-IF($A82-Levers!$K$191&gt;=1846,INDEX('Navy plan'!J$6:J$92,$A82-1845-Levers!$K$191),0)</f>
        <v/>
      </c>
      <c r="K82" s="47">
        <f>SUM(B82:J82)</f>
        <v/>
      </c>
      <c r="L82" s="53">
        <f>0.5*SUMPRODUCT('Navy plan'!B82:'Navy plan'!J82,'Navy plan'!K82:'Navy plan'!S82)+0.5*SUMPRODUCT('Navy plan'!B83:'Navy plan'!J83,'Navy plan'!K83:'Navy plan'!S83)</f>
        <v/>
      </c>
      <c r="M82" s="47">
        <f>SUMPRODUCT(B82:J82,Levers!$C$192:$K$192)</f>
        <v/>
      </c>
      <c r="N82" s="47">
        <f>SUMPRODUCT(B82:J82,Levers!$C$195:$K$195)</f>
        <v/>
      </c>
      <c r="O82" s="47">
        <f>N82-M82</f>
        <v/>
      </c>
      <c r="P82" s="53">
        <f>M82*sailor_pay*Economy!H82/1000000</f>
        <v/>
      </c>
      <c r="Q82" s="53">
        <f>SUMPRODUCT(B82:J82,'Navy plan'!K82:'Navy plan'!S82)*maint_rate</f>
        <v/>
      </c>
      <c r="R82" s="53">
        <f>SUMPRODUCT(B82:J82,Levers!$C$193:$K$193)*Economy!H82</f>
        <v/>
      </c>
      <c r="S82" s="53">
        <f>SUMPRODUCT(B82:J82,Levers!$C$193:$K$193,Levers!$C$194:$K$194)*(1/oil_fuel-1)*Economy!H82</f>
        <v/>
      </c>
      <c r="T82" s="53">
        <f>S82+O82*sailor_pay*Economy!H82/1000000</f>
        <v/>
      </c>
      <c r="U82" s="53">
        <f>(P82+Q82+R82)*navy_overhead</f>
        <v/>
      </c>
      <c r="V82" s="53">
        <f>L82+P82+Q82+R82+U82</f>
        <v/>
      </c>
      <c r="W82" s="69">
        <f>Japan!I82</f>
        <v/>
      </c>
      <c r="X82" s="53">
        <f>IF($A82&gt;=1927,V82+W82,0)</f>
        <v/>
      </c>
      <c r="Y82" s="53">
        <f>IF($A82&gt;=1927,pac_quota*X82,V82)</f>
        <v/>
      </c>
      <c r="Z82" s="67">
        <f>SUMPRODUCT(B82:J82,Levers!$C$193:$K$193,Levers!$C$194:$K$194)/0.6</f>
        <v/>
      </c>
      <c r="AA82" s="62">
        <f>H82</f>
        <v/>
      </c>
      <c r="AB82" s="47">
        <f>AA82+'Navy plan'!T82</f>
        <v/>
      </c>
      <c r="AC82" s="62">
        <f>'Navy plan'!U82</f>
        <v/>
      </c>
      <c r="AD82" s="62">
        <f>'Navy plan'!V82</f>
        <v/>
      </c>
      <c r="AE82" s="67">
        <f>IF(AC82&gt;0,AB82/AC82,0)</f>
        <v/>
      </c>
    </row>
    <row r="83">
      <c r="A83" s="58" t="n">
        <v>1923</v>
      </c>
      <c r="B83" s="47">
        <f>B82+'Navy plan'!B83-IF($A83-Levers!$C$191&gt;=1846,INDEX('Navy plan'!B$6:B$92,$A83-1845-Levers!$C$191),0)</f>
        <v/>
      </c>
      <c r="C83" s="47">
        <f>C82+'Navy plan'!C83-IF($A83-Levers!$D$191&gt;=1846,INDEX('Navy plan'!C$6:C$92,$A83-1845-Levers!$D$191),0)</f>
        <v/>
      </c>
      <c r="D83" s="47">
        <f>D82+'Navy plan'!D83-IF($A83-Levers!$E$191&gt;=1846,INDEX('Navy plan'!D$6:D$92,$A83-1845-Levers!$E$191),0)</f>
        <v/>
      </c>
      <c r="E83" s="47">
        <f>E82+'Navy plan'!E83-IF($A83-Levers!$F$191&gt;=1846,INDEX('Navy plan'!E$6:E$92,$A83-1845-Levers!$F$191),0)</f>
        <v/>
      </c>
      <c r="F83" s="47">
        <f>F82+'Navy plan'!F83-IF($A83-Levers!$G$191&gt;=1846,INDEX('Navy plan'!F$6:F$92,$A83-1845-Levers!$G$191),0)</f>
        <v/>
      </c>
      <c r="G83" s="47">
        <f>G82+'Navy plan'!G83-IF($A83-Levers!$H$191&gt;=1846,INDEX('Navy plan'!G$6:G$92,$A83-1845-Levers!$H$191),0)</f>
        <v/>
      </c>
      <c r="H83" s="47">
        <f>H82+'Navy plan'!H83-IF($A83-Levers!$I$191&gt;=1846,INDEX('Navy plan'!H$6:H$92,$A83-1845-Levers!$I$191),0)</f>
        <v/>
      </c>
      <c r="I83" s="47">
        <f>I82+'Navy plan'!I83-IF($A83-Levers!$J$191&gt;=1846,INDEX('Navy plan'!I$6:I$92,$A83-1845-Levers!$J$191),0)</f>
        <v/>
      </c>
      <c r="J83" s="47">
        <f>J82+'Navy plan'!J83-IF($A83-Levers!$K$191&gt;=1846,INDEX('Navy plan'!J$6:J$92,$A83-1845-Levers!$K$191),0)</f>
        <v/>
      </c>
      <c r="K83" s="47">
        <f>SUM(B83:J83)</f>
        <v/>
      </c>
      <c r="L83" s="53">
        <f>0.5*SUMPRODUCT('Navy plan'!B83:'Navy plan'!J83,'Navy plan'!K83:'Navy plan'!S83)+0.5*SUMPRODUCT('Navy plan'!B84:'Navy plan'!J84,'Navy plan'!K84:'Navy plan'!S84)</f>
        <v/>
      </c>
      <c r="M83" s="47">
        <f>SUMPRODUCT(B83:J83,Levers!$C$192:$K$192)</f>
        <v/>
      </c>
      <c r="N83" s="47">
        <f>SUMPRODUCT(B83:J83,Levers!$C$195:$K$195)</f>
        <v/>
      </c>
      <c r="O83" s="47">
        <f>N83-M83</f>
        <v/>
      </c>
      <c r="P83" s="53">
        <f>M83*sailor_pay*Economy!H83/1000000</f>
        <v/>
      </c>
      <c r="Q83" s="53">
        <f>SUMPRODUCT(B83:J83,'Navy plan'!K83:'Navy plan'!S83)*maint_rate</f>
        <v/>
      </c>
      <c r="R83" s="53">
        <f>SUMPRODUCT(B83:J83,Levers!$C$193:$K$193)*Economy!H83</f>
        <v/>
      </c>
      <c r="S83" s="53">
        <f>SUMPRODUCT(B83:J83,Levers!$C$193:$K$193,Levers!$C$194:$K$194)*(1/oil_fuel-1)*Economy!H83</f>
        <v/>
      </c>
      <c r="T83" s="53">
        <f>S83+O83*sailor_pay*Economy!H83/1000000</f>
        <v/>
      </c>
      <c r="U83" s="53">
        <f>(P83+Q83+R83)*navy_overhead</f>
        <v/>
      </c>
      <c r="V83" s="53">
        <f>L83+P83+Q83+R83+U83</f>
        <v/>
      </c>
      <c r="W83" s="69">
        <f>Japan!I83</f>
        <v/>
      </c>
      <c r="X83" s="53">
        <f>IF($A83&gt;=1927,V83+W83,0)</f>
        <v/>
      </c>
      <c r="Y83" s="53">
        <f>IF($A83&gt;=1927,pac_quota*X83,V83)</f>
        <v/>
      </c>
      <c r="Z83" s="67">
        <f>SUMPRODUCT(B83:J83,Levers!$C$193:$K$193,Levers!$C$194:$K$194)/0.6</f>
        <v/>
      </c>
      <c r="AA83" s="62">
        <f>H83</f>
        <v/>
      </c>
      <c r="AB83" s="47">
        <f>AA83+'Navy plan'!T83</f>
        <v/>
      </c>
      <c r="AC83" s="62">
        <f>'Navy plan'!U83</f>
        <v/>
      </c>
      <c r="AD83" s="62">
        <f>'Navy plan'!V83</f>
        <v/>
      </c>
      <c r="AE83" s="67">
        <f>IF(AC83&gt;0,AB83/AC83,0)</f>
        <v/>
      </c>
    </row>
    <row r="84">
      <c r="A84" s="58" t="n">
        <v>1924</v>
      </c>
      <c r="B84" s="47">
        <f>B83+'Navy plan'!B84-IF($A84-Levers!$C$191&gt;=1846,INDEX('Navy plan'!B$6:B$92,$A84-1845-Levers!$C$191),0)</f>
        <v/>
      </c>
      <c r="C84" s="47">
        <f>C83+'Navy plan'!C84-IF($A84-Levers!$D$191&gt;=1846,INDEX('Navy plan'!C$6:C$92,$A84-1845-Levers!$D$191),0)</f>
        <v/>
      </c>
      <c r="D84" s="47">
        <f>D83+'Navy plan'!D84-IF($A84-Levers!$E$191&gt;=1846,INDEX('Navy plan'!D$6:D$92,$A84-1845-Levers!$E$191),0)</f>
        <v/>
      </c>
      <c r="E84" s="47">
        <f>E83+'Navy plan'!E84-IF($A84-Levers!$F$191&gt;=1846,INDEX('Navy plan'!E$6:E$92,$A84-1845-Levers!$F$191),0)</f>
        <v/>
      </c>
      <c r="F84" s="47">
        <f>F83+'Navy plan'!F84-IF($A84-Levers!$G$191&gt;=1846,INDEX('Navy plan'!F$6:F$92,$A84-1845-Levers!$G$191),0)</f>
        <v/>
      </c>
      <c r="G84" s="47">
        <f>G83+'Navy plan'!G84-IF($A84-Levers!$H$191&gt;=1846,INDEX('Navy plan'!G$6:G$92,$A84-1845-Levers!$H$191),0)</f>
        <v/>
      </c>
      <c r="H84" s="47">
        <f>H83+'Navy plan'!H84-IF($A84-Levers!$I$191&gt;=1846,INDEX('Navy plan'!H$6:H$92,$A84-1845-Levers!$I$191),0)</f>
        <v/>
      </c>
      <c r="I84" s="47">
        <f>I83+'Navy plan'!I84-IF($A84-Levers!$J$191&gt;=1846,INDEX('Navy plan'!I$6:I$92,$A84-1845-Levers!$J$191),0)</f>
        <v/>
      </c>
      <c r="J84" s="47">
        <f>J83+'Navy plan'!J84-IF($A84-Levers!$K$191&gt;=1846,INDEX('Navy plan'!J$6:J$92,$A84-1845-Levers!$K$191),0)</f>
        <v/>
      </c>
      <c r="K84" s="47">
        <f>SUM(B84:J84)</f>
        <v/>
      </c>
      <c r="L84" s="53">
        <f>0.5*SUMPRODUCT('Navy plan'!B84:'Navy plan'!J84,'Navy plan'!K84:'Navy plan'!S84)+0.5*SUMPRODUCT('Navy plan'!B85:'Navy plan'!J85,'Navy plan'!K85:'Navy plan'!S85)</f>
        <v/>
      </c>
      <c r="M84" s="47">
        <f>SUMPRODUCT(B84:J84,Levers!$C$192:$K$192)</f>
        <v/>
      </c>
      <c r="N84" s="47">
        <f>SUMPRODUCT(B84:J84,Levers!$C$195:$K$195)</f>
        <v/>
      </c>
      <c r="O84" s="47">
        <f>N84-M84</f>
        <v/>
      </c>
      <c r="P84" s="53">
        <f>M84*sailor_pay*Economy!H84/1000000</f>
        <v/>
      </c>
      <c r="Q84" s="53">
        <f>SUMPRODUCT(B84:J84,'Navy plan'!K84:'Navy plan'!S84)*maint_rate</f>
        <v/>
      </c>
      <c r="R84" s="53">
        <f>SUMPRODUCT(B84:J84,Levers!$C$193:$K$193)*Economy!H84</f>
        <v/>
      </c>
      <c r="S84" s="53">
        <f>SUMPRODUCT(B84:J84,Levers!$C$193:$K$193,Levers!$C$194:$K$194)*(1/oil_fuel-1)*Economy!H84</f>
        <v/>
      </c>
      <c r="T84" s="53">
        <f>S84+O84*sailor_pay*Economy!H84/1000000</f>
        <v/>
      </c>
      <c r="U84" s="53">
        <f>(P84+Q84+R84)*navy_overhead</f>
        <v/>
      </c>
      <c r="V84" s="53">
        <f>L84+P84+Q84+R84+U84</f>
        <v/>
      </c>
      <c r="W84" s="69">
        <f>Japan!I84</f>
        <v/>
      </c>
      <c r="X84" s="53">
        <f>IF($A84&gt;=1927,V84+W84,0)</f>
        <v/>
      </c>
      <c r="Y84" s="53">
        <f>IF($A84&gt;=1927,pac_quota*X84,V84)</f>
        <v/>
      </c>
      <c r="Z84" s="67">
        <f>SUMPRODUCT(B84:J84,Levers!$C$193:$K$193,Levers!$C$194:$K$194)/0.6</f>
        <v/>
      </c>
      <c r="AA84" s="62">
        <f>H84</f>
        <v/>
      </c>
      <c r="AB84" s="47">
        <f>AA84+'Navy plan'!T84</f>
        <v/>
      </c>
      <c r="AC84" s="62">
        <f>'Navy plan'!U84</f>
        <v/>
      </c>
      <c r="AD84" s="62">
        <f>'Navy plan'!V84</f>
        <v/>
      </c>
      <c r="AE84" s="67">
        <f>IF(AC84&gt;0,AB84/AC84,0)</f>
        <v/>
      </c>
    </row>
    <row r="85">
      <c r="A85" s="58" t="n">
        <v>1925</v>
      </c>
      <c r="B85" s="47">
        <f>B84+'Navy plan'!B85-IF($A85-Levers!$C$191&gt;=1846,INDEX('Navy plan'!B$6:B$92,$A85-1845-Levers!$C$191),0)</f>
        <v/>
      </c>
      <c r="C85" s="47">
        <f>C84+'Navy plan'!C85-IF($A85-Levers!$D$191&gt;=1846,INDEX('Navy plan'!C$6:C$92,$A85-1845-Levers!$D$191),0)</f>
        <v/>
      </c>
      <c r="D85" s="47">
        <f>D84+'Navy plan'!D85-IF($A85-Levers!$E$191&gt;=1846,INDEX('Navy plan'!D$6:D$92,$A85-1845-Levers!$E$191),0)</f>
        <v/>
      </c>
      <c r="E85" s="47">
        <f>E84+'Navy plan'!E85-IF($A85-Levers!$F$191&gt;=1846,INDEX('Navy plan'!E$6:E$92,$A85-1845-Levers!$F$191),0)</f>
        <v/>
      </c>
      <c r="F85" s="47">
        <f>F84+'Navy plan'!F85-IF($A85-Levers!$G$191&gt;=1846,INDEX('Navy plan'!F$6:F$92,$A85-1845-Levers!$G$191),0)</f>
        <v/>
      </c>
      <c r="G85" s="47">
        <f>G84+'Navy plan'!G85-IF($A85-Levers!$H$191&gt;=1846,INDEX('Navy plan'!G$6:G$92,$A85-1845-Levers!$H$191),0)</f>
        <v/>
      </c>
      <c r="H85" s="47">
        <f>H84+'Navy plan'!H85-IF($A85-Levers!$I$191&gt;=1846,INDEX('Navy plan'!H$6:H$92,$A85-1845-Levers!$I$191),0)</f>
        <v/>
      </c>
      <c r="I85" s="47">
        <f>I84+'Navy plan'!I85-IF($A85-Levers!$J$191&gt;=1846,INDEX('Navy plan'!I$6:I$92,$A85-1845-Levers!$J$191),0)</f>
        <v/>
      </c>
      <c r="J85" s="47">
        <f>J84+'Navy plan'!J85-IF($A85-Levers!$K$191&gt;=1846,INDEX('Navy plan'!J$6:J$92,$A85-1845-Levers!$K$191),0)</f>
        <v/>
      </c>
      <c r="K85" s="47">
        <f>SUM(B85:J85)</f>
        <v/>
      </c>
      <c r="L85" s="53">
        <f>0.5*SUMPRODUCT('Navy plan'!B85:'Navy plan'!J85,'Navy plan'!K85:'Navy plan'!S85)+0.5*SUMPRODUCT('Navy plan'!B86:'Navy plan'!J86,'Navy plan'!K86:'Navy plan'!S86)</f>
        <v/>
      </c>
      <c r="M85" s="47">
        <f>SUMPRODUCT(B85:J85,Levers!$C$192:$K$192)</f>
        <v/>
      </c>
      <c r="N85" s="47">
        <f>SUMPRODUCT(B85:J85,Levers!$C$195:$K$195)</f>
        <v/>
      </c>
      <c r="O85" s="47">
        <f>N85-M85</f>
        <v/>
      </c>
      <c r="P85" s="53">
        <f>M85*sailor_pay*Economy!H85/1000000</f>
        <v/>
      </c>
      <c r="Q85" s="53">
        <f>SUMPRODUCT(B85:J85,'Navy plan'!K85:'Navy plan'!S85)*maint_rate</f>
        <v/>
      </c>
      <c r="R85" s="53">
        <f>SUMPRODUCT(B85:J85,Levers!$C$193:$K$193)*Economy!H85</f>
        <v/>
      </c>
      <c r="S85" s="53">
        <f>SUMPRODUCT(B85:J85,Levers!$C$193:$K$193,Levers!$C$194:$K$194)*(1/oil_fuel-1)*Economy!H85</f>
        <v/>
      </c>
      <c r="T85" s="53">
        <f>S85+O85*sailor_pay*Economy!H85/1000000</f>
        <v/>
      </c>
      <c r="U85" s="53">
        <f>(P85+Q85+R85)*navy_overhead</f>
        <v/>
      </c>
      <c r="V85" s="53">
        <f>L85+P85+Q85+R85+U85</f>
        <v/>
      </c>
      <c r="W85" s="69">
        <f>Japan!I85</f>
        <v/>
      </c>
      <c r="X85" s="53">
        <f>IF($A85&gt;=1927,V85+W85,0)</f>
        <v/>
      </c>
      <c r="Y85" s="53">
        <f>IF($A85&gt;=1927,pac_quota*X85,V85)</f>
        <v/>
      </c>
      <c r="Z85" s="67">
        <f>SUMPRODUCT(B85:J85,Levers!$C$193:$K$193,Levers!$C$194:$K$194)/0.6</f>
        <v/>
      </c>
      <c r="AA85" s="62">
        <f>H85</f>
        <v/>
      </c>
      <c r="AB85" s="47">
        <f>AA85+'Navy plan'!T85</f>
        <v/>
      </c>
      <c r="AC85" s="62">
        <f>'Navy plan'!U85</f>
        <v/>
      </c>
      <c r="AD85" s="62">
        <f>'Navy plan'!V85</f>
        <v/>
      </c>
      <c r="AE85" s="67">
        <f>IF(AC85&gt;0,AB85/AC85,0)</f>
        <v/>
      </c>
    </row>
    <row r="86">
      <c r="A86" s="58" t="n">
        <v>1926</v>
      </c>
      <c r="B86" s="47">
        <f>B85+'Navy plan'!B86-IF($A86-Levers!$C$191&gt;=1846,INDEX('Navy plan'!B$6:B$92,$A86-1845-Levers!$C$191),0)</f>
        <v/>
      </c>
      <c r="C86" s="47">
        <f>C85+'Navy plan'!C86-IF($A86-Levers!$D$191&gt;=1846,INDEX('Navy plan'!C$6:C$92,$A86-1845-Levers!$D$191),0)</f>
        <v/>
      </c>
      <c r="D86" s="47">
        <f>D85+'Navy plan'!D86-IF($A86-Levers!$E$191&gt;=1846,INDEX('Navy plan'!D$6:D$92,$A86-1845-Levers!$E$191),0)</f>
        <v/>
      </c>
      <c r="E86" s="47">
        <f>E85+'Navy plan'!E86-IF($A86-Levers!$F$191&gt;=1846,INDEX('Navy plan'!E$6:E$92,$A86-1845-Levers!$F$191),0)</f>
        <v/>
      </c>
      <c r="F86" s="47">
        <f>F85+'Navy plan'!F86-IF($A86-Levers!$G$191&gt;=1846,INDEX('Navy plan'!F$6:F$92,$A86-1845-Levers!$G$191),0)</f>
        <v/>
      </c>
      <c r="G86" s="47">
        <f>G85+'Navy plan'!G86-IF($A86-Levers!$H$191&gt;=1846,INDEX('Navy plan'!G$6:G$92,$A86-1845-Levers!$H$191),0)</f>
        <v/>
      </c>
      <c r="H86" s="47">
        <f>H85+'Navy plan'!H86-IF($A86-Levers!$I$191&gt;=1846,INDEX('Navy plan'!H$6:H$92,$A86-1845-Levers!$I$191),0)</f>
        <v/>
      </c>
      <c r="I86" s="47">
        <f>I85+'Navy plan'!I86-IF($A86-Levers!$J$191&gt;=1846,INDEX('Navy plan'!I$6:I$92,$A86-1845-Levers!$J$191),0)</f>
        <v/>
      </c>
      <c r="J86" s="47">
        <f>J85+'Navy plan'!J86-IF($A86-Levers!$K$191&gt;=1846,INDEX('Navy plan'!J$6:J$92,$A86-1845-Levers!$K$191),0)</f>
        <v/>
      </c>
      <c r="K86" s="47">
        <f>SUM(B86:J86)</f>
        <v/>
      </c>
      <c r="L86" s="53">
        <f>0.5*SUMPRODUCT('Navy plan'!B86:'Navy plan'!J86,'Navy plan'!K86:'Navy plan'!S86)+0.5*SUMPRODUCT('Navy plan'!B87:'Navy plan'!J87,'Navy plan'!K87:'Navy plan'!S87)</f>
        <v/>
      </c>
      <c r="M86" s="47">
        <f>SUMPRODUCT(B86:J86,Levers!$C$192:$K$192)</f>
        <v/>
      </c>
      <c r="N86" s="47">
        <f>SUMPRODUCT(B86:J86,Levers!$C$195:$K$195)</f>
        <v/>
      </c>
      <c r="O86" s="47">
        <f>N86-M86</f>
        <v/>
      </c>
      <c r="P86" s="53">
        <f>M86*sailor_pay*Economy!H86/1000000</f>
        <v/>
      </c>
      <c r="Q86" s="53">
        <f>SUMPRODUCT(B86:J86,'Navy plan'!K86:'Navy plan'!S86)*maint_rate</f>
        <v/>
      </c>
      <c r="R86" s="53">
        <f>SUMPRODUCT(B86:J86,Levers!$C$193:$K$193)*Economy!H86</f>
        <v/>
      </c>
      <c r="S86" s="53">
        <f>SUMPRODUCT(B86:J86,Levers!$C$193:$K$193,Levers!$C$194:$K$194)*(1/oil_fuel-1)*Economy!H86</f>
        <v/>
      </c>
      <c r="T86" s="53">
        <f>S86+O86*sailor_pay*Economy!H86/1000000</f>
        <v/>
      </c>
      <c r="U86" s="53">
        <f>(P86+Q86+R86)*navy_overhead</f>
        <v/>
      </c>
      <c r="V86" s="53">
        <f>L86+P86+Q86+R86+U86</f>
        <v/>
      </c>
      <c r="W86" s="69">
        <f>Japan!I86</f>
        <v/>
      </c>
      <c r="X86" s="53">
        <f>IF($A86&gt;=1927,V86+W86,0)</f>
        <v/>
      </c>
      <c r="Y86" s="53">
        <f>IF($A86&gt;=1927,pac_quota*X86,V86)</f>
        <v/>
      </c>
      <c r="Z86" s="67">
        <f>SUMPRODUCT(B86:J86,Levers!$C$193:$K$193,Levers!$C$194:$K$194)/0.6</f>
        <v/>
      </c>
      <c r="AA86" s="62">
        <f>H86</f>
        <v/>
      </c>
      <c r="AB86" s="47">
        <f>AA86+'Navy plan'!T86</f>
        <v/>
      </c>
      <c r="AC86" s="62">
        <f>'Navy plan'!U86</f>
        <v/>
      </c>
      <c r="AD86" s="62">
        <f>'Navy plan'!V86</f>
        <v/>
      </c>
      <c r="AE86" s="67">
        <f>IF(AC86&gt;0,AB86/AC86,0)</f>
        <v/>
      </c>
    </row>
    <row r="87">
      <c r="A87" s="58" t="n">
        <v>1927</v>
      </c>
      <c r="B87" s="47">
        <f>B86+'Navy plan'!B87-IF($A87-Levers!$C$191&gt;=1846,INDEX('Navy plan'!B$6:B$92,$A87-1845-Levers!$C$191),0)</f>
        <v/>
      </c>
      <c r="C87" s="47">
        <f>C86+'Navy plan'!C87-IF($A87-Levers!$D$191&gt;=1846,INDEX('Navy plan'!C$6:C$92,$A87-1845-Levers!$D$191),0)</f>
        <v/>
      </c>
      <c r="D87" s="47">
        <f>D86+'Navy plan'!D87-IF($A87-Levers!$E$191&gt;=1846,INDEX('Navy plan'!D$6:D$92,$A87-1845-Levers!$E$191),0)</f>
        <v/>
      </c>
      <c r="E87" s="47">
        <f>E86+'Navy plan'!E87-IF($A87-Levers!$F$191&gt;=1846,INDEX('Navy plan'!E$6:E$92,$A87-1845-Levers!$F$191),0)</f>
        <v/>
      </c>
      <c r="F87" s="47">
        <f>F86+'Navy plan'!F87-IF($A87-Levers!$G$191&gt;=1846,INDEX('Navy plan'!F$6:F$92,$A87-1845-Levers!$G$191),0)</f>
        <v/>
      </c>
      <c r="G87" s="47">
        <f>G86+'Navy plan'!G87-IF($A87-Levers!$H$191&gt;=1846,INDEX('Navy plan'!G$6:G$92,$A87-1845-Levers!$H$191),0)</f>
        <v/>
      </c>
      <c r="H87" s="47">
        <f>H86+'Navy plan'!H87-IF($A87-Levers!$I$191&gt;=1846,INDEX('Navy plan'!H$6:H$92,$A87-1845-Levers!$I$191),0)</f>
        <v/>
      </c>
      <c r="I87" s="47">
        <f>I86+'Navy plan'!I87-IF($A87-Levers!$J$191&gt;=1846,INDEX('Navy plan'!I$6:I$92,$A87-1845-Levers!$J$191),0)</f>
        <v/>
      </c>
      <c r="J87" s="47">
        <f>J86+'Navy plan'!J87-IF($A87-Levers!$K$191&gt;=1846,INDEX('Navy plan'!J$6:J$92,$A87-1845-Levers!$K$191),0)</f>
        <v/>
      </c>
      <c r="K87" s="47">
        <f>SUM(B87:J87)</f>
        <v/>
      </c>
      <c r="L87" s="53">
        <f>0.5*SUMPRODUCT('Navy plan'!B87:'Navy plan'!J87,'Navy plan'!K87:'Navy plan'!S87)+0.5*SUMPRODUCT('Navy plan'!B88:'Navy plan'!J88,'Navy plan'!K88:'Navy plan'!S88)</f>
        <v/>
      </c>
      <c r="M87" s="47">
        <f>SUMPRODUCT(B87:J87,Levers!$C$192:$K$192)</f>
        <v/>
      </c>
      <c r="N87" s="47">
        <f>SUMPRODUCT(B87:J87,Levers!$C$195:$K$195)</f>
        <v/>
      </c>
      <c r="O87" s="47">
        <f>N87-M87</f>
        <v/>
      </c>
      <c r="P87" s="53">
        <f>M87*sailor_pay*Economy!H87/1000000</f>
        <v/>
      </c>
      <c r="Q87" s="53">
        <f>SUMPRODUCT(B87:J87,'Navy plan'!K87:'Navy plan'!S87)*maint_rate</f>
        <v/>
      </c>
      <c r="R87" s="53">
        <f>SUMPRODUCT(B87:J87,Levers!$C$193:$K$193)*Economy!H87</f>
        <v/>
      </c>
      <c r="S87" s="53">
        <f>SUMPRODUCT(B87:J87,Levers!$C$193:$K$193,Levers!$C$194:$K$194)*(1/oil_fuel-1)*Economy!H87</f>
        <v/>
      </c>
      <c r="T87" s="53">
        <f>S87+O87*sailor_pay*Economy!H87/1000000</f>
        <v/>
      </c>
      <c r="U87" s="53">
        <f>(P87+Q87+R87)*navy_overhead</f>
        <v/>
      </c>
      <c r="V87" s="53">
        <f>L87+P87+Q87+R87+U87</f>
        <v/>
      </c>
      <c r="W87" s="69">
        <f>Japan!I87</f>
        <v/>
      </c>
      <c r="X87" s="53">
        <f>IF($A87&gt;=1927,V87+W87,0)</f>
        <v/>
      </c>
      <c r="Y87" s="53">
        <f>IF($A87&gt;=1927,pac_quota*X87,V87)</f>
        <v/>
      </c>
      <c r="Z87" s="67">
        <f>SUMPRODUCT(B87:J87,Levers!$C$193:$K$193,Levers!$C$194:$K$194)/0.6</f>
        <v/>
      </c>
      <c r="AA87" s="62">
        <f>H87</f>
        <v/>
      </c>
      <c r="AB87" s="47">
        <f>AA87+'Navy plan'!T87</f>
        <v/>
      </c>
      <c r="AC87" s="62">
        <f>'Navy plan'!U87</f>
        <v/>
      </c>
      <c r="AD87" s="62">
        <f>'Navy plan'!V87</f>
        <v/>
      </c>
      <c r="AE87" s="67">
        <f>IF(AC87&gt;0,AB87/AC87,0)</f>
        <v/>
      </c>
    </row>
    <row r="88">
      <c r="A88" s="58" t="n">
        <v>1928</v>
      </c>
      <c r="B88" s="47">
        <f>B87+'Navy plan'!B88-IF($A88-Levers!$C$191&gt;=1846,INDEX('Navy plan'!B$6:B$92,$A88-1845-Levers!$C$191),0)</f>
        <v/>
      </c>
      <c r="C88" s="47">
        <f>C87+'Navy plan'!C88-IF($A88-Levers!$D$191&gt;=1846,INDEX('Navy plan'!C$6:C$92,$A88-1845-Levers!$D$191),0)</f>
        <v/>
      </c>
      <c r="D88" s="47">
        <f>D87+'Navy plan'!D88-IF($A88-Levers!$E$191&gt;=1846,INDEX('Navy plan'!D$6:D$92,$A88-1845-Levers!$E$191),0)</f>
        <v/>
      </c>
      <c r="E88" s="47">
        <f>E87+'Navy plan'!E88-IF($A88-Levers!$F$191&gt;=1846,INDEX('Navy plan'!E$6:E$92,$A88-1845-Levers!$F$191),0)</f>
        <v/>
      </c>
      <c r="F88" s="47">
        <f>F87+'Navy plan'!F88-IF($A88-Levers!$G$191&gt;=1846,INDEX('Navy plan'!F$6:F$92,$A88-1845-Levers!$G$191),0)</f>
        <v/>
      </c>
      <c r="G88" s="47">
        <f>G87+'Navy plan'!G88-IF($A88-Levers!$H$191&gt;=1846,INDEX('Navy plan'!G$6:G$92,$A88-1845-Levers!$H$191),0)</f>
        <v/>
      </c>
      <c r="H88" s="47">
        <f>H87+'Navy plan'!H88-IF($A88-Levers!$I$191&gt;=1846,INDEX('Navy plan'!H$6:H$92,$A88-1845-Levers!$I$191),0)</f>
        <v/>
      </c>
      <c r="I88" s="47">
        <f>I87+'Navy plan'!I88-IF($A88-Levers!$J$191&gt;=1846,INDEX('Navy plan'!I$6:I$92,$A88-1845-Levers!$J$191),0)</f>
        <v/>
      </c>
      <c r="J88" s="47">
        <f>J87+'Navy plan'!J88-IF($A88-Levers!$K$191&gt;=1846,INDEX('Navy plan'!J$6:J$92,$A88-1845-Levers!$K$191),0)</f>
        <v/>
      </c>
      <c r="K88" s="47">
        <f>SUM(B88:J88)</f>
        <v/>
      </c>
      <c r="L88" s="53">
        <f>0.5*SUMPRODUCT('Navy plan'!B88:'Navy plan'!J88,'Navy plan'!K88:'Navy plan'!S88)+0.5*SUMPRODUCT('Navy plan'!B89:'Navy plan'!J89,'Navy plan'!K89:'Navy plan'!S89)</f>
        <v/>
      </c>
      <c r="M88" s="47">
        <f>SUMPRODUCT(B88:J88,Levers!$C$192:$K$192)</f>
        <v/>
      </c>
      <c r="N88" s="47">
        <f>SUMPRODUCT(B88:J88,Levers!$C$195:$K$195)</f>
        <v/>
      </c>
      <c r="O88" s="47">
        <f>N88-M88</f>
        <v/>
      </c>
      <c r="P88" s="53">
        <f>M88*sailor_pay*Economy!H88/1000000</f>
        <v/>
      </c>
      <c r="Q88" s="53">
        <f>SUMPRODUCT(B88:J88,'Navy plan'!K88:'Navy plan'!S88)*maint_rate</f>
        <v/>
      </c>
      <c r="R88" s="53">
        <f>SUMPRODUCT(B88:J88,Levers!$C$193:$K$193)*Economy!H88</f>
        <v/>
      </c>
      <c r="S88" s="53">
        <f>SUMPRODUCT(B88:J88,Levers!$C$193:$K$193,Levers!$C$194:$K$194)*(1/oil_fuel-1)*Economy!H88</f>
        <v/>
      </c>
      <c r="T88" s="53">
        <f>S88+O88*sailor_pay*Economy!H88/1000000</f>
        <v/>
      </c>
      <c r="U88" s="53">
        <f>(P88+Q88+R88)*navy_overhead</f>
        <v/>
      </c>
      <c r="V88" s="53">
        <f>L88+P88+Q88+R88+U88</f>
        <v/>
      </c>
      <c r="W88" s="69">
        <f>Japan!I88</f>
        <v/>
      </c>
      <c r="X88" s="53">
        <f>IF($A88&gt;=1927,V88+W88,0)</f>
        <v/>
      </c>
      <c r="Y88" s="53">
        <f>IF($A88&gt;=1927,pac_quota*X88,V88)</f>
        <v/>
      </c>
      <c r="Z88" s="67">
        <f>SUMPRODUCT(B88:J88,Levers!$C$193:$K$193,Levers!$C$194:$K$194)/0.6</f>
        <v/>
      </c>
      <c r="AA88" s="62">
        <f>H88</f>
        <v/>
      </c>
      <c r="AB88" s="47">
        <f>AA88+'Navy plan'!T88</f>
        <v/>
      </c>
      <c r="AC88" s="62">
        <f>'Navy plan'!U88</f>
        <v/>
      </c>
      <c r="AD88" s="62">
        <f>'Navy plan'!V88</f>
        <v/>
      </c>
      <c r="AE88" s="67">
        <f>IF(AC88&gt;0,AB88/AC88,0)</f>
        <v/>
      </c>
    </row>
    <row r="89">
      <c r="A89" s="58" t="n">
        <v>1929</v>
      </c>
      <c r="B89" s="47">
        <f>B88+'Navy plan'!B89-IF($A89-Levers!$C$191&gt;=1846,INDEX('Navy plan'!B$6:B$92,$A89-1845-Levers!$C$191),0)</f>
        <v/>
      </c>
      <c r="C89" s="47">
        <f>C88+'Navy plan'!C89-IF($A89-Levers!$D$191&gt;=1846,INDEX('Navy plan'!C$6:C$92,$A89-1845-Levers!$D$191),0)</f>
        <v/>
      </c>
      <c r="D89" s="47">
        <f>D88+'Navy plan'!D89-IF($A89-Levers!$E$191&gt;=1846,INDEX('Navy plan'!D$6:D$92,$A89-1845-Levers!$E$191),0)</f>
        <v/>
      </c>
      <c r="E89" s="47">
        <f>E88+'Navy plan'!E89-IF($A89-Levers!$F$191&gt;=1846,INDEX('Navy plan'!E$6:E$92,$A89-1845-Levers!$F$191),0)</f>
        <v/>
      </c>
      <c r="F89" s="47">
        <f>F88+'Navy plan'!F89-IF($A89-Levers!$G$191&gt;=1846,INDEX('Navy plan'!F$6:F$92,$A89-1845-Levers!$G$191),0)</f>
        <v/>
      </c>
      <c r="G89" s="47">
        <f>G88+'Navy plan'!G89-IF($A89-Levers!$H$191&gt;=1846,INDEX('Navy plan'!G$6:G$92,$A89-1845-Levers!$H$191),0)</f>
        <v/>
      </c>
      <c r="H89" s="47">
        <f>H88+'Navy plan'!H89-IF($A89-Levers!$I$191&gt;=1846,INDEX('Navy plan'!H$6:H$92,$A89-1845-Levers!$I$191),0)</f>
        <v/>
      </c>
      <c r="I89" s="47">
        <f>I88+'Navy plan'!I89-IF($A89-Levers!$J$191&gt;=1846,INDEX('Navy plan'!I$6:I$92,$A89-1845-Levers!$J$191),0)</f>
        <v/>
      </c>
      <c r="J89" s="47">
        <f>J88+'Navy plan'!J89-IF($A89-Levers!$K$191&gt;=1846,INDEX('Navy plan'!J$6:J$92,$A89-1845-Levers!$K$191),0)</f>
        <v/>
      </c>
      <c r="K89" s="47">
        <f>SUM(B89:J89)</f>
        <v/>
      </c>
      <c r="L89" s="53">
        <f>0.5*SUMPRODUCT('Navy plan'!B89:'Navy plan'!J89,'Navy plan'!K89:'Navy plan'!S89)+0.5*SUMPRODUCT('Navy plan'!B90:'Navy plan'!J90,'Navy plan'!K90:'Navy plan'!S90)</f>
        <v/>
      </c>
      <c r="M89" s="47">
        <f>SUMPRODUCT(B89:J89,Levers!$C$192:$K$192)</f>
        <v/>
      </c>
      <c r="N89" s="47">
        <f>SUMPRODUCT(B89:J89,Levers!$C$195:$K$195)</f>
        <v/>
      </c>
      <c r="O89" s="47">
        <f>N89-M89</f>
        <v/>
      </c>
      <c r="P89" s="53">
        <f>M89*sailor_pay*Economy!H89/1000000</f>
        <v/>
      </c>
      <c r="Q89" s="53">
        <f>SUMPRODUCT(B89:J89,'Navy plan'!K89:'Navy plan'!S89)*maint_rate</f>
        <v/>
      </c>
      <c r="R89" s="53">
        <f>SUMPRODUCT(B89:J89,Levers!$C$193:$K$193)*Economy!H89</f>
        <v/>
      </c>
      <c r="S89" s="53">
        <f>SUMPRODUCT(B89:J89,Levers!$C$193:$K$193,Levers!$C$194:$K$194)*(1/oil_fuel-1)*Economy!H89</f>
        <v/>
      </c>
      <c r="T89" s="53">
        <f>S89+O89*sailor_pay*Economy!H89/1000000</f>
        <v/>
      </c>
      <c r="U89" s="53">
        <f>(P89+Q89+R89)*navy_overhead</f>
        <v/>
      </c>
      <c r="V89" s="53">
        <f>L89+P89+Q89+R89+U89</f>
        <v/>
      </c>
      <c r="W89" s="69">
        <f>Japan!I89</f>
        <v/>
      </c>
      <c r="X89" s="53">
        <f>IF($A89&gt;=1927,V89+W89,0)</f>
        <v/>
      </c>
      <c r="Y89" s="53">
        <f>IF($A89&gt;=1927,pac_quota*X89,V89)</f>
        <v/>
      </c>
      <c r="Z89" s="67">
        <f>SUMPRODUCT(B89:J89,Levers!$C$193:$K$193,Levers!$C$194:$K$194)/0.6</f>
        <v/>
      </c>
      <c r="AA89" s="62">
        <f>H89</f>
        <v/>
      </c>
      <c r="AB89" s="47">
        <f>AA89+'Navy plan'!T89</f>
        <v/>
      </c>
      <c r="AC89" s="62">
        <f>'Navy plan'!U89</f>
        <v/>
      </c>
      <c r="AD89" s="62">
        <f>'Navy plan'!V89</f>
        <v/>
      </c>
      <c r="AE89" s="67">
        <f>IF(AC89&gt;0,AB89/AC89,0)</f>
        <v/>
      </c>
    </row>
    <row r="90">
      <c r="A90" s="58" t="n">
        <v>1930</v>
      </c>
      <c r="B90" s="47">
        <f>B89+'Navy plan'!B90-IF($A90-Levers!$C$191&gt;=1846,INDEX('Navy plan'!B$6:B$92,$A90-1845-Levers!$C$191),0)</f>
        <v/>
      </c>
      <c r="C90" s="47">
        <f>C89+'Navy plan'!C90-IF($A90-Levers!$D$191&gt;=1846,INDEX('Navy plan'!C$6:C$92,$A90-1845-Levers!$D$191),0)</f>
        <v/>
      </c>
      <c r="D90" s="47">
        <f>D89+'Navy plan'!D90-IF($A90-Levers!$E$191&gt;=1846,INDEX('Navy plan'!D$6:D$92,$A90-1845-Levers!$E$191),0)</f>
        <v/>
      </c>
      <c r="E90" s="47">
        <f>E89+'Navy plan'!E90-IF($A90-Levers!$F$191&gt;=1846,INDEX('Navy plan'!E$6:E$92,$A90-1845-Levers!$F$191),0)</f>
        <v/>
      </c>
      <c r="F90" s="47">
        <f>F89+'Navy plan'!F90-IF($A90-Levers!$G$191&gt;=1846,INDEX('Navy plan'!F$6:F$92,$A90-1845-Levers!$G$191),0)</f>
        <v/>
      </c>
      <c r="G90" s="47">
        <f>G89+'Navy plan'!G90-IF($A90-Levers!$H$191&gt;=1846,INDEX('Navy plan'!G$6:G$92,$A90-1845-Levers!$H$191),0)</f>
        <v/>
      </c>
      <c r="H90" s="47">
        <f>H89+'Navy plan'!H90-IF($A90-Levers!$I$191&gt;=1846,INDEX('Navy plan'!H$6:H$92,$A90-1845-Levers!$I$191),0)</f>
        <v/>
      </c>
      <c r="I90" s="47">
        <f>I89+'Navy plan'!I90-IF($A90-Levers!$J$191&gt;=1846,INDEX('Navy plan'!I$6:I$92,$A90-1845-Levers!$J$191),0)</f>
        <v/>
      </c>
      <c r="J90" s="47">
        <f>J89+'Navy plan'!J90-IF($A90-Levers!$K$191&gt;=1846,INDEX('Navy plan'!J$6:J$92,$A90-1845-Levers!$K$191),0)</f>
        <v/>
      </c>
      <c r="K90" s="47">
        <f>SUM(B90:J90)</f>
        <v/>
      </c>
      <c r="L90" s="53">
        <f>0.5*SUMPRODUCT('Navy plan'!B90:'Navy plan'!J90,'Navy plan'!K90:'Navy plan'!S90)+0.5*SUMPRODUCT('Navy plan'!B91:'Navy plan'!J91,'Navy plan'!K91:'Navy plan'!S91)</f>
        <v/>
      </c>
      <c r="M90" s="47">
        <f>SUMPRODUCT(B90:J90,Levers!$C$192:$K$192)</f>
        <v/>
      </c>
      <c r="N90" s="47">
        <f>SUMPRODUCT(B90:J90,Levers!$C$195:$K$195)</f>
        <v/>
      </c>
      <c r="O90" s="47">
        <f>N90-M90</f>
        <v/>
      </c>
      <c r="P90" s="53">
        <f>M90*sailor_pay*Economy!H90/1000000</f>
        <v/>
      </c>
      <c r="Q90" s="53">
        <f>SUMPRODUCT(B90:J90,'Navy plan'!K90:'Navy plan'!S90)*maint_rate</f>
        <v/>
      </c>
      <c r="R90" s="53">
        <f>SUMPRODUCT(B90:J90,Levers!$C$193:$K$193)*Economy!H90</f>
        <v/>
      </c>
      <c r="S90" s="53">
        <f>SUMPRODUCT(B90:J90,Levers!$C$193:$K$193,Levers!$C$194:$K$194)*(1/oil_fuel-1)*Economy!H90</f>
        <v/>
      </c>
      <c r="T90" s="53">
        <f>S90+O90*sailor_pay*Economy!H90/1000000</f>
        <v/>
      </c>
      <c r="U90" s="53">
        <f>(P90+Q90+R90)*navy_overhead</f>
        <v/>
      </c>
      <c r="V90" s="53">
        <f>L90+P90+Q90+R90+U90</f>
        <v/>
      </c>
      <c r="W90" s="69">
        <f>Japan!I90</f>
        <v/>
      </c>
      <c r="X90" s="53">
        <f>IF($A90&gt;=1927,V90+W90,0)</f>
        <v/>
      </c>
      <c r="Y90" s="53">
        <f>IF($A90&gt;=1927,pac_quota*X90,V90)</f>
        <v/>
      </c>
      <c r="Z90" s="67">
        <f>SUMPRODUCT(B90:J90,Levers!$C$193:$K$193,Levers!$C$194:$K$194)/0.6</f>
        <v/>
      </c>
      <c r="AA90" s="62">
        <f>H90</f>
        <v/>
      </c>
      <c r="AB90" s="47">
        <f>AA90+'Navy plan'!T90</f>
        <v/>
      </c>
      <c r="AC90" s="62">
        <f>'Navy plan'!U90</f>
        <v/>
      </c>
      <c r="AD90" s="62">
        <f>'Navy plan'!V90</f>
        <v/>
      </c>
      <c r="AE90" s="67">
        <f>IF(AC90&gt;0,AB90/AC90,0)</f>
        <v/>
      </c>
    </row>
    <row r="91">
      <c r="A91" s="58" t="n">
        <v>1931</v>
      </c>
      <c r="B91" s="47">
        <f>B90+'Navy plan'!B91-IF($A91-Levers!$C$191&gt;=1846,INDEX('Navy plan'!B$6:B$92,$A91-1845-Levers!$C$191),0)</f>
        <v/>
      </c>
      <c r="C91" s="47">
        <f>C90+'Navy plan'!C91-IF($A91-Levers!$D$191&gt;=1846,INDEX('Navy plan'!C$6:C$92,$A91-1845-Levers!$D$191),0)</f>
        <v/>
      </c>
      <c r="D91" s="47">
        <f>D90+'Navy plan'!D91-IF($A91-Levers!$E$191&gt;=1846,INDEX('Navy plan'!D$6:D$92,$A91-1845-Levers!$E$191),0)</f>
        <v/>
      </c>
      <c r="E91" s="47">
        <f>E90+'Navy plan'!E91-IF($A91-Levers!$F$191&gt;=1846,INDEX('Navy plan'!E$6:E$92,$A91-1845-Levers!$F$191),0)</f>
        <v/>
      </c>
      <c r="F91" s="47">
        <f>F90+'Navy plan'!F91-IF($A91-Levers!$G$191&gt;=1846,INDEX('Navy plan'!F$6:F$92,$A91-1845-Levers!$G$191),0)</f>
        <v/>
      </c>
      <c r="G91" s="47">
        <f>G90+'Navy plan'!G91-IF($A91-Levers!$H$191&gt;=1846,INDEX('Navy plan'!G$6:G$92,$A91-1845-Levers!$H$191),0)</f>
        <v/>
      </c>
      <c r="H91" s="47">
        <f>H90+'Navy plan'!H91-IF($A91-Levers!$I$191&gt;=1846,INDEX('Navy plan'!H$6:H$92,$A91-1845-Levers!$I$191),0)</f>
        <v/>
      </c>
      <c r="I91" s="47">
        <f>I90+'Navy plan'!I91-IF($A91-Levers!$J$191&gt;=1846,INDEX('Navy plan'!I$6:I$92,$A91-1845-Levers!$J$191),0)</f>
        <v/>
      </c>
      <c r="J91" s="47">
        <f>J90+'Navy plan'!J91-IF($A91-Levers!$K$191&gt;=1846,INDEX('Navy plan'!J$6:J$92,$A91-1845-Levers!$K$191),0)</f>
        <v/>
      </c>
      <c r="K91" s="47">
        <f>SUM(B91:J91)</f>
        <v/>
      </c>
      <c r="L91" s="53">
        <f>0.5*SUMPRODUCT('Navy plan'!B91:'Navy plan'!J91,'Navy plan'!K91:'Navy plan'!S91)+0.5*SUMPRODUCT('Navy plan'!B92:'Navy plan'!J92,'Navy plan'!K92:'Navy plan'!S92)</f>
        <v/>
      </c>
      <c r="M91" s="47">
        <f>SUMPRODUCT(B91:J91,Levers!$C$192:$K$192)</f>
        <v/>
      </c>
      <c r="N91" s="47">
        <f>SUMPRODUCT(B91:J91,Levers!$C$195:$K$195)</f>
        <v/>
      </c>
      <c r="O91" s="47">
        <f>N91-M91</f>
        <v/>
      </c>
      <c r="P91" s="53">
        <f>M91*sailor_pay*Economy!H91/1000000</f>
        <v/>
      </c>
      <c r="Q91" s="53">
        <f>SUMPRODUCT(B91:J91,'Navy plan'!K91:'Navy plan'!S91)*maint_rate</f>
        <v/>
      </c>
      <c r="R91" s="53">
        <f>SUMPRODUCT(B91:J91,Levers!$C$193:$K$193)*Economy!H91</f>
        <v/>
      </c>
      <c r="S91" s="53">
        <f>SUMPRODUCT(B91:J91,Levers!$C$193:$K$193,Levers!$C$194:$K$194)*(1/oil_fuel-1)*Economy!H91</f>
        <v/>
      </c>
      <c r="T91" s="53">
        <f>S91+O91*sailor_pay*Economy!H91/1000000</f>
        <v/>
      </c>
      <c r="U91" s="53">
        <f>(P91+Q91+R91)*navy_overhead</f>
        <v/>
      </c>
      <c r="V91" s="53">
        <f>L91+P91+Q91+R91+U91</f>
        <v/>
      </c>
      <c r="W91" s="69">
        <f>Japan!I91</f>
        <v/>
      </c>
      <c r="X91" s="53">
        <f>IF($A91&gt;=1927,V91+W91,0)</f>
        <v/>
      </c>
      <c r="Y91" s="53">
        <f>IF($A91&gt;=1927,pac_quota*X91,V91)</f>
        <v/>
      </c>
      <c r="Z91" s="67">
        <f>SUMPRODUCT(B91:J91,Levers!$C$193:$K$193,Levers!$C$194:$K$194)/0.6</f>
        <v/>
      </c>
      <c r="AA91" s="62">
        <f>H91</f>
        <v/>
      </c>
      <c r="AB91" s="47">
        <f>AA91+'Navy plan'!T91</f>
        <v/>
      </c>
      <c r="AC91" s="62">
        <f>'Navy plan'!U91</f>
        <v/>
      </c>
      <c r="AD91" s="62">
        <f>'Navy plan'!V91</f>
        <v/>
      </c>
      <c r="AE91" s="67">
        <f>IF(AC91&gt;0,AB91/AC91,0)</f>
        <v/>
      </c>
    </row>
    <row r="92">
      <c r="A92" s="58" t="n">
        <v>1932</v>
      </c>
      <c r="B92" s="47">
        <f>B91+'Navy plan'!B92-IF($A92-Levers!$C$191&gt;=1846,INDEX('Navy plan'!B$6:B$92,$A92-1845-Levers!$C$191),0)</f>
        <v/>
      </c>
      <c r="C92" s="47">
        <f>C91+'Navy plan'!C92-IF($A92-Levers!$D$191&gt;=1846,INDEX('Navy plan'!C$6:C$92,$A92-1845-Levers!$D$191),0)</f>
        <v/>
      </c>
      <c r="D92" s="47">
        <f>D91+'Navy plan'!D92-IF($A92-Levers!$E$191&gt;=1846,INDEX('Navy plan'!D$6:D$92,$A92-1845-Levers!$E$191),0)</f>
        <v/>
      </c>
      <c r="E92" s="47">
        <f>E91+'Navy plan'!E92-IF($A92-Levers!$F$191&gt;=1846,INDEX('Navy plan'!E$6:E$92,$A92-1845-Levers!$F$191),0)</f>
        <v/>
      </c>
      <c r="F92" s="47">
        <f>F91+'Navy plan'!F92-IF($A92-Levers!$G$191&gt;=1846,INDEX('Navy plan'!F$6:F$92,$A92-1845-Levers!$G$191),0)</f>
        <v/>
      </c>
      <c r="G92" s="47">
        <f>G91+'Navy plan'!G92-IF($A92-Levers!$H$191&gt;=1846,INDEX('Navy plan'!G$6:G$92,$A92-1845-Levers!$H$191),0)</f>
        <v/>
      </c>
      <c r="H92" s="47">
        <f>H91+'Navy plan'!H92-IF($A92-Levers!$I$191&gt;=1846,INDEX('Navy plan'!H$6:H$92,$A92-1845-Levers!$I$191),0)</f>
        <v/>
      </c>
      <c r="I92" s="47">
        <f>I91+'Navy plan'!I92-IF($A92-Levers!$J$191&gt;=1846,INDEX('Navy plan'!I$6:I$92,$A92-1845-Levers!$J$191),0)</f>
        <v/>
      </c>
      <c r="J92" s="47">
        <f>J91+'Navy plan'!J92-IF($A92-Levers!$K$191&gt;=1846,INDEX('Navy plan'!J$6:J$92,$A92-1845-Levers!$K$191),0)</f>
        <v/>
      </c>
      <c r="K92" s="47">
        <f>SUM(B92:J92)</f>
        <v/>
      </c>
      <c r="L92" s="53">
        <f>0.5*SUMPRODUCT('Navy plan'!B92:'Navy plan'!J92,'Navy plan'!K92:'Navy plan'!S92)+0.5*SUMPRODUCT('Navy plan'!B93:'Navy plan'!J93,'Navy plan'!K93:'Navy plan'!S93)</f>
        <v/>
      </c>
      <c r="M92" s="47">
        <f>SUMPRODUCT(B92:J92,Levers!$C$192:$K$192)</f>
        <v/>
      </c>
      <c r="N92" s="47">
        <f>SUMPRODUCT(B92:J92,Levers!$C$195:$K$195)</f>
        <v/>
      </c>
      <c r="O92" s="47">
        <f>N92-M92</f>
        <v/>
      </c>
      <c r="P92" s="53">
        <f>M92*sailor_pay*Economy!H92/1000000</f>
        <v/>
      </c>
      <c r="Q92" s="53">
        <f>SUMPRODUCT(B92:J92,'Navy plan'!K92:'Navy plan'!S92)*maint_rate</f>
        <v/>
      </c>
      <c r="R92" s="53">
        <f>SUMPRODUCT(B92:J92,Levers!$C$193:$K$193)*Economy!H92</f>
        <v/>
      </c>
      <c r="S92" s="53">
        <f>SUMPRODUCT(B92:J92,Levers!$C$193:$K$193,Levers!$C$194:$K$194)*(1/oil_fuel-1)*Economy!H92</f>
        <v/>
      </c>
      <c r="T92" s="53">
        <f>S92+O92*sailor_pay*Economy!H92/1000000</f>
        <v/>
      </c>
      <c r="U92" s="53">
        <f>(P92+Q92+R92)*navy_overhead</f>
        <v/>
      </c>
      <c r="V92" s="53">
        <f>L92+P92+Q92+R92+U92</f>
        <v/>
      </c>
      <c r="W92" s="69">
        <f>Japan!I92</f>
        <v/>
      </c>
      <c r="X92" s="53">
        <f>IF($A92&gt;=1927,V92+W92,0)</f>
        <v/>
      </c>
      <c r="Y92" s="53">
        <f>IF($A92&gt;=1927,pac_quota*X92,V92)</f>
        <v/>
      </c>
      <c r="Z92" s="67">
        <f>SUMPRODUCT(B92:J92,Levers!$C$193:$K$193,Levers!$C$194:$K$194)/0.6</f>
        <v/>
      </c>
      <c r="AA92" s="62">
        <f>H92</f>
        <v/>
      </c>
      <c r="AB92" s="47">
        <f>AA92+'Navy plan'!T92</f>
        <v/>
      </c>
      <c r="AC92" s="62">
        <f>'Navy plan'!U92</f>
        <v/>
      </c>
      <c r="AD92" s="62">
        <f>'Navy plan'!V92</f>
        <v/>
      </c>
      <c r="AE92" s="67">
        <f>IF(AC92&gt;0,AB92/AC92,0)</f>
        <v/>
      </c>
    </row>
  </sheetData>
  <mergeCells count="7">
    <mergeCell ref="AA4:AE4"/>
    <mergeCell ref="W4:Y4"/>
    <mergeCell ref="B4:J4"/>
    <mergeCell ref="P4:R4"/>
    <mergeCell ref="S4:T4"/>
    <mergeCell ref="N4:O4"/>
    <mergeCell ref="U4:V4"/>
  </mergeCell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030A0"/>
    <outlinePr summaryBelow="1" summaryRight="1"/>
    <pageSetUpPr fitToPage="1"/>
  </sheetPr>
  <dimension ref="A1:AC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s>
  <sheetData>
    <row r="1">
      <c r="A1" s="18" t="inlineStr">
        <is>
          <t>Japan</t>
        </is>
      </c>
    </row>
    <row r="2">
      <c r="A2" s="2" t="inlineStr">
        <is>
          <t>Japan's own budget: what its wars, the earthquake and the 1927 bank crisis cost, and how much San Francisco lends.</t>
        </is>
      </c>
    </row>
    <row r="3">
      <c r="A3" s="19" t="inlineStr">
        <is>
          <t>Years run down the page. Blue = input you can change · black = formula · green = link to another sheet. Hover a column heading for its definition.</t>
        </is>
      </c>
    </row>
    <row r="4">
      <c r="B4" s="56" t="inlineStr">
        <is>
          <t>Economy</t>
        </is>
      </c>
      <c r="E4" s="56" t="inlineStr">
        <is>
          <t>Budget</t>
        </is>
      </c>
      <c r="S4" s="56" t="inlineStr">
        <is>
          <t>Financing</t>
        </is>
      </c>
      <c r="X4" s="56" t="inlineStr">
        <is>
          <t>Debt</t>
        </is>
      </c>
    </row>
    <row r="5" ht="54" customHeight="1">
      <c r="A5" s="57" t="inlineStr">
        <is>
          <t>Year</t>
        </is>
      </c>
      <c r="B5" s="6" t="inlineStr">
        <is>
          <t>Japan GDP, historical ($m)</t>
        </is>
      </c>
      <c r="C5" s="6" t="inlineStr">
        <is>
          <t>Catch-up from integration (× history)</t>
        </is>
      </c>
      <c r="D5" s="6" t="inlineStr">
        <is>
          <t>Japan GDP ($m)</t>
        </is>
      </c>
      <c r="E5" s="6" t="inlineStr">
        <is>
          <t>Revenue / GDP</t>
        </is>
      </c>
      <c r="F5" s="6" t="inlineStr">
        <is>
          <t>Civil &amp; home army / GDP</t>
        </is>
      </c>
      <c r="G5" s="6" t="inlineStr">
        <is>
          <t>Revenue ($m)</t>
        </is>
      </c>
      <c r="H5" s="6" t="inlineStr">
        <is>
          <t>Civil &amp; home army ($m)</t>
        </is>
      </c>
      <c r="I5" s="6" t="inlineStr">
        <is>
          <t>Japanese fleet cost ($m)</t>
        </is>
      </c>
      <c r="J5" s="6" t="inlineStr">
        <is>
          <t>Japan's navy bill ($m)</t>
        </is>
      </c>
      <c r="K5" s="6" t="inlineStr">
        <is>
          <t>Wars &amp; overseas commands ($m)</t>
        </is>
      </c>
      <c r="L5" s="6" t="inlineStr">
        <is>
          <t>Siberian front share ($m)</t>
        </is>
      </c>
      <c r="M5" s="6" t="inlineStr">
        <is>
          <t>Earthquake &amp; bank crisis, historical scale ($m)</t>
        </is>
      </c>
      <c r="N5" s="6" t="inlineStr">
        <is>
          <t>Earthquake &amp; bank crisis ($m)</t>
        </is>
      </c>
      <c r="O5" s="6" t="inlineStr">
        <is>
          <t>Common ministries share ($m)</t>
        </is>
      </c>
      <c r="P5" s="6" t="inlineStr">
        <is>
          <t>Interest ($m)</t>
        </is>
      </c>
      <c r="Q5" s="6" t="inlineStr">
        <is>
          <t>Total spending ($m)</t>
        </is>
      </c>
      <c r="R5" s="6" t="inlineStr">
        <is>
          <t>Deficit ($m)</t>
        </is>
      </c>
      <c r="S5" s="6" t="inlineStr">
        <is>
          <t>Credit raised in San Francisco, historical scale ($m)</t>
        </is>
      </c>
      <c r="T5" s="6" t="inlineStr">
        <is>
          <t>Credit raised in San Francisco ($m)</t>
        </is>
      </c>
      <c r="U5" s="6" t="inlineStr">
        <is>
          <t>Russian indemnity received ($m)</t>
        </is>
      </c>
      <c r="V5" s="6" t="inlineStr">
        <is>
          <t>Debt assumed ($m)</t>
        </is>
      </c>
      <c r="W5" s="6" t="inlineStr">
        <is>
          <t>Foreign debt repaid ($m)</t>
        </is>
      </c>
      <c r="X5" s="6" t="inlineStr">
        <is>
          <t>Foreign debt ($m)</t>
        </is>
      </c>
      <c r="Y5" s="6" t="inlineStr">
        <is>
          <t>Domestic debt ($m)</t>
        </is>
      </c>
      <c r="Z5" s="6" t="inlineStr">
        <is>
          <t>Total debt ($m)</t>
        </is>
      </c>
      <c r="AA5" s="6" t="inlineStr">
        <is>
          <t>Debt / GDP</t>
        </is>
      </c>
      <c r="AB5" s="6" t="inlineStr">
        <is>
          <t>Interest / revenue</t>
        </is>
      </c>
      <c r="AC5" s="6" t="inlineStr">
        <is>
          <t>San Francisco share of the year's borrowing</t>
        </is>
      </c>
    </row>
    <row r="6">
      <c r="A6" s="58" t="n">
        <v>1846</v>
      </c>
      <c r="B6" s="45" t="n">
        <v>0</v>
      </c>
      <c r="C6" s="70">
        <f>Partners!H6</f>
        <v/>
      </c>
      <c r="D6" s="47">
        <f>Partners!I6</f>
        <v/>
      </c>
      <c r="E6" s="59" t="n">
        <v>0</v>
      </c>
      <c r="F6" s="59" t="n">
        <v>0</v>
      </c>
      <c r="G6" s="53">
        <f>D6*E6</f>
        <v/>
      </c>
      <c r="H6" s="53">
        <f>D6*F6</f>
        <v/>
      </c>
      <c r="I6" s="52" t="n">
        <v>0</v>
      </c>
      <c r="J6" s="53">
        <f>IF($A6&gt;=1927,(1-pac_quota)*Navy!X6,I6)</f>
        <v/>
      </c>
      <c r="K6" s="52" t="n">
        <v>0</v>
      </c>
      <c r="L6" s="53">
        <f>IF($A6&gt;=1923,siberia_front*(1-pac_quota),0)</f>
        <v/>
      </c>
      <c r="M6" s="52" t="n">
        <v>0</v>
      </c>
      <c r="N6" s="53">
        <f>M6*C6</f>
        <v/>
      </c>
      <c r="O6" s="53">
        <f>IF($A6&gt;=1927,10*(1-pac_quota),0)</f>
        <v/>
      </c>
      <c r="P6" s="53">
        <f>0</f>
        <v/>
      </c>
      <c r="Q6" s="53">
        <f>H6+J6+K6+L6+N6+O6+P6</f>
        <v/>
      </c>
      <c r="R6" s="53">
        <f>Q6-G6</f>
        <v/>
      </c>
      <c r="S6" s="52" t="n">
        <v>0</v>
      </c>
      <c r="T6" s="53">
        <f>S6*IF($A6&gt;=1923,C6,1)</f>
        <v/>
      </c>
      <c r="U6" s="52" t="n">
        <v>0</v>
      </c>
      <c r="V6" s="52" t="n">
        <v>0</v>
      </c>
      <c r="W6" s="53">
        <f>0</f>
        <v/>
      </c>
      <c r="X6" s="53">
        <f>0</f>
        <v/>
      </c>
      <c r="Y6" s="53">
        <f>0</f>
        <v/>
      </c>
      <c r="Z6" s="53">
        <f>X6+Y6</f>
        <v/>
      </c>
      <c r="AA6" s="63">
        <f>IF(D6&gt;0,Z6/D6,0)</f>
        <v/>
      </c>
      <c r="AB6" s="63">
        <f>IF(G6&gt;0,P6/G6,0)</f>
        <v/>
      </c>
      <c r="AC6" s="63">
        <f>IF(R6&gt;0,MIN(1,T6/R6),0)</f>
        <v/>
      </c>
    </row>
    <row r="7">
      <c r="A7" s="58" t="n">
        <v>1847</v>
      </c>
      <c r="B7" s="45" t="n">
        <v>0</v>
      </c>
      <c r="C7" s="70">
        <f>Partners!H7</f>
        <v/>
      </c>
      <c r="D7" s="47">
        <f>Partners!I7</f>
        <v/>
      </c>
      <c r="E7" s="59" t="n">
        <v>0</v>
      </c>
      <c r="F7" s="59" t="n">
        <v>0</v>
      </c>
      <c r="G7" s="53">
        <f>D7*E7</f>
        <v/>
      </c>
      <c r="H7" s="53">
        <f>D7*F7</f>
        <v/>
      </c>
      <c r="I7" s="52" t="n">
        <v>0</v>
      </c>
      <c r="J7" s="53">
        <f>IF($A7&gt;=1927,(1-pac_quota)*Navy!X7,I7)</f>
        <v/>
      </c>
      <c r="K7" s="52" t="n">
        <v>0</v>
      </c>
      <c r="L7" s="53">
        <f>IF($A7&gt;=1923,siberia_front*(1-pac_quota),0)</f>
        <v/>
      </c>
      <c r="M7" s="52" t="n">
        <v>0</v>
      </c>
      <c r="N7" s="53">
        <f>M7*C7</f>
        <v/>
      </c>
      <c r="O7" s="53">
        <f>IF($A7&gt;=1927,10*(1-pac_quota),0)</f>
        <v/>
      </c>
      <c r="P7" s="53">
        <f>jp_coupon*Z6</f>
        <v/>
      </c>
      <c r="Q7" s="53">
        <f>H7+J7+K7+L7+N7+O7+P7</f>
        <v/>
      </c>
      <c r="R7" s="53">
        <f>Q7-G7</f>
        <v/>
      </c>
      <c r="S7" s="52" t="n">
        <v>0</v>
      </c>
      <c r="T7" s="53">
        <f>S7*IF($A7&gt;=1923,C7,1)</f>
        <v/>
      </c>
      <c r="U7" s="52" t="n">
        <v>0</v>
      </c>
      <c r="V7" s="52" t="n">
        <v>0</v>
      </c>
      <c r="W7" s="53">
        <f>X6*jp_foreign_repay</f>
        <v/>
      </c>
      <c r="X7" s="53">
        <f>X6+T7-W7</f>
        <v/>
      </c>
      <c r="Y7" s="53">
        <f>MAX(0,Y6+R7-T7-U7+W7+V7)</f>
        <v/>
      </c>
      <c r="Z7" s="53">
        <f>X7+Y7</f>
        <v/>
      </c>
      <c r="AA7" s="63">
        <f>IF(D7&gt;0,Z7/D7,0)</f>
        <v/>
      </c>
      <c r="AB7" s="63">
        <f>IF(G7&gt;0,P7/G7,0)</f>
        <v/>
      </c>
      <c r="AC7" s="63">
        <f>IF(R7&gt;0,MIN(1,T7/R7),0)</f>
        <v/>
      </c>
    </row>
    <row r="8">
      <c r="A8" s="58" t="n">
        <v>1848</v>
      </c>
      <c r="B8" s="45" t="n">
        <v>0</v>
      </c>
      <c r="C8" s="70">
        <f>Partners!H8</f>
        <v/>
      </c>
      <c r="D8" s="47">
        <f>Partners!I8</f>
        <v/>
      </c>
      <c r="E8" s="59" t="n">
        <v>0</v>
      </c>
      <c r="F8" s="59" t="n">
        <v>0</v>
      </c>
      <c r="G8" s="53">
        <f>D8*E8</f>
        <v/>
      </c>
      <c r="H8" s="53">
        <f>D8*F8</f>
        <v/>
      </c>
      <c r="I8" s="52" t="n">
        <v>0</v>
      </c>
      <c r="J8" s="53">
        <f>IF($A8&gt;=1927,(1-pac_quota)*Navy!X8,I8)</f>
        <v/>
      </c>
      <c r="K8" s="52" t="n">
        <v>0</v>
      </c>
      <c r="L8" s="53">
        <f>IF($A8&gt;=1923,siberia_front*(1-pac_quota),0)</f>
        <v/>
      </c>
      <c r="M8" s="52" t="n">
        <v>0</v>
      </c>
      <c r="N8" s="53">
        <f>M8*C8</f>
        <v/>
      </c>
      <c r="O8" s="53">
        <f>IF($A8&gt;=1927,10*(1-pac_quota),0)</f>
        <v/>
      </c>
      <c r="P8" s="53">
        <f>jp_coupon*Z7</f>
        <v/>
      </c>
      <c r="Q8" s="53">
        <f>H8+J8+K8+L8+N8+O8+P8</f>
        <v/>
      </c>
      <c r="R8" s="53">
        <f>Q8-G8</f>
        <v/>
      </c>
      <c r="S8" s="52" t="n">
        <v>0</v>
      </c>
      <c r="T8" s="53">
        <f>S8*IF($A8&gt;=1923,C8,1)</f>
        <v/>
      </c>
      <c r="U8" s="52" t="n">
        <v>0</v>
      </c>
      <c r="V8" s="52" t="n">
        <v>0</v>
      </c>
      <c r="W8" s="53">
        <f>X7*jp_foreign_repay</f>
        <v/>
      </c>
      <c r="X8" s="53">
        <f>X7+T8-W8</f>
        <v/>
      </c>
      <c r="Y8" s="53">
        <f>MAX(0,Y7+R8-T8-U8+W8+V8)</f>
        <v/>
      </c>
      <c r="Z8" s="53">
        <f>X8+Y8</f>
        <v/>
      </c>
      <c r="AA8" s="63">
        <f>IF(D8&gt;0,Z8/D8,0)</f>
        <v/>
      </c>
      <c r="AB8" s="63">
        <f>IF(G8&gt;0,P8/G8,0)</f>
        <v/>
      </c>
      <c r="AC8" s="63">
        <f>IF(R8&gt;0,MIN(1,T8/R8),0)</f>
        <v/>
      </c>
    </row>
    <row r="9">
      <c r="A9" s="58" t="n">
        <v>1849</v>
      </c>
      <c r="B9" s="45" t="n">
        <v>0</v>
      </c>
      <c r="C9" s="70">
        <f>Partners!H9</f>
        <v/>
      </c>
      <c r="D9" s="47">
        <f>Partners!I9</f>
        <v/>
      </c>
      <c r="E9" s="59" t="n">
        <v>0</v>
      </c>
      <c r="F9" s="59" t="n">
        <v>0</v>
      </c>
      <c r="G9" s="53">
        <f>D9*E9</f>
        <v/>
      </c>
      <c r="H9" s="53">
        <f>D9*F9</f>
        <v/>
      </c>
      <c r="I9" s="52" t="n">
        <v>0</v>
      </c>
      <c r="J9" s="53">
        <f>IF($A9&gt;=1927,(1-pac_quota)*Navy!X9,I9)</f>
        <v/>
      </c>
      <c r="K9" s="52" t="n">
        <v>0</v>
      </c>
      <c r="L9" s="53">
        <f>IF($A9&gt;=1923,siberia_front*(1-pac_quota),0)</f>
        <v/>
      </c>
      <c r="M9" s="52" t="n">
        <v>0</v>
      </c>
      <c r="N9" s="53">
        <f>M9*C9</f>
        <v/>
      </c>
      <c r="O9" s="53">
        <f>IF($A9&gt;=1927,10*(1-pac_quota),0)</f>
        <v/>
      </c>
      <c r="P9" s="53">
        <f>jp_coupon*Z8</f>
        <v/>
      </c>
      <c r="Q9" s="53">
        <f>H9+J9+K9+L9+N9+O9+P9</f>
        <v/>
      </c>
      <c r="R9" s="53">
        <f>Q9-G9</f>
        <v/>
      </c>
      <c r="S9" s="52" t="n">
        <v>0</v>
      </c>
      <c r="T9" s="53">
        <f>S9*IF($A9&gt;=1923,C9,1)</f>
        <v/>
      </c>
      <c r="U9" s="52" t="n">
        <v>0</v>
      </c>
      <c r="V9" s="52" t="n">
        <v>0</v>
      </c>
      <c r="W9" s="53">
        <f>X8*jp_foreign_repay</f>
        <v/>
      </c>
      <c r="X9" s="53">
        <f>X8+T9-W9</f>
        <v/>
      </c>
      <c r="Y9" s="53">
        <f>MAX(0,Y8+R9-T9-U9+W9+V9)</f>
        <v/>
      </c>
      <c r="Z9" s="53">
        <f>X9+Y9</f>
        <v/>
      </c>
      <c r="AA9" s="63">
        <f>IF(D9&gt;0,Z9/D9,0)</f>
        <v/>
      </c>
      <c r="AB9" s="63">
        <f>IF(G9&gt;0,P9/G9,0)</f>
        <v/>
      </c>
      <c r="AC9" s="63">
        <f>IF(R9&gt;0,MIN(1,T9/R9),0)</f>
        <v/>
      </c>
    </row>
    <row r="10">
      <c r="A10" s="58" t="n">
        <v>1850</v>
      </c>
      <c r="B10" s="45" t="n">
        <v>0</v>
      </c>
      <c r="C10" s="70">
        <f>Partners!H10</f>
        <v/>
      </c>
      <c r="D10" s="47">
        <f>Partners!I10</f>
        <v/>
      </c>
      <c r="E10" s="59" t="n">
        <v>0</v>
      </c>
      <c r="F10" s="59" t="n">
        <v>0</v>
      </c>
      <c r="G10" s="53">
        <f>D10*E10</f>
        <v/>
      </c>
      <c r="H10" s="53">
        <f>D10*F10</f>
        <v/>
      </c>
      <c r="I10" s="52" t="n">
        <v>0</v>
      </c>
      <c r="J10" s="53">
        <f>IF($A10&gt;=1927,(1-pac_quota)*Navy!X10,I10)</f>
        <v/>
      </c>
      <c r="K10" s="52" t="n">
        <v>0</v>
      </c>
      <c r="L10" s="53">
        <f>IF($A10&gt;=1923,siberia_front*(1-pac_quota),0)</f>
        <v/>
      </c>
      <c r="M10" s="52" t="n">
        <v>0</v>
      </c>
      <c r="N10" s="53">
        <f>M10*C10</f>
        <v/>
      </c>
      <c r="O10" s="53">
        <f>IF($A10&gt;=1927,10*(1-pac_quota),0)</f>
        <v/>
      </c>
      <c r="P10" s="53">
        <f>jp_coupon*Z9</f>
        <v/>
      </c>
      <c r="Q10" s="53">
        <f>H10+J10+K10+L10+N10+O10+P10</f>
        <v/>
      </c>
      <c r="R10" s="53">
        <f>Q10-G10</f>
        <v/>
      </c>
      <c r="S10" s="52" t="n">
        <v>0</v>
      </c>
      <c r="T10" s="53">
        <f>S10*IF($A10&gt;=1923,C10,1)</f>
        <v/>
      </c>
      <c r="U10" s="52" t="n">
        <v>0</v>
      </c>
      <c r="V10" s="52" t="n">
        <v>0</v>
      </c>
      <c r="W10" s="53">
        <f>X9*jp_foreign_repay</f>
        <v/>
      </c>
      <c r="X10" s="53">
        <f>X9+T10-W10</f>
        <v/>
      </c>
      <c r="Y10" s="53">
        <f>MAX(0,Y9+R10-T10-U10+W10+V10)</f>
        <v/>
      </c>
      <c r="Z10" s="53">
        <f>X10+Y10</f>
        <v/>
      </c>
      <c r="AA10" s="63">
        <f>IF(D10&gt;0,Z10/D10,0)</f>
        <v/>
      </c>
      <c r="AB10" s="63">
        <f>IF(G10&gt;0,P10/G10,0)</f>
        <v/>
      </c>
      <c r="AC10" s="63">
        <f>IF(R10&gt;0,MIN(1,T10/R10),0)</f>
        <v/>
      </c>
    </row>
    <row r="11">
      <c r="A11" s="58" t="n">
        <v>1851</v>
      </c>
      <c r="B11" s="45" t="n">
        <v>0</v>
      </c>
      <c r="C11" s="70">
        <f>Partners!H11</f>
        <v/>
      </c>
      <c r="D11" s="47">
        <f>Partners!I11</f>
        <v/>
      </c>
      <c r="E11" s="59" t="n">
        <v>0</v>
      </c>
      <c r="F11" s="59" t="n">
        <v>0</v>
      </c>
      <c r="G11" s="53">
        <f>D11*E11</f>
        <v/>
      </c>
      <c r="H11" s="53">
        <f>D11*F11</f>
        <v/>
      </c>
      <c r="I11" s="52" t="n">
        <v>0</v>
      </c>
      <c r="J11" s="53">
        <f>IF($A11&gt;=1927,(1-pac_quota)*Navy!X11,I11)</f>
        <v/>
      </c>
      <c r="K11" s="52" t="n">
        <v>0</v>
      </c>
      <c r="L11" s="53">
        <f>IF($A11&gt;=1923,siberia_front*(1-pac_quota),0)</f>
        <v/>
      </c>
      <c r="M11" s="52" t="n">
        <v>0</v>
      </c>
      <c r="N11" s="53">
        <f>M11*C11</f>
        <v/>
      </c>
      <c r="O11" s="53">
        <f>IF($A11&gt;=1927,10*(1-pac_quota),0)</f>
        <v/>
      </c>
      <c r="P11" s="53">
        <f>jp_coupon*Z10</f>
        <v/>
      </c>
      <c r="Q11" s="53">
        <f>H11+J11+K11+L11+N11+O11+P11</f>
        <v/>
      </c>
      <c r="R11" s="53">
        <f>Q11-G11</f>
        <v/>
      </c>
      <c r="S11" s="52" t="n">
        <v>0</v>
      </c>
      <c r="T11" s="53">
        <f>S11*IF($A11&gt;=1923,C11,1)</f>
        <v/>
      </c>
      <c r="U11" s="52" t="n">
        <v>0</v>
      </c>
      <c r="V11" s="52" t="n">
        <v>0</v>
      </c>
      <c r="W11" s="53">
        <f>X10*jp_foreign_repay</f>
        <v/>
      </c>
      <c r="X11" s="53">
        <f>X10+T11-W11</f>
        <v/>
      </c>
      <c r="Y11" s="53">
        <f>MAX(0,Y10+R11-T11-U11+W11+V11)</f>
        <v/>
      </c>
      <c r="Z11" s="53">
        <f>X11+Y11</f>
        <v/>
      </c>
      <c r="AA11" s="63">
        <f>IF(D11&gt;0,Z11/D11,0)</f>
        <v/>
      </c>
      <c r="AB11" s="63">
        <f>IF(G11&gt;0,P11/G11,0)</f>
        <v/>
      </c>
      <c r="AC11" s="63">
        <f>IF(R11&gt;0,MIN(1,T11/R11),0)</f>
        <v/>
      </c>
    </row>
    <row r="12">
      <c r="A12" s="58" t="n">
        <v>1852</v>
      </c>
      <c r="B12" s="45" t="n">
        <v>0</v>
      </c>
      <c r="C12" s="70">
        <f>Partners!H12</f>
        <v/>
      </c>
      <c r="D12" s="47">
        <f>Partners!I12</f>
        <v/>
      </c>
      <c r="E12" s="59" t="n">
        <v>0</v>
      </c>
      <c r="F12" s="59" t="n">
        <v>0</v>
      </c>
      <c r="G12" s="53">
        <f>D12*E12</f>
        <v/>
      </c>
      <c r="H12" s="53">
        <f>D12*F12</f>
        <v/>
      </c>
      <c r="I12" s="52" t="n">
        <v>0</v>
      </c>
      <c r="J12" s="53">
        <f>IF($A12&gt;=1927,(1-pac_quota)*Navy!X12,I12)</f>
        <v/>
      </c>
      <c r="K12" s="52" t="n">
        <v>0</v>
      </c>
      <c r="L12" s="53">
        <f>IF($A12&gt;=1923,siberia_front*(1-pac_quota),0)</f>
        <v/>
      </c>
      <c r="M12" s="52" t="n">
        <v>0</v>
      </c>
      <c r="N12" s="53">
        <f>M12*C12</f>
        <v/>
      </c>
      <c r="O12" s="53">
        <f>IF($A12&gt;=1927,10*(1-pac_quota),0)</f>
        <v/>
      </c>
      <c r="P12" s="53">
        <f>jp_coupon*Z11</f>
        <v/>
      </c>
      <c r="Q12" s="53">
        <f>H12+J12+K12+L12+N12+O12+P12</f>
        <v/>
      </c>
      <c r="R12" s="53">
        <f>Q12-G12</f>
        <v/>
      </c>
      <c r="S12" s="52" t="n">
        <v>0</v>
      </c>
      <c r="T12" s="53">
        <f>S12*IF($A12&gt;=1923,C12,1)</f>
        <v/>
      </c>
      <c r="U12" s="52" t="n">
        <v>0</v>
      </c>
      <c r="V12" s="52" t="n">
        <v>0</v>
      </c>
      <c r="W12" s="53">
        <f>X11*jp_foreign_repay</f>
        <v/>
      </c>
      <c r="X12" s="53">
        <f>X11+T12-W12</f>
        <v/>
      </c>
      <c r="Y12" s="53">
        <f>MAX(0,Y11+R12-T12-U12+W12+V12)</f>
        <v/>
      </c>
      <c r="Z12" s="53">
        <f>X12+Y12</f>
        <v/>
      </c>
      <c r="AA12" s="63">
        <f>IF(D12&gt;0,Z12/D12,0)</f>
        <v/>
      </c>
      <c r="AB12" s="63">
        <f>IF(G12&gt;0,P12/G12,0)</f>
        <v/>
      </c>
      <c r="AC12" s="63">
        <f>IF(R12&gt;0,MIN(1,T12/R12),0)</f>
        <v/>
      </c>
    </row>
    <row r="13">
      <c r="A13" s="58" t="n">
        <v>1853</v>
      </c>
      <c r="B13" s="45" t="n">
        <v>0</v>
      </c>
      <c r="C13" s="70">
        <f>Partners!H13</f>
        <v/>
      </c>
      <c r="D13" s="47">
        <f>Partners!I13</f>
        <v/>
      </c>
      <c r="E13" s="59" t="n">
        <v>0</v>
      </c>
      <c r="F13" s="59" t="n">
        <v>0</v>
      </c>
      <c r="G13" s="53">
        <f>D13*E13</f>
        <v/>
      </c>
      <c r="H13" s="53">
        <f>D13*F13</f>
        <v/>
      </c>
      <c r="I13" s="52" t="n">
        <v>0</v>
      </c>
      <c r="J13" s="53">
        <f>IF($A13&gt;=1927,(1-pac_quota)*Navy!X13,I13)</f>
        <v/>
      </c>
      <c r="K13" s="52" t="n">
        <v>0</v>
      </c>
      <c r="L13" s="53">
        <f>IF($A13&gt;=1923,siberia_front*(1-pac_quota),0)</f>
        <v/>
      </c>
      <c r="M13" s="52" t="n">
        <v>0</v>
      </c>
      <c r="N13" s="53">
        <f>M13*C13</f>
        <v/>
      </c>
      <c r="O13" s="53">
        <f>IF($A13&gt;=1927,10*(1-pac_quota),0)</f>
        <v/>
      </c>
      <c r="P13" s="53">
        <f>jp_coupon*Z12</f>
        <v/>
      </c>
      <c r="Q13" s="53">
        <f>H13+J13+K13+L13+N13+O13+P13</f>
        <v/>
      </c>
      <c r="R13" s="53">
        <f>Q13-G13</f>
        <v/>
      </c>
      <c r="S13" s="52" t="n">
        <v>0</v>
      </c>
      <c r="T13" s="53">
        <f>S13*IF($A13&gt;=1923,C13,1)</f>
        <v/>
      </c>
      <c r="U13" s="52" t="n">
        <v>0</v>
      </c>
      <c r="V13" s="52" t="n">
        <v>0</v>
      </c>
      <c r="W13" s="53">
        <f>X12*jp_foreign_repay</f>
        <v/>
      </c>
      <c r="X13" s="53">
        <f>X12+T13-W13</f>
        <v/>
      </c>
      <c r="Y13" s="53">
        <f>MAX(0,Y12+R13-T13-U13+W13+V13)</f>
        <v/>
      </c>
      <c r="Z13" s="53">
        <f>X13+Y13</f>
        <v/>
      </c>
      <c r="AA13" s="63">
        <f>IF(D13&gt;0,Z13/D13,0)</f>
        <v/>
      </c>
      <c r="AB13" s="63">
        <f>IF(G13&gt;0,P13/G13,0)</f>
        <v/>
      </c>
      <c r="AC13" s="63">
        <f>IF(R13&gt;0,MIN(1,T13/R13),0)</f>
        <v/>
      </c>
    </row>
    <row r="14">
      <c r="A14" s="58" t="n">
        <v>1854</v>
      </c>
      <c r="B14" s="45" t="n">
        <v>0</v>
      </c>
      <c r="C14" s="70">
        <f>Partners!H14</f>
        <v/>
      </c>
      <c r="D14" s="47">
        <f>Partners!I14</f>
        <v/>
      </c>
      <c r="E14" s="59" t="n">
        <v>0</v>
      </c>
      <c r="F14" s="59" t="n">
        <v>0</v>
      </c>
      <c r="G14" s="53">
        <f>D14*E14</f>
        <v/>
      </c>
      <c r="H14" s="53">
        <f>D14*F14</f>
        <v/>
      </c>
      <c r="I14" s="52" t="n">
        <v>0</v>
      </c>
      <c r="J14" s="53">
        <f>IF($A14&gt;=1927,(1-pac_quota)*Navy!X14,I14)</f>
        <v/>
      </c>
      <c r="K14" s="52" t="n">
        <v>0</v>
      </c>
      <c r="L14" s="53">
        <f>IF($A14&gt;=1923,siberia_front*(1-pac_quota),0)</f>
        <v/>
      </c>
      <c r="M14" s="52" t="n">
        <v>0</v>
      </c>
      <c r="N14" s="53">
        <f>M14*C14</f>
        <v/>
      </c>
      <c r="O14" s="53">
        <f>IF($A14&gt;=1927,10*(1-pac_quota),0)</f>
        <v/>
      </c>
      <c r="P14" s="53">
        <f>jp_coupon*Z13</f>
        <v/>
      </c>
      <c r="Q14" s="53">
        <f>H14+J14+K14+L14+N14+O14+P14</f>
        <v/>
      </c>
      <c r="R14" s="53">
        <f>Q14-G14</f>
        <v/>
      </c>
      <c r="S14" s="52" t="n">
        <v>0</v>
      </c>
      <c r="T14" s="53">
        <f>S14*IF($A14&gt;=1923,C14,1)</f>
        <v/>
      </c>
      <c r="U14" s="52" t="n">
        <v>0</v>
      </c>
      <c r="V14" s="52" t="n">
        <v>0</v>
      </c>
      <c r="W14" s="53">
        <f>X13*jp_foreign_repay</f>
        <v/>
      </c>
      <c r="X14" s="53">
        <f>X13+T14-W14</f>
        <v/>
      </c>
      <c r="Y14" s="53">
        <f>MAX(0,Y13+R14-T14-U14+W14+V14)</f>
        <v/>
      </c>
      <c r="Z14" s="53">
        <f>X14+Y14</f>
        <v/>
      </c>
      <c r="AA14" s="63">
        <f>IF(D14&gt;0,Z14/D14,0)</f>
        <v/>
      </c>
      <c r="AB14" s="63">
        <f>IF(G14&gt;0,P14/G14,0)</f>
        <v/>
      </c>
      <c r="AC14" s="63">
        <f>IF(R14&gt;0,MIN(1,T14/R14),0)</f>
        <v/>
      </c>
    </row>
    <row r="15">
      <c r="A15" s="58" t="n">
        <v>1855</v>
      </c>
      <c r="B15" s="45" t="n">
        <v>0</v>
      </c>
      <c r="C15" s="70">
        <f>Partners!H15</f>
        <v/>
      </c>
      <c r="D15" s="47">
        <f>Partners!I15</f>
        <v/>
      </c>
      <c r="E15" s="59" t="n">
        <v>0</v>
      </c>
      <c r="F15" s="59" t="n">
        <v>0</v>
      </c>
      <c r="G15" s="53">
        <f>D15*E15</f>
        <v/>
      </c>
      <c r="H15" s="53">
        <f>D15*F15</f>
        <v/>
      </c>
      <c r="I15" s="52" t="n">
        <v>0</v>
      </c>
      <c r="J15" s="53">
        <f>IF($A15&gt;=1927,(1-pac_quota)*Navy!X15,I15)</f>
        <v/>
      </c>
      <c r="K15" s="52" t="n">
        <v>0</v>
      </c>
      <c r="L15" s="53">
        <f>IF($A15&gt;=1923,siberia_front*(1-pac_quota),0)</f>
        <v/>
      </c>
      <c r="M15" s="52" t="n">
        <v>0</v>
      </c>
      <c r="N15" s="53">
        <f>M15*C15</f>
        <v/>
      </c>
      <c r="O15" s="53">
        <f>IF($A15&gt;=1927,10*(1-pac_quota),0)</f>
        <v/>
      </c>
      <c r="P15" s="53">
        <f>jp_coupon*Z14</f>
        <v/>
      </c>
      <c r="Q15" s="53">
        <f>H15+J15+K15+L15+N15+O15+P15</f>
        <v/>
      </c>
      <c r="R15" s="53">
        <f>Q15-G15</f>
        <v/>
      </c>
      <c r="S15" s="52" t="n">
        <v>0</v>
      </c>
      <c r="T15" s="53">
        <f>S15*IF($A15&gt;=1923,C15,1)</f>
        <v/>
      </c>
      <c r="U15" s="52" t="n">
        <v>0</v>
      </c>
      <c r="V15" s="52" t="n">
        <v>0</v>
      </c>
      <c r="W15" s="53">
        <f>X14*jp_foreign_repay</f>
        <v/>
      </c>
      <c r="X15" s="53">
        <f>X14+T15-W15</f>
        <v/>
      </c>
      <c r="Y15" s="53">
        <f>MAX(0,Y14+R15-T15-U15+W15+V15)</f>
        <v/>
      </c>
      <c r="Z15" s="53">
        <f>X15+Y15</f>
        <v/>
      </c>
      <c r="AA15" s="63">
        <f>IF(D15&gt;0,Z15/D15,0)</f>
        <v/>
      </c>
      <c r="AB15" s="63">
        <f>IF(G15&gt;0,P15/G15,0)</f>
        <v/>
      </c>
      <c r="AC15" s="63">
        <f>IF(R15&gt;0,MIN(1,T15/R15),0)</f>
        <v/>
      </c>
    </row>
    <row r="16">
      <c r="A16" s="58" t="n">
        <v>1856</v>
      </c>
      <c r="B16" s="45" t="n">
        <v>0</v>
      </c>
      <c r="C16" s="70">
        <f>Partners!H16</f>
        <v/>
      </c>
      <c r="D16" s="47">
        <f>Partners!I16</f>
        <v/>
      </c>
      <c r="E16" s="59" t="n">
        <v>0</v>
      </c>
      <c r="F16" s="59" t="n">
        <v>0</v>
      </c>
      <c r="G16" s="53">
        <f>D16*E16</f>
        <v/>
      </c>
      <c r="H16" s="53">
        <f>D16*F16</f>
        <v/>
      </c>
      <c r="I16" s="52" t="n">
        <v>0</v>
      </c>
      <c r="J16" s="53">
        <f>IF($A16&gt;=1927,(1-pac_quota)*Navy!X16,I16)</f>
        <v/>
      </c>
      <c r="K16" s="52" t="n">
        <v>0</v>
      </c>
      <c r="L16" s="53">
        <f>IF($A16&gt;=1923,siberia_front*(1-pac_quota),0)</f>
        <v/>
      </c>
      <c r="M16" s="52" t="n">
        <v>0</v>
      </c>
      <c r="N16" s="53">
        <f>M16*C16</f>
        <v/>
      </c>
      <c r="O16" s="53">
        <f>IF($A16&gt;=1927,10*(1-pac_quota),0)</f>
        <v/>
      </c>
      <c r="P16" s="53">
        <f>jp_coupon*Z15</f>
        <v/>
      </c>
      <c r="Q16" s="53">
        <f>H16+J16+K16+L16+N16+O16+P16</f>
        <v/>
      </c>
      <c r="R16" s="53">
        <f>Q16-G16</f>
        <v/>
      </c>
      <c r="S16" s="52" t="n">
        <v>0</v>
      </c>
      <c r="T16" s="53">
        <f>S16*IF($A16&gt;=1923,C16,1)</f>
        <v/>
      </c>
      <c r="U16" s="52" t="n">
        <v>0</v>
      </c>
      <c r="V16" s="52" t="n">
        <v>0</v>
      </c>
      <c r="W16" s="53">
        <f>X15*jp_foreign_repay</f>
        <v/>
      </c>
      <c r="X16" s="53">
        <f>X15+T16-W16</f>
        <v/>
      </c>
      <c r="Y16" s="53">
        <f>MAX(0,Y15+R16-T16-U16+W16+V16)</f>
        <v/>
      </c>
      <c r="Z16" s="53">
        <f>X16+Y16</f>
        <v/>
      </c>
      <c r="AA16" s="63">
        <f>IF(D16&gt;0,Z16/D16,0)</f>
        <v/>
      </c>
      <c r="AB16" s="63">
        <f>IF(G16&gt;0,P16/G16,0)</f>
        <v/>
      </c>
      <c r="AC16" s="63">
        <f>IF(R16&gt;0,MIN(1,T16/R16),0)</f>
        <v/>
      </c>
    </row>
    <row r="17">
      <c r="A17" s="58" t="n">
        <v>1857</v>
      </c>
      <c r="B17" s="45" t="n">
        <v>0</v>
      </c>
      <c r="C17" s="70">
        <f>Partners!H17</f>
        <v/>
      </c>
      <c r="D17" s="47">
        <f>Partners!I17</f>
        <v/>
      </c>
      <c r="E17" s="59" t="n">
        <v>0</v>
      </c>
      <c r="F17" s="59" t="n">
        <v>0</v>
      </c>
      <c r="G17" s="53">
        <f>D17*E17</f>
        <v/>
      </c>
      <c r="H17" s="53">
        <f>D17*F17</f>
        <v/>
      </c>
      <c r="I17" s="52" t="n">
        <v>0</v>
      </c>
      <c r="J17" s="53">
        <f>IF($A17&gt;=1927,(1-pac_quota)*Navy!X17,I17)</f>
        <v/>
      </c>
      <c r="K17" s="52" t="n">
        <v>0</v>
      </c>
      <c r="L17" s="53">
        <f>IF($A17&gt;=1923,siberia_front*(1-pac_quota),0)</f>
        <v/>
      </c>
      <c r="M17" s="52" t="n">
        <v>0</v>
      </c>
      <c r="N17" s="53">
        <f>M17*C17</f>
        <v/>
      </c>
      <c r="O17" s="53">
        <f>IF($A17&gt;=1927,10*(1-pac_quota),0)</f>
        <v/>
      </c>
      <c r="P17" s="53">
        <f>jp_coupon*Z16</f>
        <v/>
      </c>
      <c r="Q17" s="53">
        <f>H17+J17+K17+L17+N17+O17+P17</f>
        <v/>
      </c>
      <c r="R17" s="53">
        <f>Q17-G17</f>
        <v/>
      </c>
      <c r="S17" s="52" t="n">
        <v>0</v>
      </c>
      <c r="T17" s="53">
        <f>S17*IF($A17&gt;=1923,C17,1)</f>
        <v/>
      </c>
      <c r="U17" s="52" t="n">
        <v>0</v>
      </c>
      <c r="V17" s="52" t="n">
        <v>0</v>
      </c>
      <c r="W17" s="53">
        <f>X16*jp_foreign_repay</f>
        <v/>
      </c>
      <c r="X17" s="53">
        <f>X16+T17-W17</f>
        <v/>
      </c>
      <c r="Y17" s="53">
        <f>MAX(0,Y16+R17-T17-U17+W17+V17)</f>
        <v/>
      </c>
      <c r="Z17" s="53">
        <f>X17+Y17</f>
        <v/>
      </c>
      <c r="AA17" s="63">
        <f>IF(D17&gt;0,Z17/D17,0)</f>
        <v/>
      </c>
      <c r="AB17" s="63">
        <f>IF(G17&gt;0,P17/G17,0)</f>
        <v/>
      </c>
      <c r="AC17" s="63">
        <f>IF(R17&gt;0,MIN(1,T17/R17),0)</f>
        <v/>
      </c>
    </row>
    <row r="18">
      <c r="A18" s="58" t="n">
        <v>1858</v>
      </c>
      <c r="B18" s="45" t="n">
        <v>0</v>
      </c>
      <c r="C18" s="70">
        <f>Partners!H18</f>
        <v/>
      </c>
      <c r="D18" s="47">
        <f>Partners!I18</f>
        <v/>
      </c>
      <c r="E18" s="59" t="n">
        <v>0</v>
      </c>
      <c r="F18" s="59" t="n">
        <v>0</v>
      </c>
      <c r="G18" s="53">
        <f>D18*E18</f>
        <v/>
      </c>
      <c r="H18" s="53">
        <f>D18*F18</f>
        <v/>
      </c>
      <c r="I18" s="52" t="n">
        <v>0</v>
      </c>
      <c r="J18" s="53">
        <f>IF($A18&gt;=1927,(1-pac_quota)*Navy!X18,I18)</f>
        <v/>
      </c>
      <c r="K18" s="52" t="n">
        <v>0</v>
      </c>
      <c r="L18" s="53">
        <f>IF($A18&gt;=1923,siberia_front*(1-pac_quota),0)</f>
        <v/>
      </c>
      <c r="M18" s="52" t="n">
        <v>0</v>
      </c>
      <c r="N18" s="53">
        <f>M18*C18</f>
        <v/>
      </c>
      <c r="O18" s="53">
        <f>IF($A18&gt;=1927,10*(1-pac_quota),0)</f>
        <v/>
      </c>
      <c r="P18" s="53">
        <f>jp_coupon*Z17</f>
        <v/>
      </c>
      <c r="Q18" s="53">
        <f>H18+J18+K18+L18+N18+O18+P18</f>
        <v/>
      </c>
      <c r="R18" s="53">
        <f>Q18-G18</f>
        <v/>
      </c>
      <c r="S18" s="52" t="n">
        <v>0</v>
      </c>
      <c r="T18" s="53">
        <f>S18*IF($A18&gt;=1923,C18,1)</f>
        <v/>
      </c>
      <c r="U18" s="52" t="n">
        <v>0</v>
      </c>
      <c r="V18" s="52" t="n">
        <v>0</v>
      </c>
      <c r="W18" s="53">
        <f>X17*jp_foreign_repay</f>
        <v/>
      </c>
      <c r="X18" s="53">
        <f>X17+T18-W18</f>
        <v/>
      </c>
      <c r="Y18" s="53">
        <f>MAX(0,Y17+R18-T18-U18+W18+V18)</f>
        <v/>
      </c>
      <c r="Z18" s="53">
        <f>X18+Y18</f>
        <v/>
      </c>
      <c r="AA18" s="63">
        <f>IF(D18&gt;0,Z18/D18,0)</f>
        <v/>
      </c>
      <c r="AB18" s="63">
        <f>IF(G18&gt;0,P18/G18,0)</f>
        <v/>
      </c>
      <c r="AC18" s="63">
        <f>IF(R18&gt;0,MIN(1,T18/R18),0)</f>
        <v/>
      </c>
    </row>
    <row r="19">
      <c r="A19" s="58" t="n">
        <v>1859</v>
      </c>
      <c r="B19" s="45" t="n">
        <v>0</v>
      </c>
      <c r="C19" s="70">
        <f>Partners!H19</f>
        <v/>
      </c>
      <c r="D19" s="47">
        <f>Partners!I19</f>
        <v/>
      </c>
      <c r="E19" s="59" t="n">
        <v>0</v>
      </c>
      <c r="F19" s="59" t="n">
        <v>0</v>
      </c>
      <c r="G19" s="53">
        <f>D19*E19</f>
        <v/>
      </c>
      <c r="H19" s="53">
        <f>D19*F19</f>
        <v/>
      </c>
      <c r="I19" s="52" t="n">
        <v>0</v>
      </c>
      <c r="J19" s="53">
        <f>IF($A19&gt;=1927,(1-pac_quota)*Navy!X19,I19)</f>
        <v/>
      </c>
      <c r="K19" s="52" t="n">
        <v>0</v>
      </c>
      <c r="L19" s="53">
        <f>IF($A19&gt;=1923,siberia_front*(1-pac_quota),0)</f>
        <v/>
      </c>
      <c r="M19" s="52" t="n">
        <v>0</v>
      </c>
      <c r="N19" s="53">
        <f>M19*C19</f>
        <v/>
      </c>
      <c r="O19" s="53">
        <f>IF($A19&gt;=1927,10*(1-pac_quota),0)</f>
        <v/>
      </c>
      <c r="P19" s="53">
        <f>jp_coupon*Z18</f>
        <v/>
      </c>
      <c r="Q19" s="53">
        <f>H19+J19+K19+L19+N19+O19+P19</f>
        <v/>
      </c>
      <c r="R19" s="53">
        <f>Q19-G19</f>
        <v/>
      </c>
      <c r="S19" s="52" t="n">
        <v>0</v>
      </c>
      <c r="T19" s="53">
        <f>S19*IF($A19&gt;=1923,C19,1)</f>
        <v/>
      </c>
      <c r="U19" s="52" t="n">
        <v>0</v>
      </c>
      <c r="V19" s="52" t="n">
        <v>0</v>
      </c>
      <c r="W19" s="53">
        <f>X18*jp_foreign_repay</f>
        <v/>
      </c>
      <c r="X19" s="53">
        <f>X18+T19-W19</f>
        <v/>
      </c>
      <c r="Y19" s="53">
        <f>MAX(0,Y18+R19-T19-U19+W19+V19)</f>
        <v/>
      </c>
      <c r="Z19" s="53">
        <f>X19+Y19</f>
        <v/>
      </c>
      <c r="AA19" s="63">
        <f>IF(D19&gt;0,Z19/D19,0)</f>
        <v/>
      </c>
      <c r="AB19" s="63">
        <f>IF(G19&gt;0,P19/G19,0)</f>
        <v/>
      </c>
      <c r="AC19" s="63">
        <f>IF(R19&gt;0,MIN(1,T19/R19),0)</f>
        <v/>
      </c>
    </row>
    <row r="20">
      <c r="A20" s="58" t="n">
        <v>1860</v>
      </c>
      <c r="B20" s="45" t="n">
        <v>0</v>
      </c>
      <c r="C20" s="70">
        <f>Partners!H20</f>
        <v/>
      </c>
      <c r="D20" s="47">
        <f>Partners!I20</f>
        <v/>
      </c>
      <c r="E20" s="59" t="n">
        <v>0</v>
      </c>
      <c r="F20" s="59" t="n">
        <v>0</v>
      </c>
      <c r="G20" s="53">
        <f>D20*E20</f>
        <v/>
      </c>
      <c r="H20" s="53">
        <f>D20*F20</f>
        <v/>
      </c>
      <c r="I20" s="52" t="n">
        <v>0</v>
      </c>
      <c r="J20" s="53">
        <f>IF($A20&gt;=1927,(1-pac_quota)*Navy!X20,I20)</f>
        <v/>
      </c>
      <c r="K20" s="52" t="n">
        <v>0</v>
      </c>
      <c r="L20" s="53">
        <f>IF($A20&gt;=1923,siberia_front*(1-pac_quota),0)</f>
        <v/>
      </c>
      <c r="M20" s="52" t="n">
        <v>0</v>
      </c>
      <c r="N20" s="53">
        <f>M20*C20</f>
        <v/>
      </c>
      <c r="O20" s="53">
        <f>IF($A20&gt;=1927,10*(1-pac_quota),0)</f>
        <v/>
      </c>
      <c r="P20" s="53">
        <f>jp_coupon*Z19</f>
        <v/>
      </c>
      <c r="Q20" s="53">
        <f>H20+J20+K20+L20+N20+O20+P20</f>
        <v/>
      </c>
      <c r="R20" s="53">
        <f>Q20-G20</f>
        <v/>
      </c>
      <c r="S20" s="52" t="n">
        <v>0</v>
      </c>
      <c r="T20" s="53">
        <f>S20*IF($A20&gt;=1923,C20,1)</f>
        <v/>
      </c>
      <c r="U20" s="52" t="n">
        <v>0</v>
      </c>
      <c r="V20" s="52" t="n">
        <v>0</v>
      </c>
      <c r="W20" s="53">
        <f>X19*jp_foreign_repay</f>
        <v/>
      </c>
      <c r="X20" s="53">
        <f>X19+T20-W20</f>
        <v/>
      </c>
      <c r="Y20" s="53">
        <f>MAX(0,Y19+R20-T20-U20+W20+V20)</f>
        <v/>
      </c>
      <c r="Z20" s="53">
        <f>X20+Y20</f>
        <v/>
      </c>
      <c r="AA20" s="63">
        <f>IF(D20&gt;0,Z20/D20,0)</f>
        <v/>
      </c>
      <c r="AB20" s="63">
        <f>IF(G20&gt;0,P20/G20,0)</f>
        <v/>
      </c>
      <c r="AC20" s="63">
        <f>IF(R20&gt;0,MIN(1,T20/R20),0)</f>
        <v/>
      </c>
    </row>
    <row r="21">
      <c r="A21" s="61" t="n">
        <v>1861</v>
      </c>
      <c r="B21" s="45" t="n">
        <v>0</v>
      </c>
      <c r="C21" s="70">
        <f>Partners!H21</f>
        <v/>
      </c>
      <c r="D21" s="47">
        <f>Partners!I21</f>
        <v/>
      </c>
      <c r="E21" s="59" t="n">
        <v>0</v>
      </c>
      <c r="F21" s="59" t="n">
        <v>0</v>
      </c>
      <c r="G21" s="53">
        <f>D21*E21</f>
        <v/>
      </c>
      <c r="H21" s="53">
        <f>D21*F21</f>
        <v/>
      </c>
      <c r="I21" s="52" t="n">
        <v>0</v>
      </c>
      <c r="J21" s="53">
        <f>IF($A21&gt;=1927,(1-pac_quota)*Navy!X21,I21)</f>
        <v/>
      </c>
      <c r="K21" s="52" t="n">
        <v>0</v>
      </c>
      <c r="L21" s="53">
        <f>IF($A21&gt;=1923,siberia_front*(1-pac_quota),0)</f>
        <v/>
      </c>
      <c r="M21" s="52" t="n">
        <v>0</v>
      </c>
      <c r="N21" s="53">
        <f>M21*C21</f>
        <v/>
      </c>
      <c r="O21" s="53">
        <f>IF($A21&gt;=1927,10*(1-pac_quota),0)</f>
        <v/>
      </c>
      <c r="P21" s="53">
        <f>jp_coupon*Z20</f>
        <v/>
      </c>
      <c r="Q21" s="53">
        <f>H21+J21+K21+L21+N21+O21+P21</f>
        <v/>
      </c>
      <c r="R21" s="53">
        <f>Q21-G21</f>
        <v/>
      </c>
      <c r="S21" s="52" t="n">
        <v>0</v>
      </c>
      <c r="T21" s="53">
        <f>S21*IF($A21&gt;=1923,C21,1)</f>
        <v/>
      </c>
      <c r="U21" s="52" t="n">
        <v>0</v>
      </c>
      <c r="V21" s="52" t="n">
        <v>0</v>
      </c>
      <c r="W21" s="53">
        <f>X20*jp_foreign_repay</f>
        <v/>
      </c>
      <c r="X21" s="53">
        <f>X20+T21-W21</f>
        <v/>
      </c>
      <c r="Y21" s="53">
        <f>MAX(0,Y20+R21-T21-U21+W21+V21)</f>
        <v/>
      </c>
      <c r="Z21" s="53">
        <f>X21+Y21</f>
        <v/>
      </c>
      <c r="AA21" s="63">
        <f>IF(D21&gt;0,Z21/D21,0)</f>
        <v/>
      </c>
      <c r="AB21" s="63">
        <f>IF(G21&gt;0,P21/G21,0)</f>
        <v/>
      </c>
      <c r="AC21" s="63">
        <f>IF(R21&gt;0,MIN(1,T21/R21),0)</f>
        <v/>
      </c>
    </row>
    <row r="22">
      <c r="A22" s="61" t="n">
        <v>1862</v>
      </c>
      <c r="B22" s="45" t="n">
        <v>0</v>
      </c>
      <c r="C22" s="70">
        <f>Partners!H22</f>
        <v/>
      </c>
      <c r="D22" s="47">
        <f>Partners!I22</f>
        <v/>
      </c>
      <c r="E22" s="59" t="n">
        <v>0</v>
      </c>
      <c r="F22" s="59" t="n">
        <v>0</v>
      </c>
      <c r="G22" s="53">
        <f>D22*E22</f>
        <v/>
      </c>
      <c r="H22" s="53">
        <f>D22*F22</f>
        <v/>
      </c>
      <c r="I22" s="52" t="n">
        <v>0</v>
      </c>
      <c r="J22" s="53">
        <f>IF($A22&gt;=1927,(1-pac_quota)*Navy!X22,I22)</f>
        <v/>
      </c>
      <c r="K22" s="52" t="n">
        <v>0</v>
      </c>
      <c r="L22" s="53">
        <f>IF($A22&gt;=1923,siberia_front*(1-pac_quota),0)</f>
        <v/>
      </c>
      <c r="M22" s="52" t="n">
        <v>0</v>
      </c>
      <c r="N22" s="53">
        <f>M22*C22</f>
        <v/>
      </c>
      <c r="O22" s="53">
        <f>IF($A22&gt;=1927,10*(1-pac_quota),0)</f>
        <v/>
      </c>
      <c r="P22" s="53">
        <f>jp_coupon*Z21</f>
        <v/>
      </c>
      <c r="Q22" s="53">
        <f>H22+J22+K22+L22+N22+O22+P22</f>
        <v/>
      </c>
      <c r="R22" s="53">
        <f>Q22-G22</f>
        <v/>
      </c>
      <c r="S22" s="52" t="n">
        <v>0</v>
      </c>
      <c r="T22" s="53">
        <f>S22*IF($A22&gt;=1923,C22,1)</f>
        <v/>
      </c>
      <c r="U22" s="52" t="n">
        <v>0</v>
      </c>
      <c r="V22" s="52" t="n">
        <v>0</v>
      </c>
      <c r="W22" s="53">
        <f>X21*jp_foreign_repay</f>
        <v/>
      </c>
      <c r="X22" s="53">
        <f>X21+T22-W22</f>
        <v/>
      </c>
      <c r="Y22" s="53">
        <f>MAX(0,Y21+R22-T22-U22+W22+V22)</f>
        <v/>
      </c>
      <c r="Z22" s="53">
        <f>X22+Y22</f>
        <v/>
      </c>
      <c r="AA22" s="63">
        <f>IF(D22&gt;0,Z22/D22,0)</f>
        <v/>
      </c>
      <c r="AB22" s="63">
        <f>IF(G22&gt;0,P22/G22,0)</f>
        <v/>
      </c>
      <c r="AC22" s="63">
        <f>IF(R22&gt;0,MIN(1,T22/R22),0)</f>
        <v/>
      </c>
    </row>
    <row r="23">
      <c r="A23" s="61" t="n">
        <v>1863</v>
      </c>
      <c r="B23" s="45" t="n">
        <v>0</v>
      </c>
      <c r="C23" s="70">
        <f>Partners!H23</f>
        <v/>
      </c>
      <c r="D23" s="47">
        <f>Partners!I23</f>
        <v/>
      </c>
      <c r="E23" s="59" t="n">
        <v>0</v>
      </c>
      <c r="F23" s="59" t="n">
        <v>0</v>
      </c>
      <c r="G23" s="53">
        <f>D23*E23</f>
        <v/>
      </c>
      <c r="H23" s="53">
        <f>D23*F23</f>
        <v/>
      </c>
      <c r="I23" s="52" t="n">
        <v>0</v>
      </c>
      <c r="J23" s="53">
        <f>IF($A23&gt;=1927,(1-pac_quota)*Navy!X23,I23)</f>
        <v/>
      </c>
      <c r="K23" s="52" t="n">
        <v>0</v>
      </c>
      <c r="L23" s="53">
        <f>IF($A23&gt;=1923,siberia_front*(1-pac_quota),0)</f>
        <v/>
      </c>
      <c r="M23" s="52" t="n">
        <v>0</v>
      </c>
      <c r="N23" s="53">
        <f>M23*C23</f>
        <v/>
      </c>
      <c r="O23" s="53">
        <f>IF($A23&gt;=1927,10*(1-pac_quota),0)</f>
        <v/>
      </c>
      <c r="P23" s="53">
        <f>jp_coupon*Z22</f>
        <v/>
      </c>
      <c r="Q23" s="53">
        <f>H23+J23+K23+L23+N23+O23+P23</f>
        <v/>
      </c>
      <c r="R23" s="53">
        <f>Q23-G23</f>
        <v/>
      </c>
      <c r="S23" s="52" t="n">
        <v>0</v>
      </c>
      <c r="T23" s="53">
        <f>S23*IF($A23&gt;=1923,C23,1)</f>
        <v/>
      </c>
      <c r="U23" s="52" t="n">
        <v>0</v>
      </c>
      <c r="V23" s="52" t="n">
        <v>0</v>
      </c>
      <c r="W23" s="53">
        <f>X22*jp_foreign_repay</f>
        <v/>
      </c>
      <c r="X23" s="53">
        <f>X22+T23-W23</f>
        <v/>
      </c>
      <c r="Y23" s="53">
        <f>MAX(0,Y22+R23-T23-U23+W23+V23)</f>
        <v/>
      </c>
      <c r="Z23" s="53">
        <f>X23+Y23</f>
        <v/>
      </c>
      <c r="AA23" s="63">
        <f>IF(D23&gt;0,Z23/D23,0)</f>
        <v/>
      </c>
      <c r="AB23" s="63">
        <f>IF(G23&gt;0,P23/G23,0)</f>
        <v/>
      </c>
      <c r="AC23" s="63">
        <f>IF(R23&gt;0,MIN(1,T23/R23),0)</f>
        <v/>
      </c>
    </row>
    <row r="24">
      <c r="A24" s="61" t="n">
        <v>1864</v>
      </c>
      <c r="B24" s="45" t="n">
        <v>0</v>
      </c>
      <c r="C24" s="70">
        <f>Partners!H24</f>
        <v/>
      </c>
      <c r="D24" s="47">
        <f>Partners!I24</f>
        <v/>
      </c>
      <c r="E24" s="59" t="n">
        <v>0</v>
      </c>
      <c r="F24" s="59" t="n">
        <v>0</v>
      </c>
      <c r="G24" s="53">
        <f>D24*E24</f>
        <v/>
      </c>
      <c r="H24" s="53">
        <f>D24*F24</f>
        <v/>
      </c>
      <c r="I24" s="52" t="n">
        <v>0</v>
      </c>
      <c r="J24" s="53">
        <f>IF($A24&gt;=1927,(1-pac_quota)*Navy!X24,I24)</f>
        <v/>
      </c>
      <c r="K24" s="52" t="n">
        <v>0</v>
      </c>
      <c r="L24" s="53">
        <f>IF($A24&gt;=1923,siberia_front*(1-pac_quota),0)</f>
        <v/>
      </c>
      <c r="M24" s="52" t="n">
        <v>0</v>
      </c>
      <c r="N24" s="53">
        <f>M24*C24</f>
        <v/>
      </c>
      <c r="O24" s="53">
        <f>IF($A24&gt;=1927,10*(1-pac_quota),0)</f>
        <v/>
      </c>
      <c r="P24" s="53">
        <f>jp_coupon*Z23</f>
        <v/>
      </c>
      <c r="Q24" s="53">
        <f>H24+J24+K24+L24+N24+O24+P24</f>
        <v/>
      </c>
      <c r="R24" s="53">
        <f>Q24-G24</f>
        <v/>
      </c>
      <c r="S24" s="52" t="n">
        <v>0</v>
      </c>
      <c r="T24" s="53">
        <f>S24*IF($A24&gt;=1923,C24,1)</f>
        <v/>
      </c>
      <c r="U24" s="52" t="n">
        <v>0</v>
      </c>
      <c r="V24" s="52" t="n">
        <v>0</v>
      </c>
      <c r="W24" s="53">
        <f>X23*jp_foreign_repay</f>
        <v/>
      </c>
      <c r="X24" s="53">
        <f>X23+T24-W24</f>
        <v/>
      </c>
      <c r="Y24" s="53">
        <f>MAX(0,Y23+R24-T24-U24+W24+V24)</f>
        <v/>
      </c>
      <c r="Z24" s="53">
        <f>X24+Y24</f>
        <v/>
      </c>
      <c r="AA24" s="63">
        <f>IF(D24&gt;0,Z24/D24,0)</f>
        <v/>
      </c>
      <c r="AB24" s="63">
        <f>IF(G24&gt;0,P24/G24,0)</f>
        <v/>
      </c>
      <c r="AC24" s="63">
        <f>IF(R24&gt;0,MIN(1,T24/R24),0)</f>
        <v/>
      </c>
    </row>
    <row r="25">
      <c r="A25" s="61" t="n">
        <v>1865</v>
      </c>
      <c r="B25" s="45" t="n">
        <v>0</v>
      </c>
      <c r="C25" s="70">
        <f>Partners!H25</f>
        <v/>
      </c>
      <c r="D25" s="47">
        <f>Partners!I25</f>
        <v/>
      </c>
      <c r="E25" s="59" t="n">
        <v>0</v>
      </c>
      <c r="F25" s="59" t="n">
        <v>0</v>
      </c>
      <c r="G25" s="53">
        <f>D25*E25</f>
        <v/>
      </c>
      <c r="H25" s="53">
        <f>D25*F25</f>
        <v/>
      </c>
      <c r="I25" s="52" t="n">
        <v>0</v>
      </c>
      <c r="J25" s="53">
        <f>IF($A25&gt;=1927,(1-pac_quota)*Navy!X25,I25)</f>
        <v/>
      </c>
      <c r="K25" s="52" t="n">
        <v>0</v>
      </c>
      <c r="L25" s="53">
        <f>IF($A25&gt;=1923,siberia_front*(1-pac_quota),0)</f>
        <v/>
      </c>
      <c r="M25" s="52" t="n">
        <v>0</v>
      </c>
      <c r="N25" s="53">
        <f>M25*C25</f>
        <v/>
      </c>
      <c r="O25" s="53">
        <f>IF($A25&gt;=1927,10*(1-pac_quota),0)</f>
        <v/>
      </c>
      <c r="P25" s="53">
        <f>jp_coupon*Z24</f>
        <v/>
      </c>
      <c r="Q25" s="53">
        <f>H25+J25+K25+L25+N25+O25+P25</f>
        <v/>
      </c>
      <c r="R25" s="53">
        <f>Q25-G25</f>
        <v/>
      </c>
      <c r="S25" s="52" t="n">
        <v>0</v>
      </c>
      <c r="T25" s="53">
        <f>S25*IF($A25&gt;=1923,C25,1)</f>
        <v/>
      </c>
      <c r="U25" s="52" t="n">
        <v>0</v>
      </c>
      <c r="V25" s="52" t="n">
        <v>0</v>
      </c>
      <c r="W25" s="53">
        <f>X24*jp_foreign_repay</f>
        <v/>
      </c>
      <c r="X25" s="53">
        <f>X24+T25-W25</f>
        <v/>
      </c>
      <c r="Y25" s="53">
        <f>MAX(0,Y24+R25-T25-U25+W25+V25)</f>
        <v/>
      </c>
      <c r="Z25" s="53">
        <f>X25+Y25</f>
        <v/>
      </c>
      <c r="AA25" s="63">
        <f>IF(D25&gt;0,Z25/D25,0)</f>
        <v/>
      </c>
      <c r="AB25" s="63">
        <f>IF(G25&gt;0,P25/G25,0)</f>
        <v/>
      </c>
      <c r="AC25" s="63">
        <f>IF(R25&gt;0,MIN(1,T25/R25),0)</f>
        <v/>
      </c>
    </row>
    <row r="26">
      <c r="A26" s="58" t="n">
        <v>1866</v>
      </c>
      <c r="B26" s="45" t="n">
        <v>0</v>
      </c>
      <c r="C26" s="70">
        <f>Partners!H26</f>
        <v/>
      </c>
      <c r="D26" s="47">
        <f>Partners!I26</f>
        <v/>
      </c>
      <c r="E26" s="59" t="n">
        <v>0</v>
      </c>
      <c r="F26" s="59" t="n">
        <v>0</v>
      </c>
      <c r="G26" s="53">
        <f>D26*E26</f>
        <v/>
      </c>
      <c r="H26" s="53">
        <f>D26*F26</f>
        <v/>
      </c>
      <c r="I26" s="52" t="n">
        <v>0</v>
      </c>
      <c r="J26" s="53">
        <f>IF($A26&gt;=1927,(1-pac_quota)*Navy!X26,I26)</f>
        <v/>
      </c>
      <c r="K26" s="52" t="n">
        <v>0</v>
      </c>
      <c r="L26" s="53">
        <f>IF($A26&gt;=1923,siberia_front*(1-pac_quota),0)</f>
        <v/>
      </c>
      <c r="M26" s="52" t="n">
        <v>0</v>
      </c>
      <c r="N26" s="53">
        <f>M26*C26</f>
        <v/>
      </c>
      <c r="O26" s="53">
        <f>IF($A26&gt;=1927,10*(1-pac_quota),0)</f>
        <v/>
      </c>
      <c r="P26" s="53">
        <f>jp_coupon*Z25</f>
        <v/>
      </c>
      <c r="Q26" s="53">
        <f>H26+J26+K26+L26+N26+O26+P26</f>
        <v/>
      </c>
      <c r="R26" s="53">
        <f>Q26-G26</f>
        <v/>
      </c>
      <c r="S26" s="52" t="n">
        <v>0</v>
      </c>
      <c r="T26" s="53">
        <f>S26*IF($A26&gt;=1923,C26,1)</f>
        <v/>
      </c>
      <c r="U26" s="52" t="n">
        <v>0</v>
      </c>
      <c r="V26" s="52" t="n">
        <v>0</v>
      </c>
      <c r="W26" s="53">
        <f>X25*jp_foreign_repay</f>
        <v/>
      </c>
      <c r="X26" s="53">
        <f>X25+T26-W26</f>
        <v/>
      </c>
      <c r="Y26" s="53">
        <f>MAX(0,Y25+R26-T26-U26+W26+V26)</f>
        <v/>
      </c>
      <c r="Z26" s="53">
        <f>X26+Y26</f>
        <v/>
      </c>
      <c r="AA26" s="63">
        <f>IF(D26&gt;0,Z26/D26,0)</f>
        <v/>
      </c>
      <c r="AB26" s="63">
        <f>IF(G26&gt;0,P26/G26,0)</f>
        <v/>
      </c>
      <c r="AC26" s="63">
        <f>IF(R26&gt;0,MIN(1,T26/R26),0)</f>
        <v/>
      </c>
    </row>
    <row r="27">
      <c r="A27" s="58" t="n">
        <v>1867</v>
      </c>
      <c r="B27" s="45" t="n">
        <v>0</v>
      </c>
      <c r="C27" s="70">
        <f>Partners!H27</f>
        <v/>
      </c>
      <c r="D27" s="47">
        <f>Partners!I27</f>
        <v/>
      </c>
      <c r="E27" s="59" t="n">
        <v>0</v>
      </c>
      <c r="F27" s="59" t="n">
        <v>0</v>
      </c>
      <c r="G27" s="53">
        <f>D27*E27</f>
        <v/>
      </c>
      <c r="H27" s="53">
        <f>D27*F27</f>
        <v/>
      </c>
      <c r="I27" s="52" t="n">
        <v>0</v>
      </c>
      <c r="J27" s="53">
        <f>IF($A27&gt;=1927,(1-pac_quota)*Navy!X27,I27)</f>
        <v/>
      </c>
      <c r="K27" s="52" t="n">
        <v>0</v>
      </c>
      <c r="L27" s="53">
        <f>IF($A27&gt;=1923,siberia_front*(1-pac_quota),0)</f>
        <v/>
      </c>
      <c r="M27" s="52" t="n">
        <v>0</v>
      </c>
      <c r="N27" s="53">
        <f>M27*C27</f>
        <v/>
      </c>
      <c r="O27" s="53">
        <f>IF($A27&gt;=1927,10*(1-pac_quota),0)</f>
        <v/>
      </c>
      <c r="P27" s="53">
        <f>jp_coupon*Z26</f>
        <v/>
      </c>
      <c r="Q27" s="53">
        <f>H27+J27+K27+L27+N27+O27+P27</f>
        <v/>
      </c>
      <c r="R27" s="53">
        <f>Q27-G27</f>
        <v/>
      </c>
      <c r="S27" s="52" t="n">
        <v>0</v>
      </c>
      <c r="T27" s="53">
        <f>S27*IF($A27&gt;=1923,C27,1)</f>
        <v/>
      </c>
      <c r="U27" s="52" t="n">
        <v>0</v>
      </c>
      <c r="V27" s="52" t="n">
        <v>0</v>
      </c>
      <c r="W27" s="53">
        <f>X26*jp_foreign_repay</f>
        <v/>
      </c>
      <c r="X27" s="53">
        <f>X26+T27-W27</f>
        <v/>
      </c>
      <c r="Y27" s="53">
        <f>MAX(0,Y26+R27-T27-U27+W27+V27)</f>
        <v/>
      </c>
      <c r="Z27" s="53">
        <f>X27+Y27</f>
        <v/>
      </c>
      <c r="AA27" s="63">
        <f>IF(D27&gt;0,Z27/D27,0)</f>
        <v/>
      </c>
      <c r="AB27" s="63">
        <f>IF(G27&gt;0,P27/G27,0)</f>
        <v/>
      </c>
      <c r="AC27" s="63">
        <f>IF(R27&gt;0,MIN(1,T27/R27),0)</f>
        <v/>
      </c>
    </row>
    <row r="28">
      <c r="A28" s="58" t="n">
        <v>1868</v>
      </c>
      <c r="B28" s="45" t="n">
        <v>450</v>
      </c>
      <c r="C28" s="70">
        <f>Partners!H28</f>
        <v/>
      </c>
      <c r="D28" s="47">
        <f>Partners!I28</f>
        <v/>
      </c>
      <c r="E28" s="59" t="n">
        <v>0.06</v>
      </c>
      <c r="F28" s="59" t="n">
        <v>0.06</v>
      </c>
      <c r="G28" s="53">
        <f>D28*E28</f>
        <v/>
      </c>
      <c r="H28" s="53">
        <f>D28*F28</f>
        <v/>
      </c>
      <c r="I28" s="52" t="n">
        <v>0</v>
      </c>
      <c r="J28" s="53">
        <f>IF($A28&gt;=1927,(1-pac_quota)*Navy!X28,I28)</f>
        <v/>
      </c>
      <c r="K28" s="52" t="n">
        <v>0</v>
      </c>
      <c r="L28" s="53">
        <f>IF($A28&gt;=1923,siberia_front*(1-pac_quota),0)</f>
        <v/>
      </c>
      <c r="M28" s="52" t="n">
        <v>0</v>
      </c>
      <c r="N28" s="53">
        <f>M28*C28</f>
        <v/>
      </c>
      <c r="O28" s="53">
        <f>IF($A28&gt;=1927,10*(1-pac_quota),0)</f>
        <v/>
      </c>
      <c r="P28" s="53">
        <f>jp_coupon*Z27</f>
        <v/>
      </c>
      <c r="Q28" s="53">
        <f>H28+J28+K28+L28+N28+O28+P28</f>
        <v/>
      </c>
      <c r="R28" s="53">
        <f>Q28-G28</f>
        <v/>
      </c>
      <c r="S28" s="52" t="n">
        <v>0</v>
      </c>
      <c r="T28" s="53">
        <f>S28*IF($A28&gt;=1923,C28,1)</f>
        <v/>
      </c>
      <c r="U28" s="52" t="n">
        <v>0</v>
      </c>
      <c r="V28" s="52" t="n">
        <v>0</v>
      </c>
      <c r="W28" s="53">
        <f>X27*jp_foreign_repay</f>
        <v/>
      </c>
      <c r="X28" s="53">
        <f>X27+T28-W28</f>
        <v/>
      </c>
      <c r="Y28" s="53">
        <f>MAX(0,Y27+R28-T28-U28+W28+V28)</f>
        <v/>
      </c>
      <c r="Z28" s="53">
        <f>X28+Y28</f>
        <v/>
      </c>
      <c r="AA28" s="63">
        <f>IF(D28&gt;0,Z28/D28,0)</f>
        <v/>
      </c>
      <c r="AB28" s="63">
        <f>IF(G28&gt;0,P28/G28,0)</f>
        <v/>
      </c>
      <c r="AC28" s="63">
        <f>IF(R28&gt;0,MIN(1,T28/R28),0)</f>
        <v/>
      </c>
    </row>
    <row r="29">
      <c r="A29" s="58" t="n">
        <v>1869</v>
      </c>
      <c r="B29" s="45" t="n">
        <v>457</v>
      </c>
      <c r="C29" s="70">
        <f>Partners!H29</f>
        <v/>
      </c>
      <c r="D29" s="47">
        <f>Partners!I29</f>
        <v/>
      </c>
      <c r="E29" s="59" t="n">
        <v>0.07000000000000001</v>
      </c>
      <c r="F29" s="59" t="n">
        <v>0.066</v>
      </c>
      <c r="G29" s="53">
        <f>D29*E29</f>
        <v/>
      </c>
      <c r="H29" s="53">
        <f>D29*F29</f>
        <v/>
      </c>
      <c r="I29" s="52" t="n">
        <v>0</v>
      </c>
      <c r="J29" s="53">
        <f>IF($A29&gt;=1927,(1-pac_quota)*Navy!X29,I29)</f>
        <v/>
      </c>
      <c r="K29" s="52" t="n">
        <v>0</v>
      </c>
      <c r="L29" s="53">
        <f>IF($A29&gt;=1923,siberia_front*(1-pac_quota),0)</f>
        <v/>
      </c>
      <c r="M29" s="52" t="n">
        <v>0</v>
      </c>
      <c r="N29" s="53">
        <f>M29*C29</f>
        <v/>
      </c>
      <c r="O29" s="53">
        <f>IF($A29&gt;=1927,10*(1-pac_quota),0)</f>
        <v/>
      </c>
      <c r="P29" s="53">
        <f>jp_coupon*Z28</f>
        <v/>
      </c>
      <c r="Q29" s="53">
        <f>H29+J29+K29+L29+N29+O29+P29</f>
        <v/>
      </c>
      <c r="R29" s="53">
        <f>Q29-G29</f>
        <v/>
      </c>
      <c r="S29" s="52" t="n">
        <v>0</v>
      </c>
      <c r="T29" s="53">
        <f>S29*IF($A29&gt;=1923,C29,1)</f>
        <v/>
      </c>
      <c r="U29" s="52" t="n">
        <v>0</v>
      </c>
      <c r="V29" s="52" t="n">
        <v>0</v>
      </c>
      <c r="W29" s="53">
        <f>X28*jp_foreign_repay</f>
        <v/>
      </c>
      <c r="X29" s="53">
        <f>X28+T29-W29</f>
        <v/>
      </c>
      <c r="Y29" s="53">
        <f>MAX(0,Y28+R29-T29-U29+W29+V29)</f>
        <v/>
      </c>
      <c r="Z29" s="53">
        <f>X29+Y29</f>
        <v/>
      </c>
      <c r="AA29" s="63">
        <f>IF(D29&gt;0,Z29/D29,0)</f>
        <v/>
      </c>
      <c r="AB29" s="63">
        <f>IF(G29&gt;0,P29/G29,0)</f>
        <v/>
      </c>
      <c r="AC29" s="63">
        <f>IF(R29&gt;0,MIN(1,T29/R29),0)</f>
        <v/>
      </c>
    </row>
    <row r="30">
      <c r="A30" s="61" t="n">
        <v>1870</v>
      </c>
      <c r="B30" s="45" t="n">
        <v>464</v>
      </c>
      <c r="C30" s="70">
        <f>Partners!H30</f>
        <v/>
      </c>
      <c r="D30" s="47">
        <f>Partners!I30</f>
        <v/>
      </c>
      <c r="E30" s="59" t="n">
        <v>0.08</v>
      </c>
      <c r="F30" s="59" t="n">
        <v>0.07199999999999999</v>
      </c>
      <c r="G30" s="53">
        <f>D30*E30</f>
        <v/>
      </c>
      <c r="H30" s="53">
        <f>D30*F30</f>
        <v/>
      </c>
      <c r="I30" s="52" t="n">
        <v>2</v>
      </c>
      <c r="J30" s="53">
        <f>IF($A30&gt;=1927,(1-pac_quota)*Navy!X30,I30)</f>
        <v/>
      </c>
      <c r="K30" s="52" t="n">
        <v>0</v>
      </c>
      <c r="L30" s="53">
        <f>IF($A30&gt;=1923,siberia_front*(1-pac_quota),0)</f>
        <v/>
      </c>
      <c r="M30" s="52" t="n">
        <v>0</v>
      </c>
      <c r="N30" s="53">
        <f>M30*C30</f>
        <v/>
      </c>
      <c r="O30" s="53">
        <f>IF($A30&gt;=1927,10*(1-pac_quota),0)</f>
        <v/>
      </c>
      <c r="P30" s="53">
        <f>jp_coupon*Z29</f>
        <v/>
      </c>
      <c r="Q30" s="53">
        <f>H30+J30+K30+L30+N30+O30+P30</f>
        <v/>
      </c>
      <c r="R30" s="53">
        <f>Q30-G30</f>
        <v/>
      </c>
      <c r="S30" s="52" t="n">
        <v>5</v>
      </c>
      <c r="T30" s="53">
        <f>S30*IF($A30&gt;=1923,C30,1)</f>
        <v/>
      </c>
      <c r="U30" s="52" t="n">
        <v>0</v>
      </c>
      <c r="V30" s="52" t="n">
        <v>0</v>
      </c>
      <c r="W30" s="53">
        <f>X29*jp_foreign_repay</f>
        <v/>
      </c>
      <c r="X30" s="53">
        <f>X29+T30-W30</f>
        <v/>
      </c>
      <c r="Y30" s="53">
        <f>MAX(0,Y29+R30-T30-U30+W30+V30)</f>
        <v/>
      </c>
      <c r="Z30" s="53">
        <f>X30+Y30</f>
        <v/>
      </c>
      <c r="AA30" s="63">
        <f>IF(D30&gt;0,Z30/D30,0)</f>
        <v/>
      </c>
      <c r="AB30" s="63">
        <f>IF(G30&gt;0,P30/G30,0)</f>
        <v/>
      </c>
      <c r="AC30" s="63">
        <f>IF(R30&gt;0,MIN(1,T30/R30),0)</f>
        <v/>
      </c>
    </row>
    <row r="31">
      <c r="A31" s="61" t="n">
        <v>1871</v>
      </c>
      <c r="B31" s="45" t="n">
        <v>471</v>
      </c>
      <c r="C31" s="70">
        <f>Partners!H31</f>
        <v/>
      </c>
      <c r="D31" s="47">
        <f>Partners!I31</f>
        <v/>
      </c>
      <c r="E31" s="59" t="n">
        <v>0.09</v>
      </c>
      <c r="F31" s="59" t="n">
        <v>0.078</v>
      </c>
      <c r="G31" s="53">
        <f>D31*E31</f>
        <v/>
      </c>
      <c r="H31" s="53">
        <f>D31*F31</f>
        <v/>
      </c>
      <c r="I31" s="52" t="n">
        <v>2.2</v>
      </c>
      <c r="J31" s="53">
        <f>IF($A31&gt;=1927,(1-pac_quota)*Navy!X31,I31)</f>
        <v/>
      </c>
      <c r="K31" s="52" t="n">
        <v>0</v>
      </c>
      <c r="L31" s="53">
        <f>IF($A31&gt;=1923,siberia_front*(1-pac_quota),0)</f>
        <v/>
      </c>
      <c r="M31" s="52" t="n">
        <v>0</v>
      </c>
      <c r="N31" s="53">
        <f>M31*C31</f>
        <v/>
      </c>
      <c r="O31" s="53">
        <f>IF($A31&gt;=1927,10*(1-pac_quota),0)</f>
        <v/>
      </c>
      <c r="P31" s="53">
        <f>jp_coupon*Z30</f>
        <v/>
      </c>
      <c r="Q31" s="53">
        <f>H31+J31+K31+L31+N31+O31+P31</f>
        <v/>
      </c>
      <c r="R31" s="53">
        <f>Q31-G31</f>
        <v/>
      </c>
      <c r="S31" s="52" t="n">
        <v>0</v>
      </c>
      <c r="T31" s="53">
        <f>S31*IF($A31&gt;=1923,C31,1)</f>
        <v/>
      </c>
      <c r="U31" s="52" t="n">
        <v>0</v>
      </c>
      <c r="V31" s="52" t="n">
        <v>0</v>
      </c>
      <c r="W31" s="53">
        <f>X30*jp_foreign_repay</f>
        <v/>
      </c>
      <c r="X31" s="53">
        <f>X30+T31-W31</f>
        <v/>
      </c>
      <c r="Y31" s="53">
        <f>MAX(0,Y30+R31-T31-U31+W31+V31)</f>
        <v/>
      </c>
      <c r="Z31" s="53">
        <f>X31+Y31</f>
        <v/>
      </c>
      <c r="AA31" s="63">
        <f>IF(D31&gt;0,Z31/D31,0)</f>
        <v/>
      </c>
      <c r="AB31" s="63">
        <f>IF(G31&gt;0,P31/G31,0)</f>
        <v/>
      </c>
      <c r="AC31" s="63">
        <f>IF(R31&gt;0,MIN(1,T31/R31),0)</f>
        <v/>
      </c>
    </row>
    <row r="32">
      <c r="A32" s="58" t="n">
        <v>1872</v>
      </c>
      <c r="B32" s="45" t="n">
        <v>479</v>
      </c>
      <c r="C32" s="70">
        <f>Partners!H32</f>
        <v/>
      </c>
      <c r="D32" s="47">
        <f>Partners!I32</f>
        <v/>
      </c>
      <c r="E32" s="59" t="n">
        <v>0.1</v>
      </c>
      <c r="F32" s="59" t="n">
        <v>0.08400000000000001</v>
      </c>
      <c r="G32" s="53">
        <f>D32*E32</f>
        <v/>
      </c>
      <c r="H32" s="53">
        <f>D32*F32</f>
        <v/>
      </c>
      <c r="I32" s="52" t="n">
        <v>2.4</v>
      </c>
      <c r="J32" s="53">
        <f>IF($A32&gt;=1927,(1-pac_quota)*Navy!X32,I32)</f>
        <v/>
      </c>
      <c r="K32" s="52" t="n">
        <v>0</v>
      </c>
      <c r="L32" s="53">
        <f>IF($A32&gt;=1923,siberia_front*(1-pac_quota),0)</f>
        <v/>
      </c>
      <c r="M32" s="52" t="n">
        <v>0</v>
      </c>
      <c r="N32" s="53">
        <f>M32*C32</f>
        <v/>
      </c>
      <c r="O32" s="53">
        <f>IF($A32&gt;=1927,10*(1-pac_quota),0)</f>
        <v/>
      </c>
      <c r="P32" s="53">
        <f>jp_coupon*Z31</f>
        <v/>
      </c>
      <c r="Q32" s="53">
        <f>H32+J32+K32+L32+N32+O32+P32</f>
        <v/>
      </c>
      <c r="R32" s="53">
        <f>Q32-G32</f>
        <v/>
      </c>
      <c r="S32" s="52" t="n">
        <v>0</v>
      </c>
      <c r="T32" s="53">
        <f>S32*IF($A32&gt;=1923,C32,1)</f>
        <v/>
      </c>
      <c r="U32" s="52" t="n">
        <v>0</v>
      </c>
      <c r="V32" s="52" t="n">
        <v>0</v>
      </c>
      <c r="W32" s="53">
        <f>X31*jp_foreign_repay</f>
        <v/>
      </c>
      <c r="X32" s="53">
        <f>X31+T32-W32</f>
        <v/>
      </c>
      <c r="Y32" s="53">
        <f>MAX(0,Y31+R32-T32-U32+W32+V32)</f>
        <v/>
      </c>
      <c r="Z32" s="53">
        <f>X32+Y32</f>
        <v/>
      </c>
      <c r="AA32" s="63">
        <f>IF(D32&gt;0,Z32/D32,0)</f>
        <v/>
      </c>
      <c r="AB32" s="63">
        <f>IF(G32&gt;0,P32/G32,0)</f>
        <v/>
      </c>
      <c r="AC32" s="63">
        <f>IF(R32&gt;0,MIN(1,T32/R32),0)</f>
        <v/>
      </c>
    </row>
    <row r="33">
      <c r="A33" s="58" t="n">
        <v>1873</v>
      </c>
      <c r="B33" s="45" t="n">
        <v>486</v>
      </c>
      <c r="C33" s="70">
        <f>Partners!H33</f>
        <v/>
      </c>
      <c r="D33" s="47">
        <f>Partners!I33</f>
        <v/>
      </c>
      <c r="E33" s="59" t="n">
        <v>0.11</v>
      </c>
      <c r="F33" s="59" t="n">
        <v>0.09</v>
      </c>
      <c r="G33" s="53">
        <f>D33*E33</f>
        <v/>
      </c>
      <c r="H33" s="53">
        <f>D33*F33</f>
        <v/>
      </c>
      <c r="I33" s="52" t="n">
        <v>2.6</v>
      </c>
      <c r="J33" s="53">
        <f>IF($A33&gt;=1927,(1-pac_quota)*Navy!X33,I33)</f>
        <v/>
      </c>
      <c r="K33" s="52" t="n">
        <v>0</v>
      </c>
      <c r="L33" s="53">
        <f>IF($A33&gt;=1923,siberia_front*(1-pac_quota),0)</f>
        <v/>
      </c>
      <c r="M33" s="52" t="n">
        <v>0</v>
      </c>
      <c r="N33" s="53">
        <f>M33*C33</f>
        <v/>
      </c>
      <c r="O33" s="53">
        <f>IF($A33&gt;=1927,10*(1-pac_quota),0)</f>
        <v/>
      </c>
      <c r="P33" s="53">
        <f>jp_coupon*Z32</f>
        <v/>
      </c>
      <c r="Q33" s="53">
        <f>H33+J33+K33+L33+N33+O33+P33</f>
        <v/>
      </c>
      <c r="R33" s="53">
        <f>Q33-G33</f>
        <v/>
      </c>
      <c r="S33" s="52" t="n">
        <v>0</v>
      </c>
      <c r="T33" s="53">
        <f>S33*IF($A33&gt;=1923,C33,1)</f>
        <v/>
      </c>
      <c r="U33" s="52" t="n">
        <v>0</v>
      </c>
      <c r="V33" s="52" t="n">
        <v>0</v>
      </c>
      <c r="W33" s="53">
        <f>X32*jp_foreign_repay</f>
        <v/>
      </c>
      <c r="X33" s="53">
        <f>X32+T33-W33</f>
        <v/>
      </c>
      <c r="Y33" s="53">
        <f>MAX(0,Y32+R33-T33-U33+W33+V33)</f>
        <v/>
      </c>
      <c r="Z33" s="53">
        <f>X33+Y33</f>
        <v/>
      </c>
      <c r="AA33" s="63">
        <f>IF(D33&gt;0,Z33/D33,0)</f>
        <v/>
      </c>
      <c r="AB33" s="63">
        <f>IF(G33&gt;0,P33/G33,0)</f>
        <v/>
      </c>
      <c r="AC33" s="63">
        <f>IF(R33&gt;0,MIN(1,T33/R33),0)</f>
        <v/>
      </c>
    </row>
    <row r="34">
      <c r="A34" s="58" t="n">
        <v>1874</v>
      </c>
      <c r="B34" s="45" t="n">
        <v>493</v>
      </c>
      <c r="C34" s="70">
        <f>Partners!H34</f>
        <v/>
      </c>
      <c r="D34" s="47">
        <f>Partners!I34</f>
        <v/>
      </c>
      <c r="E34" s="59" t="n">
        <v>0.11</v>
      </c>
      <c r="F34" s="59" t="n">
        <v>0.09</v>
      </c>
      <c r="G34" s="53">
        <f>D34*E34</f>
        <v/>
      </c>
      <c r="H34" s="53">
        <f>D34*F34</f>
        <v/>
      </c>
      <c r="I34" s="52" t="n">
        <v>2.8</v>
      </c>
      <c r="J34" s="53">
        <f>IF($A34&gt;=1927,(1-pac_quota)*Navy!X34,I34)</f>
        <v/>
      </c>
      <c r="K34" s="52" t="n">
        <v>0</v>
      </c>
      <c r="L34" s="53">
        <f>IF($A34&gt;=1923,siberia_front*(1-pac_quota),0)</f>
        <v/>
      </c>
      <c r="M34" s="52" t="n">
        <v>0</v>
      </c>
      <c r="N34" s="53">
        <f>M34*C34</f>
        <v/>
      </c>
      <c r="O34" s="53">
        <f>IF($A34&gt;=1927,10*(1-pac_quota),0)</f>
        <v/>
      </c>
      <c r="P34" s="53">
        <f>jp_coupon*Z33</f>
        <v/>
      </c>
      <c r="Q34" s="53">
        <f>H34+J34+K34+L34+N34+O34+P34</f>
        <v/>
      </c>
      <c r="R34" s="53">
        <f>Q34-G34</f>
        <v/>
      </c>
      <c r="S34" s="52" t="n">
        <v>0</v>
      </c>
      <c r="T34" s="53">
        <f>S34*IF($A34&gt;=1923,C34,1)</f>
        <v/>
      </c>
      <c r="U34" s="52" t="n">
        <v>0</v>
      </c>
      <c r="V34" s="52" t="n">
        <v>0</v>
      </c>
      <c r="W34" s="53">
        <f>X33*jp_foreign_repay</f>
        <v/>
      </c>
      <c r="X34" s="53">
        <f>X33+T34-W34</f>
        <v/>
      </c>
      <c r="Y34" s="53">
        <f>MAX(0,Y33+R34-T34-U34+W34+V34)</f>
        <v/>
      </c>
      <c r="Z34" s="53">
        <f>X34+Y34</f>
        <v/>
      </c>
      <c r="AA34" s="63">
        <f>IF(D34&gt;0,Z34/D34,0)</f>
        <v/>
      </c>
      <c r="AB34" s="63">
        <f>IF(G34&gt;0,P34/G34,0)</f>
        <v/>
      </c>
      <c r="AC34" s="63">
        <f>IF(R34&gt;0,MIN(1,T34/R34),0)</f>
        <v/>
      </c>
    </row>
    <row r="35">
      <c r="A35" s="58" t="n">
        <v>1875</v>
      </c>
      <c r="B35" s="45" t="n">
        <v>500</v>
      </c>
      <c r="C35" s="70">
        <f>Partners!H35</f>
        <v/>
      </c>
      <c r="D35" s="47">
        <f>Partners!I35</f>
        <v/>
      </c>
      <c r="E35" s="59" t="n">
        <v>0.11</v>
      </c>
      <c r="F35" s="59" t="n">
        <v>0.09</v>
      </c>
      <c r="G35" s="53">
        <f>D35*E35</f>
        <v/>
      </c>
      <c r="H35" s="53">
        <f>D35*F35</f>
        <v/>
      </c>
      <c r="I35" s="52" t="n">
        <v>3</v>
      </c>
      <c r="J35" s="53">
        <f>IF($A35&gt;=1927,(1-pac_quota)*Navy!X35,I35)</f>
        <v/>
      </c>
      <c r="K35" s="52" t="n">
        <v>0</v>
      </c>
      <c r="L35" s="53">
        <f>IF($A35&gt;=1923,siberia_front*(1-pac_quota),0)</f>
        <v/>
      </c>
      <c r="M35" s="52" t="n">
        <v>0</v>
      </c>
      <c r="N35" s="53">
        <f>M35*C35</f>
        <v/>
      </c>
      <c r="O35" s="53">
        <f>IF($A35&gt;=1927,10*(1-pac_quota),0)</f>
        <v/>
      </c>
      <c r="P35" s="53">
        <f>jp_coupon*Z34</f>
        <v/>
      </c>
      <c r="Q35" s="53">
        <f>H35+J35+K35+L35+N35+O35+P35</f>
        <v/>
      </c>
      <c r="R35" s="53">
        <f>Q35-G35</f>
        <v/>
      </c>
      <c r="S35" s="52" t="n">
        <v>0</v>
      </c>
      <c r="T35" s="53">
        <f>S35*IF($A35&gt;=1923,C35,1)</f>
        <v/>
      </c>
      <c r="U35" s="52" t="n">
        <v>0</v>
      </c>
      <c r="V35" s="52" t="n">
        <v>0</v>
      </c>
      <c r="W35" s="53">
        <f>X34*jp_foreign_repay</f>
        <v/>
      </c>
      <c r="X35" s="53">
        <f>X34+T35-W35</f>
        <v/>
      </c>
      <c r="Y35" s="53">
        <f>MAX(0,Y34+R35-T35-U35+W35+V35)</f>
        <v/>
      </c>
      <c r="Z35" s="53">
        <f>X35+Y35</f>
        <v/>
      </c>
      <c r="AA35" s="63">
        <f>IF(D35&gt;0,Z35/D35,0)</f>
        <v/>
      </c>
      <c r="AB35" s="63">
        <f>IF(G35&gt;0,P35/G35,0)</f>
        <v/>
      </c>
      <c r="AC35" s="63">
        <f>IF(R35&gt;0,MIN(1,T35/R35),0)</f>
        <v/>
      </c>
    </row>
    <row r="36">
      <c r="A36" s="58" t="n">
        <v>1876</v>
      </c>
      <c r="B36" s="45" t="n">
        <v>520</v>
      </c>
      <c r="C36" s="70">
        <f>Partners!H36</f>
        <v/>
      </c>
      <c r="D36" s="47">
        <f>Partners!I36</f>
        <v/>
      </c>
      <c r="E36" s="59" t="n">
        <v>0.11</v>
      </c>
      <c r="F36" s="59" t="n">
        <v>0.09</v>
      </c>
      <c r="G36" s="53">
        <f>D36*E36</f>
        <v/>
      </c>
      <c r="H36" s="53">
        <f>D36*F36</f>
        <v/>
      </c>
      <c r="I36" s="52" t="n">
        <v>3.2</v>
      </c>
      <c r="J36" s="53">
        <f>IF($A36&gt;=1927,(1-pac_quota)*Navy!X36,I36)</f>
        <v/>
      </c>
      <c r="K36" s="52" t="n">
        <v>0</v>
      </c>
      <c r="L36" s="53">
        <f>IF($A36&gt;=1923,siberia_front*(1-pac_quota),0)</f>
        <v/>
      </c>
      <c r="M36" s="52" t="n">
        <v>0</v>
      </c>
      <c r="N36" s="53">
        <f>M36*C36</f>
        <v/>
      </c>
      <c r="O36" s="53">
        <f>IF($A36&gt;=1927,10*(1-pac_quota),0)</f>
        <v/>
      </c>
      <c r="P36" s="53">
        <f>jp_coupon*Z35</f>
        <v/>
      </c>
      <c r="Q36" s="53">
        <f>H36+J36+K36+L36+N36+O36+P36</f>
        <v/>
      </c>
      <c r="R36" s="53">
        <f>Q36-G36</f>
        <v/>
      </c>
      <c r="S36" s="52" t="n">
        <v>0</v>
      </c>
      <c r="T36" s="53">
        <f>S36*IF($A36&gt;=1923,C36,1)</f>
        <v/>
      </c>
      <c r="U36" s="52" t="n">
        <v>0</v>
      </c>
      <c r="V36" s="52" t="n">
        <v>170</v>
      </c>
      <c r="W36" s="53">
        <f>X35*jp_foreign_repay</f>
        <v/>
      </c>
      <c r="X36" s="53">
        <f>X35+T36-W36</f>
        <v/>
      </c>
      <c r="Y36" s="53">
        <f>MAX(0,Y35+R36-T36-U36+W36+V36)</f>
        <v/>
      </c>
      <c r="Z36" s="53">
        <f>X36+Y36</f>
        <v/>
      </c>
      <c r="AA36" s="63">
        <f>IF(D36&gt;0,Z36/D36,0)</f>
        <v/>
      </c>
      <c r="AB36" s="63">
        <f>IF(G36&gt;0,P36/G36,0)</f>
        <v/>
      </c>
      <c r="AC36" s="63">
        <f>IF(R36&gt;0,MIN(1,T36/R36),0)</f>
        <v/>
      </c>
    </row>
    <row r="37">
      <c r="A37" s="58" t="n">
        <v>1877</v>
      </c>
      <c r="B37" s="45" t="n">
        <v>540</v>
      </c>
      <c r="C37" s="70">
        <f>Partners!H37</f>
        <v/>
      </c>
      <c r="D37" s="47">
        <f>Partners!I37</f>
        <v/>
      </c>
      <c r="E37" s="59" t="n">
        <v>0.11</v>
      </c>
      <c r="F37" s="59" t="n">
        <v>0.09</v>
      </c>
      <c r="G37" s="53">
        <f>D37*E37</f>
        <v/>
      </c>
      <c r="H37" s="53">
        <f>D37*F37</f>
        <v/>
      </c>
      <c r="I37" s="52" t="n">
        <v>3.4</v>
      </c>
      <c r="J37" s="53">
        <f>IF($A37&gt;=1927,(1-pac_quota)*Navy!X37,I37)</f>
        <v/>
      </c>
      <c r="K37" s="52" t="n">
        <v>0</v>
      </c>
      <c r="L37" s="53">
        <f>IF($A37&gt;=1923,siberia_front*(1-pac_quota),0)</f>
        <v/>
      </c>
      <c r="M37" s="52" t="n">
        <v>0</v>
      </c>
      <c r="N37" s="53">
        <f>M37*C37</f>
        <v/>
      </c>
      <c r="O37" s="53">
        <f>IF($A37&gt;=1927,10*(1-pac_quota),0)</f>
        <v/>
      </c>
      <c r="P37" s="53">
        <f>jp_coupon*Z36</f>
        <v/>
      </c>
      <c r="Q37" s="53">
        <f>H37+J37+K37+L37+N37+O37+P37</f>
        <v/>
      </c>
      <c r="R37" s="53">
        <f>Q37-G37</f>
        <v/>
      </c>
      <c r="S37" s="52" t="n">
        <v>0</v>
      </c>
      <c r="T37" s="53">
        <f>S37*IF($A37&gt;=1923,C37,1)</f>
        <v/>
      </c>
      <c r="U37" s="52" t="n">
        <v>0</v>
      </c>
      <c r="V37" s="52" t="n">
        <v>0</v>
      </c>
      <c r="W37" s="53">
        <f>X36*jp_foreign_repay</f>
        <v/>
      </c>
      <c r="X37" s="53">
        <f>X36+T37-W37</f>
        <v/>
      </c>
      <c r="Y37" s="53">
        <f>MAX(0,Y36+R37-T37-U37+W37+V37)</f>
        <v/>
      </c>
      <c r="Z37" s="53">
        <f>X37+Y37</f>
        <v/>
      </c>
      <c r="AA37" s="63">
        <f>IF(D37&gt;0,Z37/D37,0)</f>
        <v/>
      </c>
      <c r="AB37" s="63">
        <f>IF(G37&gt;0,P37/G37,0)</f>
        <v/>
      </c>
      <c r="AC37" s="63">
        <f>IF(R37&gt;0,MIN(1,T37/R37),0)</f>
        <v/>
      </c>
    </row>
    <row r="38">
      <c r="A38" s="58" t="n">
        <v>1878</v>
      </c>
      <c r="B38" s="45" t="n">
        <v>560</v>
      </c>
      <c r="C38" s="70">
        <f>Partners!H38</f>
        <v/>
      </c>
      <c r="D38" s="47">
        <f>Partners!I38</f>
        <v/>
      </c>
      <c r="E38" s="59" t="n">
        <v>0.11</v>
      </c>
      <c r="F38" s="59" t="n">
        <v>0.09</v>
      </c>
      <c r="G38" s="53">
        <f>D38*E38</f>
        <v/>
      </c>
      <c r="H38" s="53">
        <f>D38*F38</f>
        <v/>
      </c>
      <c r="I38" s="52" t="n">
        <v>3.6</v>
      </c>
      <c r="J38" s="53">
        <f>IF($A38&gt;=1927,(1-pac_quota)*Navy!X38,I38)</f>
        <v/>
      </c>
      <c r="K38" s="52" t="n">
        <v>0</v>
      </c>
      <c r="L38" s="53">
        <f>IF($A38&gt;=1923,siberia_front*(1-pac_quota),0)</f>
        <v/>
      </c>
      <c r="M38" s="52" t="n">
        <v>0</v>
      </c>
      <c r="N38" s="53">
        <f>M38*C38</f>
        <v/>
      </c>
      <c r="O38" s="53">
        <f>IF($A38&gt;=1927,10*(1-pac_quota),0)</f>
        <v/>
      </c>
      <c r="P38" s="53">
        <f>jp_coupon*Z37</f>
        <v/>
      </c>
      <c r="Q38" s="53">
        <f>H38+J38+K38+L38+N38+O38+P38</f>
        <v/>
      </c>
      <c r="R38" s="53">
        <f>Q38-G38</f>
        <v/>
      </c>
      <c r="S38" s="52" t="n">
        <v>0</v>
      </c>
      <c r="T38" s="53">
        <f>S38*IF($A38&gt;=1923,C38,1)</f>
        <v/>
      </c>
      <c r="U38" s="52" t="n">
        <v>0</v>
      </c>
      <c r="V38" s="52" t="n">
        <v>0</v>
      </c>
      <c r="W38" s="53">
        <f>X37*jp_foreign_repay</f>
        <v/>
      </c>
      <c r="X38" s="53">
        <f>X37+T38-W38</f>
        <v/>
      </c>
      <c r="Y38" s="53">
        <f>MAX(0,Y37+R38-T38-U38+W38+V38)</f>
        <v/>
      </c>
      <c r="Z38" s="53">
        <f>X38+Y38</f>
        <v/>
      </c>
      <c r="AA38" s="63">
        <f>IF(D38&gt;0,Z38/D38,0)</f>
        <v/>
      </c>
      <c r="AB38" s="63">
        <f>IF(G38&gt;0,P38/G38,0)</f>
        <v/>
      </c>
      <c r="AC38" s="63">
        <f>IF(R38&gt;0,MIN(1,T38/R38),0)</f>
        <v/>
      </c>
    </row>
    <row r="39">
      <c r="A39" s="58" t="n">
        <v>1879</v>
      </c>
      <c r="B39" s="45" t="n">
        <v>580</v>
      </c>
      <c r="C39" s="70">
        <f>Partners!H39</f>
        <v/>
      </c>
      <c r="D39" s="47">
        <f>Partners!I39</f>
        <v/>
      </c>
      <c r="E39" s="59" t="n">
        <v>0.11</v>
      </c>
      <c r="F39" s="59" t="n">
        <v>0.09</v>
      </c>
      <c r="G39" s="53">
        <f>D39*E39</f>
        <v/>
      </c>
      <c r="H39" s="53">
        <f>D39*F39</f>
        <v/>
      </c>
      <c r="I39" s="52" t="n">
        <v>3.8</v>
      </c>
      <c r="J39" s="53">
        <f>IF($A39&gt;=1927,(1-pac_quota)*Navy!X39,I39)</f>
        <v/>
      </c>
      <c r="K39" s="52" t="n">
        <v>0</v>
      </c>
      <c r="L39" s="53">
        <f>IF($A39&gt;=1923,siberia_front*(1-pac_quota),0)</f>
        <v/>
      </c>
      <c r="M39" s="52" t="n">
        <v>0</v>
      </c>
      <c r="N39" s="53">
        <f>M39*C39</f>
        <v/>
      </c>
      <c r="O39" s="53">
        <f>IF($A39&gt;=1927,10*(1-pac_quota),0)</f>
        <v/>
      </c>
      <c r="P39" s="53">
        <f>jp_coupon*Z38</f>
        <v/>
      </c>
      <c r="Q39" s="53">
        <f>H39+J39+K39+L39+N39+O39+P39</f>
        <v/>
      </c>
      <c r="R39" s="53">
        <f>Q39-G39</f>
        <v/>
      </c>
      <c r="S39" s="52" t="n">
        <v>0</v>
      </c>
      <c r="T39" s="53">
        <f>S39*IF($A39&gt;=1923,C39,1)</f>
        <v/>
      </c>
      <c r="U39" s="52" t="n">
        <v>0</v>
      </c>
      <c r="V39" s="52" t="n">
        <v>0</v>
      </c>
      <c r="W39" s="53">
        <f>X38*jp_foreign_repay</f>
        <v/>
      </c>
      <c r="X39" s="53">
        <f>X38+T39-W39</f>
        <v/>
      </c>
      <c r="Y39" s="53">
        <f>MAX(0,Y38+R39-T39-U39+W39+V39)</f>
        <v/>
      </c>
      <c r="Z39" s="53">
        <f>X39+Y39</f>
        <v/>
      </c>
      <c r="AA39" s="63">
        <f>IF(D39&gt;0,Z39/D39,0)</f>
        <v/>
      </c>
      <c r="AB39" s="63">
        <f>IF(G39&gt;0,P39/G39,0)</f>
        <v/>
      </c>
      <c r="AC39" s="63">
        <f>IF(R39&gt;0,MIN(1,T39/R39),0)</f>
        <v/>
      </c>
    </row>
    <row r="40">
      <c r="A40" s="58" t="n">
        <v>1880</v>
      </c>
      <c r="B40" s="45" t="n">
        <v>600</v>
      </c>
      <c r="C40" s="70">
        <f>Partners!H40</f>
        <v/>
      </c>
      <c r="D40" s="47">
        <f>Partners!I40</f>
        <v/>
      </c>
      <c r="E40" s="59" t="n">
        <v>0.11</v>
      </c>
      <c r="F40" s="59" t="n">
        <v>0.09</v>
      </c>
      <c r="G40" s="53">
        <f>D40*E40</f>
        <v/>
      </c>
      <c r="H40" s="53">
        <f>D40*F40</f>
        <v/>
      </c>
      <c r="I40" s="52" t="n">
        <v>4</v>
      </c>
      <c r="J40" s="53">
        <f>IF($A40&gt;=1927,(1-pac_quota)*Navy!X40,I40)</f>
        <v/>
      </c>
      <c r="K40" s="52" t="n">
        <v>0</v>
      </c>
      <c r="L40" s="53">
        <f>IF($A40&gt;=1923,siberia_front*(1-pac_quota),0)</f>
        <v/>
      </c>
      <c r="M40" s="52" t="n">
        <v>0</v>
      </c>
      <c r="N40" s="53">
        <f>M40*C40</f>
        <v/>
      </c>
      <c r="O40" s="53">
        <f>IF($A40&gt;=1927,10*(1-pac_quota),0)</f>
        <v/>
      </c>
      <c r="P40" s="53">
        <f>jp_coupon*Z39</f>
        <v/>
      </c>
      <c r="Q40" s="53">
        <f>H40+J40+K40+L40+N40+O40+P40</f>
        <v/>
      </c>
      <c r="R40" s="53">
        <f>Q40-G40</f>
        <v/>
      </c>
      <c r="S40" s="52" t="n">
        <v>0</v>
      </c>
      <c r="T40" s="53">
        <f>S40*IF($A40&gt;=1923,C40,1)</f>
        <v/>
      </c>
      <c r="U40" s="52" t="n">
        <v>0</v>
      </c>
      <c r="V40" s="52" t="n">
        <v>0</v>
      </c>
      <c r="W40" s="53">
        <f>X39*jp_foreign_repay</f>
        <v/>
      </c>
      <c r="X40" s="53">
        <f>X39+T40-W40</f>
        <v/>
      </c>
      <c r="Y40" s="53">
        <f>MAX(0,Y39+R40-T40-U40+W40+V40)</f>
        <v/>
      </c>
      <c r="Z40" s="53">
        <f>X40+Y40</f>
        <v/>
      </c>
      <c r="AA40" s="63">
        <f>IF(D40&gt;0,Z40/D40,0)</f>
        <v/>
      </c>
      <c r="AB40" s="63">
        <f>IF(G40&gt;0,P40/G40,0)</f>
        <v/>
      </c>
      <c r="AC40" s="63">
        <f>IF(R40&gt;0,MIN(1,T40/R40),0)</f>
        <v/>
      </c>
    </row>
    <row r="41">
      <c r="A41" s="58" t="n">
        <v>1881</v>
      </c>
      <c r="B41" s="45" t="n">
        <v>610</v>
      </c>
      <c r="C41" s="70">
        <f>Partners!H41</f>
        <v/>
      </c>
      <c r="D41" s="47">
        <f>Partners!I41</f>
        <v/>
      </c>
      <c r="E41" s="59" t="n">
        <v>0.109</v>
      </c>
      <c r="F41" s="59" t="n">
        <v>0.0895</v>
      </c>
      <c r="G41" s="53">
        <f>D41*E41</f>
        <v/>
      </c>
      <c r="H41" s="53">
        <f>D41*F41</f>
        <v/>
      </c>
      <c r="I41" s="52" t="n">
        <v>4.4</v>
      </c>
      <c r="J41" s="53">
        <f>IF($A41&gt;=1927,(1-pac_quota)*Navy!X41,I41)</f>
        <v/>
      </c>
      <c r="K41" s="52" t="n">
        <v>0</v>
      </c>
      <c r="L41" s="53">
        <f>IF($A41&gt;=1923,siberia_front*(1-pac_quota),0)</f>
        <v/>
      </c>
      <c r="M41" s="52" t="n">
        <v>0</v>
      </c>
      <c r="N41" s="53">
        <f>M41*C41</f>
        <v/>
      </c>
      <c r="O41" s="53">
        <f>IF($A41&gt;=1927,10*(1-pac_quota),0)</f>
        <v/>
      </c>
      <c r="P41" s="53">
        <f>jp_coupon*Z40</f>
        <v/>
      </c>
      <c r="Q41" s="53">
        <f>H41+J41+K41+L41+N41+O41+P41</f>
        <v/>
      </c>
      <c r="R41" s="53">
        <f>Q41-G41</f>
        <v/>
      </c>
      <c r="S41" s="52" t="n">
        <v>0</v>
      </c>
      <c r="T41" s="53">
        <f>S41*IF($A41&gt;=1923,C41,1)</f>
        <v/>
      </c>
      <c r="U41" s="52" t="n">
        <v>0</v>
      </c>
      <c r="V41" s="52" t="n">
        <v>0</v>
      </c>
      <c r="W41" s="53">
        <f>X40*jp_foreign_repay</f>
        <v/>
      </c>
      <c r="X41" s="53">
        <f>X40+T41-W41</f>
        <v/>
      </c>
      <c r="Y41" s="53">
        <f>MAX(0,Y40+R41-T41-U41+W41+V41)</f>
        <v/>
      </c>
      <c r="Z41" s="53">
        <f>X41+Y41</f>
        <v/>
      </c>
      <c r="AA41" s="63">
        <f>IF(D41&gt;0,Z41/D41,0)</f>
        <v/>
      </c>
      <c r="AB41" s="63">
        <f>IF(G41&gt;0,P41/G41,0)</f>
        <v/>
      </c>
      <c r="AC41" s="63">
        <f>IF(R41&gt;0,MIN(1,T41/R41),0)</f>
        <v/>
      </c>
    </row>
    <row r="42">
      <c r="A42" s="58" t="n">
        <v>1882</v>
      </c>
      <c r="B42" s="45" t="n">
        <v>620</v>
      </c>
      <c r="C42" s="70">
        <f>Partners!H42</f>
        <v/>
      </c>
      <c r="D42" s="47">
        <f>Partners!I42</f>
        <v/>
      </c>
      <c r="E42" s="59" t="n">
        <v>0.108</v>
      </c>
      <c r="F42" s="59" t="n">
        <v>0.089</v>
      </c>
      <c r="G42" s="53">
        <f>D42*E42</f>
        <v/>
      </c>
      <c r="H42" s="53">
        <f>D42*F42</f>
        <v/>
      </c>
      <c r="I42" s="52" t="n">
        <v>4.8</v>
      </c>
      <c r="J42" s="53">
        <f>IF($A42&gt;=1927,(1-pac_quota)*Navy!X42,I42)</f>
        <v/>
      </c>
      <c r="K42" s="52" t="n">
        <v>0</v>
      </c>
      <c r="L42" s="53">
        <f>IF($A42&gt;=1923,siberia_front*(1-pac_quota),0)</f>
        <v/>
      </c>
      <c r="M42" s="52" t="n">
        <v>0</v>
      </c>
      <c r="N42" s="53">
        <f>M42*C42</f>
        <v/>
      </c>
      <c r="O42" s="53">
        <f>IF($A42&gt;=1927,10*(1-pac_quota),0)</f>
        <v/>
      </c>
      <c r="P42" s="53">
        <f>jp_coupon*Z41</f>
        <v/>
      </c>
      <c r="Q42" s="53">
        <f>H42+J42+K42+L42+N42+O42+P42</f>
        <v/>
      </c>
      <c r="R42" s="53">
        <f>Q42-G42</f>
        <v/>
      </c>
      <c r="S42" s="52" t="n">
        <v>0</v>
      </c>
      <c r="T42" s="53">
        <f>S42*IF($A42&gt;=1923,C42,1)</f>
        <v/>
      </c>
      <c r="U42" s="52" t="n">
        <v>0</v>
      </c>
      <c r="V42" s="52" t="n">
        <v>0</v>
      </c>
      <c r="W42" s="53">
        <f>X41*jp_foreign_repay</f>
        <v/>
      </c>
      <c r="X42" s="53">
        <f>X41+T42-W42</f>
        <v/>
      </c>
      <c r="Y42" s="53">
        <f>MAX(0,Y41+R42-T42-U42+W42+V42)</f>
        <v/>
      </c>
      <c r="Z42" s="53">
        <f>X42+Y42</f>
        <v/>
      </c>
      <c r="AA42" s="63">
        <f>IF(D42&gt;0,Z42/D42,0)</f>
        <v/>
      </c>
      <c r="AB42" s="63">
        <f>IF(G42&gt;0,P42/G42,0)</f>
        <v/>
      </c>
      <c r="AC42" s="63">
        <f>IF(R42&gt;0,MIN(1,T42/R42),0)</f>
        <v/>
      </c>
    </row>
    <row r="43">
      <c r="A43" s="58" t="n">
        <v>1883</v>
      </c>
      <c r="B43" s="45" t="n">
        <v>630</v>
      </c>
      <c r="C43" s="70">
        <f>Partners!H43</f>
        <v/>
      </c>
      <c r="D43" s="47">
        <f>Partners!I43</f>
        <v/>
      </c>
      <c r="E43" s="59" t="n">
        <v>0.107</v>
      </c>
      <c r="F43" s="59" t="n">
        <v>0.0885</v>
      </c>
      <c r="G43" s="53">
        <f>D43*E43</f>
        <v/>
      </c>
      <c r="H43" s="53">
        <f>D43*F43</f>
        <v/>
      </c>
      <c r="I43" s="52" t="n">
        <v>5.2</v>
      </c>
      <c r="J43" s="53">
        <f>IF($A43&gt;=1927,(1-pac_quota)*Navy!X43,I43)</f>
        <v/>
      </c>
      <c r="K43" s="52" t="n">
        <v>0</v>
      </c>
      <c r="L43" s="53">
        <f>IF($A43&gt;=1923,siberia_front*(1-pac_quota),0)</f>
        <v/>
      </c>
      <c r="M43" s="52" t="n">
        <v>0</v>
      </c>
      <c r="N43" s="53">
        <f>M43*C43</f>
        <v/>
      </c>
      <c r="O43" s="53">
        <f>IF($A43&gt;=1927,10*(1-pac_quota),0)</f>
        <v/>
      </c>
      <c r="P43" s="53">
        <f>jp_coupon*Z42</f>
        <v/>
      </c>
      <c r="Q43" s="53">
        <f>H43+J43+K43+L43+N43+O43+P43</f>
        <v/>
      </c>
      <c r="R43" s="53">
        <f>Q43-G43</f>
        <v/>
      </c>
      <c r="S43" s="52" t="n">
        <v>0</v>
      </c>
      <c r="T43" s="53">
        <f>S43*IF($A43&gt;=1923,C43,1)</f>
        <v/>
      </c>
      <c r="U43" s="52" t="n">
        <v>0</v>
      </c>
      <c r="V43" s="52" t="n">
        <v>0</v>
      </c>
      <c r="W43" s="53">
        <f>X42*jp_foreign_repay</f>
        <v/>
      </c>
      <c r="X43" s="53">
        <f>X42+T43-W43</f>
        <v/>
      </c>
      <c r="Y43" s="53">
        <f>MAX(0,Y42+R43-T43-U43+W43+V43)</f>
        <v/>
      </c>
      <c r="Z43" s="53">
        <f>X43+Y43</f>
        <v/>
      </c>
      <c r="AA43" s="63">
        <f>IF(D43&gt;0,Z43/D43,0)</f>
        <v/>
      </c>
      <c r="AB43" s="63">
        <f>IF(G43&gt;0,P43/G43,0)</f>
        <v/>
      </c>
      <c r="AC43" s="63">
        <f>IF(R43&gt;0,MIN(1,T43/R43),0)</f>
        <v/>
      </c>
    </row>
    <row r="44">
      <c r="A44" s="58" t="n">
        <v>1884</v>
      </c>
      <c r="B44" s="45" t="n">
        <v>640</v>
      </c>
      <c r="C44" s="70">
        <f>Partners!H44</f>
        <v/>
      </c>
      <c r="D44" s="47">
        <f>Partners!I44</f>
        <v/>
      </c>
      <c r="E44" s="59" t="n">
        <v>0.106</v>
      </c>
      <c r="F44" s="59" t="n">
        <v>0.08799999999999999</v>
      </c>
      <c r="G44" s="53">
        <f>D44*E44</f>
        <v/>
      </c>
      <c r="H44" s="53">
        <f>D44*F44</f>
        <v/>
      </c>
      <c r="I44" s="52" t="n">
        <v>5.6</v>
      </c>
      <c r="J44" s="53">
        <f>IF($A44&gt;=1927,(1-pac_quota)*Navy!X44,I44)</f>
        <v/>
      </c>
      <c r="K44" s="52" t="n">
        <v>0</v>
      </c>
      <c r="L44" s="53">
        <f>IF($A44&gt;=1923,siberia_front*(1-pac_quota),0)</f>
        <v/>
      </c>
      <c r="M44" s="52" t="n">
        <v>0</v>
      </c>
      <c r="N44" s="53">
        <f>M44*C44</f>
        <v/>
      </c>
      <c r="O44" s="53">
        <f>IF($A44&gt;=1927,10*(1-pac_quota),0)</f>
        <v/>
      </c>
      <c r="P44" s="53">
        <f>jp_coupon*Z43</f>
        <v/>
      </c>
      <c r="Q44" s="53">
        <f>H44+J44+K44+L44+N44+O44+P44</f>
        <v/>
      </c>
      <c r="R44" s="53">
        <f>Q44-G44</f>
        <v/>
      </c>
      <c r="S44" s="52" t="n">
        <v>0</v>
      </c>
      <c r="T44" s="53">
        <f>S44*IF($A44&gt;=1923,C44,1)</f>
        <v/>
      </c>
      <c r="U44" s="52" t="n">
        <v>0</v>
      </c>
      <c r="V44" s="52" t="n">
        <v>0</v>
      </c>
      <c r="W44" s="53">
        <f>X43*jp_foreign_repay</f>
        <v/>
      </c>
      <c r="X44" s="53">
        <f>X43+T44-W44</f>
        <v/>
      </c>
      <c r="Y44" s="53">
        <f>MAX(0,Y43+R44-T44-U44+W44+V44)</f>
        <v/>
      </c>
      <c r="Z44" s="53">
        <f>X44+Y44</f>
        <v/>
      </c>
      <c r="AA44" s="63">
        <f>IF(D44&gt;0,Z44/D44,0)</f>
        <v/>
      </c>
      <c r="AB44" s="63">
        <f>IF(G44&gt;0,P44/G44,0)</f>
        <v/>
      </c>
      <c r="AC44" s="63">
        <f>IF(R44&gt;0,MIN(1,T44/R44),0)</f>
        <v/>
      </c>
    </row>
    <row r="45">
      <c r="A45" s="58" t="n">
        <v>1885</v>
      </c>
      <c r="B45" s="45" t="n">
        <v>650</v>
      </c>
      <c r="C45" s="70">
        <f>Partners!H45</f>
        <v/>
      </c>
      <c r="D45" s="47">
        <f>Partners!I45</f>
        <v/>
      </c>
      <c r="E45" s="59" t="n">
        <v>0.105</v>
      </c>
      <c r="F45" s="59" t="n">
        <v>0.08749999999999999</v>
      </c>
      <c r="G45" s="53">
        <f>D45*E45</f>
        <v/>
      </c>
      <c r="H45" s="53">
        <f>D45*F45</f>
        <v/>
      </c>
      <c r="I45" s="52" t="n">
        <v>6</v>
      </c>
      <c r="J45" s="53">
        <f>IF($A45&gt;=1927,(1-pac_quota)*Navy!X45,I45)</f>
        <v/>
      </c>
      <c r="K45" s="52" t="n">
        <v>0</v>
      </c>
      <c r="L45" s="53">
        <f>IF($A45&gt;=1923,siberia_front*(1-pac_quota),0)</f>
        <v/>
      </c>
      <c r="M45" s="52" t="n">
        <v>0</v>
      </c>
      <c r="N45" s="53">
        <f>M45*C45</f>
        <v/>
      </c>
      <c r="O45" s="53">
        <f>IF($A45&gt;=1927,10*(1-pac_quota),0)</f>
        <v/>
      </c>
      <c r="P45" s="53">
        <f>jp_coupon*Z44</f>
        <v/>
      </c>
      <c r="Q45" s="53">
        <f>H45+J45+K45+L45+N45+O45+P45</f>
        <v/>
      </c>
      <c r="R45" s="53">
        <f>Q45-G45</f>
        <v/>
      </c>
      <c r="S45" s="52" t="n">
        <v>0</v>
      </c>
      <c r="T45" s="53">
        <f>S45*IF($A45&gt;=1923,C45,1)</f>
        <v/>
      </c>
      <c r="U45" s="52" t="n">
        <v>0</v>
      </c>
      <c r="V45" s="52" t="n">
        <v>0</v>
      </c>
      <c r="W45" s="53">
        <f>X44*jp_foreign_repay</f>
        <v/>
      </c>
      <c r="X45" s="53">
        <f>X44+T45-W45</f>
        <v/>
      </c>
      <c r="Y45" s="53">
        <f>MAX(0,Y44+R45-T45-U45+W45+V45)</f>
        <v/>
      </c>
      <c r="Z45" s="53">
        <f>X45+Y45</f>
        <v/>
      </c>
      <c r="AA45" s="63">
        <f>IF(D45&gt;0,Z45/D45,0)</f>
        <v/>
      </c>
      <c r="AB45" s="63">
        <f>IF(G45&gt;0,P45/G45,0)</f>
        <v/>
      </c>
      <c r="AC45" s="63">
        <f>IF(R45&gt;0,MIN(1,T45/R45),0)</f>
        <v/>
      </c>
    </row>
    <row r="46">
      <c r="A46" s="58" t="n">
        <v>1886</v>
      </c>
      <c r="B46" s="45" t="n">
        <v>680</v>
      </c>
      <c r="C46" s="70">
        <f>Partners!H46</f>
        <v/>
      </c>
      <c r="D46" s="47">
        <f>Partners!I46</f>
        <v/>
      </c>
      <c r="E46" s="59" t="n">
        <v>0.104</v>
      </c>
      <c r="F46" s="59" t="n">
        <v>0.08699999999999999</v>
      </c>
      <c r="G46" s="53">
        <f>D46*E46</f>
        <v/>
      </c>
      <c r="H46" s="53">
        <f>D46*F46</f>
        <v/>
      </c>
      <c r="I46" s="52" t="n">
        <v>6.4</v>
      </c>
      <c r="J46" s="53">
        <f>IF($A46&gt;=1927,(1-pac_quota)*Navy!X46,I46)</f>
        <v/>
      </c>
      <c r="K46" s="52" t="n">
        <v>0</v>
      </c>
      <c r="L46" s="53">
        <f>IF($A46&gt;=1923,siberia_front*(1-pac_quota),0)</f>
        <v/>
      </c>
      <c r="M46" s="52" t="n">
        <v>0</v>
      </c>
      <c r="N46" s="53">
        <f>M46*C46</f>
        <v/>
      </c>
      <c r="O46" s="53">
        <f>IF($A46&gt;=1927,10*(1-pac_quota),0)</f>
        <v/>
      </c>
      <c r="P46" s="53">
        <f>jp_coupon*Z45</f>
        <v/>
      </c>
      <c r="Q46" s="53">
        <f>H46+J46+K46+L46+N46+O46+P46</f>
        <v/>
      </c>
      <c r="R46" s="53">
        <f>Q46-G46</f>
        <v/>
      </c>
      <c r="S46" s="52" t="n">
        <v>0</v>
      </c>
      <c r="T46" s="53">
        <f>S46*IF($A46&gt;=1923,C46,1)</f>
        <v/>
      </c>
      <c r="U46" s="52" t="n">
        <v>0</v>
      </c>
      <c r="V46" s="52" t="n">
        <v>0</v>
      </c>
      <c r="W46" s="53">
        <f>X45*jp_foreign_repay</f>
        <v/>
      </c>
      <c r="X46" s="53">
        <f>X45+T46-W46</f>
        <v/>
      </c>
      <c r="Y46" s="53">
        <f>MAX(0,Y45+R46-T46-U46+W46+V46)</f>
        <v/>
      </c>
      <c r="Z46" s="53">
        <f>X46+Y46</f>
        <v/>
      </c>
      <c r="AA46" s="63">
        <f>IF(D46&gt;0,Z46/D46,0)</f>
        <v/>
      </c>
      <c r="AB46" s="63">
        <f>IF(G46&gt;0,P46/G46,0)</f>
        <v/>
      </c>
      <c r="AC46" s="63">
        <f>IF(R46&gt;0,MIN(1,T46/R46),0)</f>
        <v/>
      </c>
    </row>
    <row r="47">
      <c r="A47" s="58" t="n">
        <v>1887</v>
      </c>
      <c r="B47" s="45" t="n">
        <v>710</v>
      </c>
      <c r="C47" s="70">
        <f>Partners!H47</f>
        <v/>
      </c>
      <c r="D47" s="47">
        <f>Partners!I47</f>
        <v/>
      </c>
      <c r="E47" s="59" t="n">
        <v>0.103</v>
      </c>
      <c r="F47" s="59" t="n">
        <v>0.08649999999999999</v>
      </c>
      <c r="G47" s="53">
        <f>D47*E47</f>
        <v/>
      </c>
      <c r="H47" s="53">
        <f>D47*F47</f>
        <v/>
      </c>
      <c r="I47" s="52" t="n">
        <v>6.8</v>
      </c>
      <c r="J47" s="53">
        <f>IF($A47&gt;=1927,(1-pac_quota)*Navy!X47,I47)</f>
        <v/>
      </c>
      <c r="K47" s="52" t="n">
        <v>0</v>
      </c>
      <c r="L47" s="53">
        <f>IF($A47&gt;=1923,siberia_front*(1-pac_quota),0)</f>
        <v/>
      </c>
      <c r="M47" s="52" t="n">
        <v>0</v>
      </c>
      <c r="N47" s="53">
        <f>M47*C47</f>
        <v/>
      </c>
      <c r="O47" s="53">
        <f>IF($A47&gt;=1927,10*(1-pac_quota),0)</f>
        <v/>
      </c>
      <c r="P47" s="53">
        <f>jp_coupon*Z46</f>
        <v/>
      </c>
      <c r="Q47" s="53">
        <f>H47+J47+K47+L47+N47+O47+P47</f>
        <v/>
      </c>
      <c r="R47" s="53">
        <f>Q47-G47</f>
        <v/>
      </c>
      <c r="S47" s="52" t="n">
        <v>0</v>
      </c>
      <c r="T47" s="53">
        <f>S47*IF($A47&gt;=1923,C47,1)</f>
        <v/>
      </c>
      <c r="U47" s="52" t="n">
        <v>0</v>
      </c>
      <c r="V47" s="52" t="n">
        <v>0</v>
      </c>
      <c r="W47" s="53">
        <f>X46*jp_foreign_repay</f>
        <v/>
      </c>
      <c r="X47" s="53">
        <f>X46+T47-W47</f>
        <v/>
      </c>
      <c r="Y47" s="53">
        <f>MAX(0,Y46+R47-T47-U47+W47+V47)</f>
        <v/>
      </c>
      <c r="Z47" s="53">
        <f>X47+Y47</f>
        <v/>
      </c>
      <c r="AA47" s="63">
        <f>IF(D47&gt;0,Z47/D47,0)</f>
        <v/>
      </c>
      <c r="AB47" s="63">
        <f>IF(G47&gt;0,P47/G47,0)</f>
        <v/>
      </c>
      <c r="AC47" s="63">
        <f>IF(R47&gt;0,MIN(1,T47/R47),0)</f>
        <v/>
      </c>
    </row>
    <row r="48">
      <c r="A48" s="58" t="n">
        <v>1888</v>
      </c>
      <c r="B48" s="45" t="n">
        <v>740</v>
      </c>
      <c r="C48" s="70">
        <f>Partners!H48</f>
        <v/>
      </c>
      <c r="D48" s="47">
        <f>Partners!I48</f>
        <v/>
      </c>
      <c r="E48" s="59" t="n">
        <v>0.102</v>
      </c>
      <c r="F48" s="59" t="n">
        <v>0.08599999999999999</v>
      </c>
      <c r="G48" s="53">
        <f>D48*E48</f>
        <v/>
      </c>
      <c r="H48" s="53">
        <f>D48*F48</f>
        <v/>
      </c>
      <c r="I48" s="52" t="n">
        <v>7.2</v>
      </c>
      <c r="J48" s="53">
        <f>IF($A48&gt;=1927,(1-pac_quota)*Navy!X48,I48)</f>
        <v/>
      </c>
      <c r="K48" s="52" t="n">
        <v>0</v>
      </c>
      <c r="L48" s="53">
        <f>IF($A48&gt;=1923,siberia_front*(1-pac_quota),0)</f>
        <v/>
      </c>
      <c r="M48" s="52" t="n">
        <v>0</v>
      </c>
      <c r="N48" s="53">
        <f>M48*C48</f>
        <v/>
      </c>
      <c r="O48" s="53">
        <f>IF($A48&gt;=1927,10*(1-pac_quota),0)</f>
        <v/>
      </c>
      <c r="P48" s="53">
        <f>jp_coupon*Z47</f>
        <v/>
      </c>
      <c r="Q48" s="53">
        <f>H48+J48+K48+L48+N48+O48+P48</f>
        <v/>
      </c>
      <c r="R48" s="53">
        <f>Q48-G48</f>
        <v/>
      </c>
      <c r="S48" s="52" t="n">
        <v>0</v>
      </c>
      <c r="T48" s="53">
        <f>S48*IF($A48&gt;=1923,C48,1)</f>
        <v/>
      </c>
      <c r="U48" s="52" t="n">
        <v>0</v>
      </c>
      <c r="V48" s="52" t="n">
        <v>0</v>
      </c>
      <c r="W48" s="53">
        <f>X47*jp_foreign_repay</f>
        <v/>
      </c>
      <c r="X48" s="53">
        <f>X47+T48-W48</f>
        <v/>
      </c>
      <c r="Y48" s="53">
        <f>MAX(0,Y47+R48-T48-U48+W48+V48)</f>
        <v/>
      </c>
      <c r="Z48" s="53">
        <f>X48+Y48</f>
        <v/>
      </c>
      <c r="AA48" s="63">
        <f>IF(D48&gt;0,Z48/D48,0)</f>
        <v/>
      </c>
      <c r="AB48" s="63">
        <f>IF(G48&gt;0,P48/G48,0)</f>
        <v/>
      </c>
      <c r="AC48" s="63">
        <f>IF(R48&gt;0,MIN(1,T48/R48),0)</f>
        <v/>
      </c>
    </row>
    <row r="49">
      <c r="A49" s="58" t="n">
        <v>1889</v>
      </c>
      <c r="B49" s="45" t="n">
        <v>770</v>
      </c>
      <c r="C49" s="70">
        <f>Partners!H49</f>
        <v/>
      </c>
      <c r="D49" s="47">
        <f>Partners!I49</f>
        <v/>
      </c>
      <c r="E49" s="59" t="n">
        <v>0.101</v>
      </c>
      <c r="F49" s="59" t="n">
        <v>0.08550000000000001</v>
      </c>
      <c r="G49" s="53">
        <f>D49*E49</f>
        <v/>
      </c>
      <c r="H49" s="53">
        <f>D49*F49</f>
        <v/>
      </c>
      <c r="I49" s="52" t="n">
        <v>7.6</v>
      </c>
      <c r="J49" s="53">
        <f>IF($A49&gt;=1927,(1-pac_quota)*Navy!X49,I49)</f>
        <v/>
      </c>
      <c r="K49" s="52" t="n">
        <v>0</v>
      </c>
      <c r="L49" s="53">
        <f>IF($A49&gt;=1923,siberia_front*(1-pac_quota),0)</f>
        <v/>
      </c>
      <c r="M49" s="52" t="n">
        <v>0</v>
      </c>
      <c r="N49" s="53">
        <f>M49*C49</f>
        <v/>
      </c>
      <c r="O49" s="53">
        <f>IF($A49&gt;=1927,10*(1-pac_quota),0)</f>
        <v/>
      </c>
      <c r="P49" s="53">
        <f>jp_coupon*Z48</f>
        <v/>
      </c>
      <c r="Q49" s="53">
        <f>H49+J49+K49+L49+N49+O49+P49</f>
        <v/>
      </c>
      <c r="R49" s="53">
        <f>Q49-G49</f>
        <v/>
      </c>
      <c r="S49" s="52" t="n">
        <v>0</v>
      </c>
      <c r="T49" s="53">
        <f>S49*IF($A49&gt;=1923,C49,1)</f>
        <v/>
      </c>
      <c r="U49" s="52" t="n">
        <v>0</v>
      </c>
      <c r="V49" s="52" t="n">
        <v>0</v>
      </c>
      <c r="W49" s="53">
        <f>X48*jp_foreign_repay</f>
        <v/>
      </c>
      <c r="X49" s="53">
        <f>X48+T49-W49</f>
        <v/>
      </c>
      <c r="Y49" s="53">
        <f>MAX(0,Y48+R49-T49-U49+W49+V49)</f>
        <v/>
      </c>
      <c r="Z49" s="53">
        <f>X49+Y49</f>
        <v/>
      </c>
      <c r="AA49" s="63">
        <f>IF(D49&gt;0,Z49/D49,0)</f>
        <v/>
      </c>
      <c r="AB49" s="63">
        <f>IF(G49&gt;0,P49/G49,0)</f>
        <v/>
      </c>
      <c r="AC49" s="63">
        <f>IF(R49&gt;0,MIN(1,T49/R49),0)</f>
        <v/>
      </c>
    </row>
    <row r="50">
      <c r="A50" s="58" t="n">
        <v>1890</v>
      </c>
      <c r="B50" s="45" t="n">
        <v>800</v>
      </c>
      <c r="C50" s="70">
        <f>Partners!H50</f>
        <v/>
      </c>
      <c r="D50" s="47">
        <f>Partners!I50</f>
        <v/>
      </c>
      <c r="E50" s="59" t="n">
        <v>0.1</v>
      </c>
      <c r="F50" s="59" t="n">
        <v>0.08500000000000001</v>
      </c>
      <c r="G50" s="53">
        <f>D50*E50</f>
        <v/>
      </c>
      <c r="H50" s="53">
        <f>D50*F50</f>
        <v/>
      </c>
      <c r="I50" s="52" t="n">
        <v>8</v>
      </c>
      <c r="J50" s="53">
        <f>IF($A50&gt;=1927,(1-pac_quota)*Navy!X50,I50)</f>
        <v/>
      </c>
      <c r="K50" s="52" t="n">
        <v>0</v>
      </c>
      <c r="L50" s="53">
        <f>IF($A50&gt;=1923,siberia_front*(1-pac_quota),0)</f>
        <v/>
      </c>
      <c r="M50" s="52" t="n">
        <v>0</v>
      </c>
      <c r="N50" s="53">
        <f>M50*C50</f>
        <v/>
      </c>
      <c r="O50" s="53">
        <f>IF($A50&gt;=1927,10*(1-pac_quota),0)</f>
        <v/>
      </c>
      <c r="P50" s="53">
        <f>jp_coupon*Z49</f>
        <v/>
      </c>
      <c r="Q50" s="53">
        <f>H50+J50+K50+L50+N50+O50+P50</f>
        <v/>
      </c>
      <c r="R50" s="53">
        <f>Q50-G50</f>
        <v/>
      </c>
      <c r="S50" s="52" t="n">
        <v>0</v>
      </c>
      <c r="T50" s="53">
        <f>S50*IF($A50&gt;=1923,C50,1)</f>
        <v/>
      </c>
      <c r="U50" s="52" t="n">
        <v>0</v>
      </c>
      <c r="V50" s="52" t="n">
        <v>0</v>
      </c>
      <c r="W50" s="53">
        <f>X49*jp_foreign_repay</f>
        <v/>
      </c>
      <c r="X50" s="53">
        <f>X49+T50-W50</f>
        <v/>
      </c>
      <c r="Y50" s="53">
        <f>MAX(0,Y49+R50-T50-U50+W50+V50)</f>
        <v/>
      </c>
      <c r="Z50" s="53">
        <f>X50+Y50</f>
        <v/>
      </c>
      <c r="AA50" s="63">
        <f>IF(D50&gt;0,Z50/D50,0)</f>
        <v/>
      </c>
      <c r="AB50" s="63">
        <f>IF(G50&gt;0,P50/G50,0)</f>
        <v/>
      </c>
      <c r="AC50" s="63">
        <f>IF(R50&gt;0,MIN(1,T50/R50),0)</f>
        <v/>
      </c>
    </row>
    <row r="51">
      <c r="A51" s="58" t="n">
        <v>1891</v>
      </c>
      <c r="B51" s="45" t="n">
        <v>804</v>
      </c>
      <c r="C51" s="70">
        <f>Partners!H51</f>
        <v/>
      </c>
      <c r="D51" s="47">
        <f>Partners!I51</f>
        <v/>
      </c>
      <c r="E51" s="59" t="n">
        <v>0.101</v>
      </c>
      <c r="F51" s="59" t="n">
        <v>0.08500000000000001</v>
      </c>
      <c r="G51" s="53">
        <f>D51*E51</f>
        <v/>
      </c>
      <c r="H51" s="53">
        <f>D51*F51</f>
        <v/>
      </c>
      <c r="I51" s="52" t="n">
        <v>9</v>
      </c>
      <c r="J51" s="53">
        <f>IF($A51&gt;=1927,(1-pac_quota)*Navy!X51,I51)</f>
        <v/>
      </c>
      <c r="K51" s="52" t="n">
        <v>0</v>
      </c>
      <c r="L51" s="53">
        <f>IF($A51&gt;=1923,siberia_front*(1-pac_quota),0)</f>
        <v/>
      </c>
      <c r="M51" s="52" t="n">
        <v>0</v>
      </c>
      <c r="N51" s="53">
        <f>M51*C51</f>
        <v/>
      </c>
      <c r="O51" s="53">
        <f>IF($A51&gt;=1927,10*(1-pac_quota),0)</f>
        <v/>
      </c>
      <c r="P51" s="53">
        <f>jp_coupon*Z50</f>
        <v/>
      </c>
      <c r="Q51" s="53">
        <f>H51+J51+K51+L51+N51+O51+P51</f>
        <v/>
      </c>
      <c r="R51" s="53">
        <f>Q51-G51</f>
        <v/>
      </c>
      <c r="S51" s="52" t="n">
        <v>0</v>
      </c>
      <c r="T51" s="53">
        <f>S51*IF($A51&gt;=1923,C51,1)</f>
        <v/>
      </c>
      <c r="U51" s="52" t="n">
        <v>0</v>
      </c>
      <c r="V51" s="52" t="n">
        <v>0</v>
      </c>
      <c r="W51" s="53">
        <f>X50*jp_foreign_repay</f>
        <v/>
      </c>
      <c r="X51" s="53">
        <f>X50+T51-W51</f>
        <v/>
      </c>
      <c r="Y51" s="53">
        <f>MAX(0,Y50+R51-T51-U51+W51+V51)</f>
        <v/>
      </c>
      <c r="Z51" s="53">
        <f>X51+Y51</f>
        <v/>
      </c>
      <c r="AA51" s="63">
        <f>IF(D51&gt;0,Z51/D51,0)</f>
        <v/>
      </c>
      <c r="AB51" s="63">
        <f>IF(G51&gt;0,P51/G51,0)</f>
        <v/>
      </c>
      <c r="AC51" s="63">
        <f>IF(R51&gt;0,MIN(1,T51/R51),0)</f>
        <v/>
      </c>
    </row>
    <row r="52">
      <c r="A52" s="58" t="n">
        <v>1892</v>
      </c>
      <c r="B52" s="45" t="n">
        <v>808</v>
      </c>
      <c r="C52" s="70">
        <f>Partners!H52</f>
        <v/>
      </c>
      <c r="D52" s="47">
        <f>Partners!I52</f>
        <v/>
      </c>
      <c r="E52" s="59" t="n">
        <v>0.102</v>
      </c>
      <c r="F52" s="59" t="n">
        <v>0.08500000000000001</v>
      </c>
      <c r="G52" s="53">
        <f>D52*E52</f>
        <v/>
      </c>
      <c r="H52" s="53">
        <f>D52*F52</f>
        <v/>
      </c>
      <c r="I52" s="52" t="n">
        <v>10</v>
      </c>
      <c r="J52" s="53">
        <f>IF($A52&gt;=1927,(1-pac_quota)*Navy!X52,I52)</f>
        <v/>
      </c>
      <c r="K52" s="52" t="n">
        <v>0</v>
      </c>
      <c r="L52" s="53">
        <f>IF($A52&gt;=1923,siberia_front*(1-pac_quota),0)</f>
        <v/>
      </c>
      <c r="M52" s="52" t="n">
        <v>0</v>
      </c>
      <c r="N52" s="53">
        <f>M52*C52</f>
        <v/>
      </c>
      <c r="O52" s="53">
        <f>IF($A52&gt;=1927,10*(1-pac_quota),0)</f>
        <v/>
      </c>
      <c r="P52" s="53">
        <f>jp_coupon*Z51</f>
        <v/>
      </c>
      <c r="Q52" s="53">
        <f>H52+J52+K52+L52+N52+O52+P52</f>
        <v/>
      </c>
      <c r="R52" s="53">
        <f>Q52-G52</f>
        <v/>
      </c>
      <c r="S52" s="52" t="n">
        <v>0</v>
      </c>
      <c r="T52" s="53">
        <f>S52*IF($A52&gt;=1923,C52,1)</f>
        <v/>
      </c>
      <c r="U52" s="52" t="n">
        <v>0</v>
      </c>
      <c r="V52" s="52" t="n">
        <v>0</v>
      </c>
      <c r="W52" s="53">
        <f>X51*jp_foreign_repay</f>
        <v/>
      </c>
      <c r="X52" s="53">
        <f>X51+T52-W52</f>
        <v/>
      </c>
      <c r="Y52" s="53">
        <f>MAX(0,Y51+R52-T52-U52+W52+V52)</f>
        <v/>
      </c>
      <c r="Z52" s="53">
        <f>X52+Y52</f>
        <v/>
      </c>
      <c r="AA52" s="63">
        <f>IF(D52&gt;0,Z52/D52,0)</f>
        <v/>
      </c>
      <c r="AB52" s="63">
        <f>IF(G52&gt;0,P52/G52,0)</f>
        <v/>
      </c>
      <c r="AC52" s="63">
        <f>IF(R52&gt;0,MIN(1,T52/R52),0)</f>
        <v/>
      </c>
    </row>
    <row r="53">
      <c r="A53" s="58" t="n">
        <v>1893</v>
      </c>
      <c r="B53" s="45" t="n">
        <v>812</v>
      </c>
      <c r="C53" s="70">
        <f>Partners!H53</f>
        <v/>
      </c>
      <c r="D53" s="47">
        <f>Partners!I53</f>
        <v/>
      </c>
      <c r="E53" s="59" t="n">
        <v>0.103</v>
      </c>
      <c r="F53" s="59" t="n">
        <v>0.08500000000000001</v>
      </c>
      <c r="G53" s="53">
        <f>D53*E53</f>
        <v/>
      </c>
      <c r="H53" s="53">
        <f>D53*F53</f>
        <v/>
      </c>
      <c r="I53" s="52" t="n">
        <v>11</v>
      </c>
      <c r="J53" s="53">
        <f>IF($A53&gt;=1927,(1-pac_quota)*Navy!X53,I53)</f>
        <v/>
      </c>
      <c r="K53" s="52" t="n">
        <v>0</v>
      </c>
      <c r="L53" s="53">
        <f>IF($A53&gt;=1923,siberia_front*(1-pac_quota),0)</f>
        <v/>
      </c>
      <c r="M53" s="52" t="n">
        <v>0</v>
      </c>
      <c r="N53" s="53">
        <f>M53*C53</f>
        <v/>
      </c>
      <c r="O53" s="53">
        <f>IF($A53&gt;=1927,10*(1-pac_quota),0)</f>
        <v/>
      </c>
      <c r="P53" s="53">
        <f>jp_coupon*Z52</f>
        <v/>
      </c>
      <c r="Q53" s="53">
        <f>H53+J53+K53+L53+N53+O53+P53</f>
        <v/>
      </c>
      <c r="R53" s="53">
        <f>Q53-G53</f>
        <v/>
      </c>
      <c r="S53" s="52" t="n">
        <v>0</v>
      </c>
      <c r="T53" s="53">
        <f>S53*IF($A53&gt;=1923,C53,1)</f>
        <v/>
      </c>
      <c r="U53" s="52" t="n">
        <v>0</v>
      </c>
      <c r="V53" s="52" t="n">
        <v>0</v>
      </c>
      <c r="W53" s="53">
        <f>X52*jp_foreign_repay</f>
        <v/>
      </c>
      <c r="X53" s="53">
        <f>X52+T53-W53</f>
        <v/>
      </c>
      <c r="Y53" s="53">
        <f>MAX(0,Y52+R53-T53-U53+W53+V53)</f>
        <v/>
      </c>
      <c r="Z53" s="53">
        <f>X53+Y53</f>
        <v/>
      </c>
      <c r="AA53" s="63">
        <f>IF(D53&gt;0,Z53/D53,0)</f>
        <v/>
      </c>
      <c r="AB53" s="63">
        <f>IF(G53&gt;0,P53/G53,0)</f>
        <v/>
      </c>
      <c r="AC53" s="63">
        <f>IF(R53&gt;0,MIN(1,T53/R53),0)</f>
        <v/>
      </c>
    </row>
    <row r="54">
      <c r="A54" s="58" t="n">
        <v>1894</v>
      </c>
      <c r="B54" s="45" t="n">
        <v>816</v>
      </c>
      <c r="C54" s="70">
        <f>Partners!H54</f>
        <v/>
      </c>
      <c r="D54" s="47">
        <f>Partners!I54</f>
        <v/>
      </c>
      <c r="E54" s="59" t="n">
        <v>0.104</v>
      </c>
      <c r="F54" s="59" t="n">
        <v>0.08500000000000001</v>
      </c>
      <c r="G54" s="53">
        <f>D54*E54</f>
        <v/>
      </c>
      <c r="H54" s="53">
        <f>D54*F54</f>
        <v/>
      </c>
      <c r="I54" s="52" t="n">
        <v>12</v>
      </c>
      <c r="J54" s="53">
        <f>IF($A54&gt;=1927,(1-pac_quota)*Navy!X54,I54)</f>
        <v/>
      </c>
      <c r="K54" s="52" t="n">
        <v>40</v>
      </c>
      <c r="L54" s="53">
        <f>IF($A54&gt;=1923,siberia_front*(1-pac_quota),0)</f>
        <v/>
      </c>
      <c r="M54" s="52" t="n">
        <v>0</v>
      </c>
      <c r="N54" s="53">
        <f>M54*C54</f>
        <v/>
      </c>
      <c r="O54" s="53">
        <f>IF($A54&gt;=1927,10*(1-pac_quota),0)</f>
        <v/>
      </c>
      <c r="P54" s="53">
        <f>jp_coupon*Z53</f>
        <v/>
      </c>
      <c r="Q54" s="53">
        <f>H54+J54+K54+L54+N54+O54+P54</f>
        <v/>
      </c>
      <c r="R54" s="53">
        <f>Q54-G54</f>
        <v/>
      </c>
      <c r="S54" s="52" t="n">
        <v>10</v>
      </c>
      <c r="T54" s="53">
        <f>S54*IF($A54&gt;=1923,C54,1)</f>
        <v/>
      </c>
      <c r="U54" s="52" t="n">
        <v>0</v>
      </c>
      <c r="V54" s="52" t="n">
        <v>0</v>
      </c>
      <c r="W54" s="53">
        <f>X53*jp_foreign_repay</f>
        <v/>
      </c>
      <c r="X54" s="53">
        <f>X53+T54-W54</f>
        <v/>
      </c>
      <c r="Y54" s="53">
        <f>MAX(0,Y53+R54-T54-U54+W54+V54)</f>
        <v/>
      </c>
      <c r="Z54" s="53">
        <f>X54+Y54</f>
        <v/>
      </c>
      <c r="AA54" s="63">
        <f>IF(D54&gt;0,Z54/D54,0)</f>
        <v/>
      </c>
      <c r="AB54" s="63">
        <f>IF(G54&gt;0,P54/G54,0)</f>
        <v/>
      </c>
      <c r="AC54" s="63">
        <f>IF(R54&gt;0,MIN(1,T54/R54),0)</f>
        <v/>
      </c>
    </row>
    <row r="55">
      <c r="A55" s="58" t="n">
        <v>1895</v>
      </c>
      <c r="B55" s="45" t="n">
        <v>820</v>
      </c>
      <c r="C55" s="70">
        <f>Partners!H55</f>
        <v/>
      </c>
      <c r="D55" s="47">
        <f>Partners!I55</f>
        <v/>
      </c>
      <c r="E55" s="59" t="n">
        <v>0.105</v>
      </c>
      <c r="F55" s="59" t="n">
        <v>0.08500000000000001</v>
      </c>
      <c r="G55" s="53">
        <f>D55*E55</f>
        <v/>
      </c>
      <c r="H55" s="53">
        <f>D55*F55</f>
        <v/>
      </c>
      <c r="I55" s="52" t="n">
        <v>16.3</v>
      </c>
      <c r="J55" s="53">
        <f>IF($A55&gt;=1927,(1-pac_quota)*Navy!X55,I55)</f>
        <v/>
      </c>
      <c r="K55" s="52" t="n">
        <v>60</v>
      </c>
      <c r="L55" s="53">
        <f>IF($A55&gt;=1923,siberia_front*(1-pac_quota),0)</f>
        <v/>
      </c>
      <c r="M55" s="52" t="n">
        <v>0</v>
      </c>
      <c r="N55" s="53">
        <f>M55*C55</f>
        <v/>
      </c>
      <c r="O55" s="53">
        <f>IF($A55&gt;=1927,10*(1-pac_quota),0)</f>
        <v/>
      </c>
      <c r="P55" s="53">
        <f>jp_coupon*Z54</f>
        <v/>
      </c>
      <c r="Q55" s="53">
        <f>H55+J55+K55+L55+N55+O55+P55</f>
        <v/>
      </c>
      <c r="R55" s="53">
        <f>Q55-G55</f>
        <v/>
      </c>
      <c r="S55" s="52" t="n">
        <v>0</v>
      </c>
      <c r="T55" s="53">
        <f>S55*IF($A55&gt;=1923,C55,1)</f>
        <v/>
      </c>
      <c r="U55" s="52" t="n">
        <v>0</v>
      </c>
      <c r="V55" s="52" t="n">
        <v>0</v>
      </c>
      <c r="W55" s="53">
        <f>X54*jp_foreign_repay</f>
        <v/>
      </c>
      <c r="X55" s="53">
        <f>X54+T55-W55</f>
        <v/>
      </c>
      <c r="Y55" s="53">
        <f>MAX(0,Y54+R55-T55-U55+W55+V55)</f>
        <v/>
      </c>
      <c r="Z55" s="53">
        <f>X55+Y55</f>
        <v/>
      </c>
      <c r="AA55" s="63">
        <f>IF(D55&gt;0,Z55/D55,0)</f>
        <v/>
      </c>
      <c r="AB55" s="63">
        <f>IF(G55&gt;0,P55/G55,0)</f>
        <v/>
      </c>
      <c r="AC55" s="63">
        <f>IF(R55&gt;0,MIN(1,T55/R55),0)</f>
        <v/>
      </c>
    </row>
    <row r="56">
      <c r="A56" s="58" t="n">
        <v>1896</v>
      </c>
      <c r="B56" s="45" t="n">
        <v>960</v>
      </c>
      <c r="C56" s="70">
        <f>Partners!H56</f>
        <v/>
      </c>
      <c r="D56" s="47">
        <f>Partners!I56</f>
        <v/>
      </c>
      <c r="E56" s="59" t="n">
        <v>0.106</v>
      </c>
      <c r="F56" s="59" t="n">
        <v>0.08500000000000001</v>
      </c>
      <c r="G56" s="53">
        <f>D56*E56</f>
        <v/>
      </c>
      <c r="H56" s="53">
        <f>D56*F56</f>
        <v/>
      </c>
      <c r="I56" s="52" t="n">
        <v>20.7</v>
      </c>
      <c r="J56" s="53">
        <f>IF($A56&gt;=1927,(1-pac_quota)*Navy!X56,I56)</f>
        <v/>
      </c>
      <c r="K56" s="52" t="n">
        <v>0</v>
      </c>
      <c r="L56" s="53">
        <f>IF($A56&gt;=1923,siberia_front*(1-pac_quota),0)</f>
        <v/>
      </c>
      <c r="M56" s="52" t="n">
        <v>0</v>
      </c>
      <c r="N56" s="53">
        <f>M56*C56</f>
        <v/>
      </c>
      <c r="O56" s="53">
        <f>IF($A56&gt;=1927,10*(1-pac_quota),0)</f>
        <v/>
      </c>
      <c r="P56" s="53">
        <f>jp_coupon*Z55</f>
        <v/>
      </c>
      <c r="Q56" s="53">
        <f>H56+J56+K56+L56+N56+O56+P56</f>
        <v/>
      </c>
      <c r="R56" s="53">
        <f>Q56-G56</f>
        <v/>
      </c>
      <c r="S56" s="52" t="n">
        <v>0</v>
      </c>
      <c r="T56" s="53">
        <f>S56*IF($A56&gt;=1923,C56,1)</f>
        <v/>
      </c>
      <c r="U56" s="52" t="n">
        <v>0</v>
      </c>
      <c r="V56" s="52" t="n">
        <v>0</v>
      </c>
      <c r="W56" s="53">
        <f>X55*jp_foreign_repay</f>
        <v/>
      </c>
      <c r="X56" s="53">
        <f>X55+T56-W56</f>
        <v/>
      </c>
      <c r="Y56" s="53">
        <f>MAX(0,Y55+R56-T56-U56+W56+V56)</f>
        <v/>
      </c>
      <c r="Z56" s="53">
        <f>X56+Y56</f>
        <v/>
      </c>
      <c r="AA56" s="63">
        <f>IF(D56&gt;0,Z56/D56,0)</f>
        <v/>
      </c>
      <c r="AB56" s="63">
        <f>IF(G56&gt;0,P56/G56,0)</f>
        <v/>
      </c>
      <c r="AC56" s="63">
        <f>IF(R56&gt;0,MIN(1,T56/R56),0)</f>
        <v/>
      </c>
    </row>
    <row r="57">
      <c r="A57" s="58" t="n">
        <v>1897</v>
      </c>
      <c r="B57" s="45" t="n">
        <v>1100</v>
      </c>
      <c r="C57" s="70">
        <f>Partners!H57</f>
        <v/>
      </c>
      <c r="D57" s="47">
        <f>Partners!I57</f>
        <v/>
      </c>
      <c r="E57" s="59" t="n">
        <v>0.107</v>
      </c>
      <c r="F57" s="59" t="n">
        <v>0.08500000000000001</v>
      </c>
      <c r="G57" s="53">
        <f>D57*E57</f>
        <v/>
      </c>
      <c r="H57" s="53">
        <f>D57*F57</f>
        <v/>
      </c>
      <c r="I57" s="52" t="n">
        <v>25</v>
      </c>
      <c r="J57" s="53">
        <f>IF($A57&gt;=1927,(1-pac_quota)*Navy!X57,I57)</f>
        <v/>
      </c>
      <c r="K57" s="52" t="n">
        <v>0</v>
      </c>
      <c r="L57" s="53">
        <f>IF($A57&gt;=1923,siberia_front*(1-pac_quota),0)</f>
        <v/>
      </c>
      <c r="M57" s="52" t="n">
        <v>0</v>
      </c>
      <c r="N57" s="53">
        <f>M57*C57</f>
        <v/>
      </c>
      <c r="O57" s="53">
        <f>IF($A57&gt;=1927,10*(1-pac_quota),0)</f>
        <v/>
      </c>
      <c r="P57" s="53">
        <f>jp_coupon*Z56</f>
        <v/>
      </c>
      <c r="Q57" s="53">
        <f>H57+J57+K57+L57+N57+O57+P57</f>
        <v/>
      </c>
      <c r="R57" s="53">
        <f>Q57-G57</f>
        <v/>
      </c>
      <c r="S57" s="52" t="n">
        <v>20</v>
      </c>
      <c r="T57" s="53">
        <f>S57*IF($A57&gt;=1923,C57,1)</f>
        <v/>
      </c>
      <c r="U57" s="52" t="n">
        <v>0</v>
      </c>
      <c r="V57" s="52" t="n">
        <v>0</v>
      </c>
      <c r="W57" s="53">
        <f>X56*jp_foreign_repay</f>
        <v/>
      </c>
      <c r="X57" s="53">
        <f>X56+T57-W57</f>
        <v/>
      </c>
      <c r="Y57" s="53">
        <f>MAX(0,Y56+R57-T57-U57+W57+V57)</f>
        <v/>
      </c>
      <c r="Z57" s="53">
        <f>X57+Y57</f>
        <v/>
      </c>
      <c r="AA57" s="63">
        <f>IF(D57&gt;0,Z57/D57,0)</f>
        <v/>
      </c>
      <c r="AB57" s="63">
        <f>IF(G57&gt;0,P57/G57,0)</f>
        <v/>
      </c>
      <c r="AC57" s="63">
        <f>IF(R57&gt;0,MIN(1,T57/R57),0)</f>
        <v/>
      </c>
    </row>
    <row r="58">
      <c r="A58" s="58" t="n">
        <v>1898</v>
      </c>
      <c r="B58" s="45" t="n">
        <v>1133</v>
      </c>
      <c r="C58" s="70">
        <f>Partners!H58</f>
        <v/>
      </c>
      <c r="D58" s="47">
        <f>Partners!I58</f>
        <v/>
      </c>
      <c r="E58" s="59" t="n">
        <v>0.108</v>
      </c>
      <c r="F58" s="59" t="n">
        <v>0.08500000000000001</v>
      </c>
      <c r="G58" s="53">
        <f>D58*E58</f>
        <v/>
      </c>
      <c r="H58" s="53">
        <f>D58*F58</f>
        <v/>
      </c>
      <c r="I58" s="52" t="n">
        <v>26.7</v>
      </c>
      <c r="J58" s="53">
        <f>IF($A58&gt;=1927,(1-pac_quota)*Navy!X58,I58)</f>
        <v/>
      </c>
      <c r="K58" s="52" t="n">
        <v>90</v>
      </c>
      <c r="L58" s="53">
        <f>IF($A58&gt;=1923,siberia_front*(1-pac_quota),0)</f>
        <v/>
      </c>
      <c r="M58" s="52" t="n">
        <v>0</v>
      </c>
      <c r="N58" s="53">
        <f>M58*C58</f>
        <v/>
      </c>
      <c r="O58" s="53">
        <f>IF($A58&gt;=1927,10*(1-pac_quota),0)</f>
        <v/>
      </c>
      <c r="P58" s="53">
        <f>jp_coupon*Z57</f>
        <v/>
      </c>
      <c r="Q58" s="53">
        <f>H58+J58+K58+L58+N58+O58+P58</f>
        <v/>
      </c>
      <c r="R58" s="53">
        <f>Q58-G58</f>
        <v/>
      </c>
      <c r="S58" s="52" t="n">
        <v>15</v>
      </c>
      <c r="T58" s="53">
        <f>S58*IF($A58&gt;=1923,C58,1)</f>
        <v/>
      </c>
      <c r="U58" s="52" t="n">
        <v>0</v>
      </c>
      <c r="V58" s="52" t="n">
        <v>0</v>
      </c>
      <c r="W58" s="53">
        <f>X57*jp_foreign_repay</f>
        <v/>
      </c>
      <c r="X58" s="53">
        <f>X57+T58-W58</f>
        <v/>
      </c>
      <c r="Y58" s="53">
        <f>MAX(0,Y57+R58-T58-U58+W58+V58)</f>
        <v/>
      </c>
      <c r="Z58" s="53">
        <f>X58+Y58</f>
        <v/>
      </c>
      <c r="AA58" s="63">
        <f>IF(D58&gt;0,Z58/D58,0)</f>
        <v/>
      </c>
      <c r="AB58" s="63">
        <f>IF(G58&gt;0,P58/G58,0)</f>
        <v/>
      </c>
      <c r="AC58" s="63">
        <f>IF(R58&gt;0,MIN(1,T58/R58),0)</f>
        <v/>
      </c>
    </row>
    <row r="59">
      <c r="A59" s="58" t="n">
        <v>1899</v>
      </c>
      <c r="B59" s="45" t="n">
        <v>1167</v>
      </c>
      <c r="C59" s="70">
        <f>Partners!H59</f>
        <v/>
      </c>
      <c r="D59" s="47">
        <f>Partners!I59</f>
        <v/>
      </c>
      <c r="E59" s="59" t="n">
        <v>0.109</v>
      </c>
      <c r="F59" s="59" t="n">
        <v>0.08500000000000001</v>
      </c>
      <c r="G59" s="53">
        <f>D59*E59</f>
        <v/>
      </c>
      <c r="H59" s="53">
        <f>D59*F59</f>
        <v/>
      </c>
      <c r="I59" s="52" t="n">
        <v>28.3</v>
      </c>
      <c r="J59" s="53">
        <f>IF($A59&gt;=1927,(1-pac_quota)*Navy!X59,I59)</f>
        <v/>
      </c>
      <c r="K59" s="52" t="n">
        <v>90</v>
      </c>
      <c r="L59" s="53">
        <f>IF($A59&gt;=1923,siberia_front*(1-pac_quota),0)</f>
        <v/>
      </c>
      <c r="M59" s="52" t="n">
        <v>0</v>
      </c>
      <c r="N59" s="53">
        <f>M59*C59</f>
        <v/>
      </c>
      <c r="O59" s="53">
        <f>IF($A59&gt;=1927,10*(1-pac_quota),0)</f>
        <v/>
      </c>
      <c r="P59" s="53">
        <f>jp_coupon*Z58</f>
        <v/>
      </c>
      <c r="Q59" s="53">
        <f>H59+J59+K59+L59+N59+O59+P59</f>
        <v/>
      </c>
      <c r="R59" s="53">
        <f>Q59-G59</f>
        <v/>
      </c>
      <c r="S59" s="52" t="n">
        <v>15</v>
      </c>
      <c r="T59" s="53">
        <f>S59*IF($A59&gt;=1923,C59,1)</f>
        <v/>
      </c>
      <c r="U59" s="52" t="n">
        <v>0</v>
      </c>
      <c r="V59" s="52" t="n">
        <v>0</v>
      </c>
      <c r="W59" s="53">
        <f>X58*jp_foreign_repay</f>
        <v/>
      </c>
      <c r="X59" s="53">
        <f>X58+T59-W59</f>
        <v/>
      </c>
      <c r="Y59" s="53">
        <f>MAX(0,Y58+R59-T59-U59+W59+V59)</f>
        <v/>
      </c>
      <c r="Z59" s="53">
        <f>X59+Y59</f>
        <v/>
      </c>
      <c r="AA59" s="63">
        <f>IF(D59&gt;0,Z59/D59,0)</f>
        <v/>
      </c>
      <c r="AB59" s="63">
        <f>IF(G59&gt;0,P59/G59,0)</f>
        <v/>
      </c>
      <c r="AC59" s="63">
        <f>IF(R59&gt;0,MIN(1,T59/R59),0)</f>
        <v/>
      </c>
    </row>
    <row r="60">
      <c r="A60" s="58" t="n">
        <v>1900</v>
      </c>
      <c r="B60" s="45" t="n">
        <v>1200</v>
      </c>
      <c r="C60" s="70">
        <f>Partners!H60</f>
        <v/>
      </c>
      <c r="D60" s="47">
        <f>Partners!I60</f>
        <v/>
      </c>
      <c r="E60" s="59" t="n">
        <v>0.11</v>
      </c>
      <c r="F60" s="59" t="n">
        <v>0.08500000000000001</v>
      </c>
      <c r="G60" s="53">
        <f>D60*E60</f>
        <v/>
      </c>
      <c r="H60" s="53">
        <f>D60*F60</f>
        <v/>
      </c>
      <c r="I60" s="52" t="n">
        <v>30</v>
      </c>
      <c r="J60" s="53">
        <f>IF($A60&gt;=1927,(1-pac_quota)*Navy!X60,I60)</f>
        <v/>
      </c>
      <c r="K60" s="52" t="n">
        <v>0</v>
      </c>
      <c r="L60" s="53">
        <f>IF($A60&gt;=1923,siberia_front*(1-pac_quota),0)</f>
        <v/>
      </c>
      <c r="M60" s="52" t="n">
        <v>0</v>
      </c>
      <c r="N60" s="53">
        <f>M60*C60</f>
        <v/>
      </c>
      <c r="O60" s="53">
        <f>IF($A60&gt;=1927,10*(1-pac_quota),0)</f>
        <v/>
      </c>
      <c r="P60" s="53">
        <f>jp_coupon*Z59</f>
        <v/>
      </c>
      <c r="Q60" s="53">
        <f>H60+J60+K60+L60+N60+O60+P60</f>
        <v/>
      </c>
      <c r="R60" s="53">
        <f>Q60-G60</f>
        <v/>
      </c>
      <c r="S60" s="52" t="n">
        <v>0</v>
      </c>
      <c r="T60" s="53">
        <f>S60*IF($A60&gt;=1923,C60,1)</f>
        <v/>
      </c>
      <c r="U60" s="52" t="n">
        <v>0</v>
      </c>
      <c r="V60" s="52" t="n">
        <v>0</v>
      </c>
      <c r="W60" s="53">
        <f>X59*jp_foreign_repay</f>
        <v/>
      </c>
      <c r="X60" s="53">
        <f>X59+T60-W60</f>
        <v/>
      </c>
      <c r="Y60" s="53">
        <f>MAX(0,Y59+R60-T60-U60+W60+V60)</f>
        <v/>
      </c>
      <c r="Z60" s="53">
        <f>X60+Y60</f>
        <v/>
      </c>
      <c r="AA60" s="63">
        <f>IF(D60&gt;0,Z60/D60,0)</f>
        <v/>
      </c>
      <c r="AB60" s="63">
        <f>IF(G60&gt;0,P60/G60,0)</f>
        <v/>
      </c>
      <c r="AC60" s="63">
        <f>IF(R60&gt;0,MIN(1,T60/R60),0)</f>
        <v/>
      </c>
    </row>
    <row r="61">
      <c r="A61" s="58" t="n">
        <v>1901</v>
      </c>
      <c r="B61" s="45" t="n">
        <v>1270</v>
      </c>
      <c r="C61" s="70">
        <f>Partners!H61</f>
        <v/>
      </c>
      <c r="D61" s="47">
        <f>Partners!I61</f>
        <v/>
      </c>
      <c r="E61" s="59" t="n">
        <v>0.111</v>
      </c>
      <c r="F61" s="59" t="n">
        <v>0.08500000000000001</v>
      </c>
      <c r="G61" s="53">
        <f>D61*E61</f>
        <v/>
      </c>
      <c r="H61" s="53">
        <f>D61*F61</f>
        <v/>
      </c>
      <c r="I61" s="52" t="n">
        <v>31</v>
      </c>
      <c r="J61" s="53">
        <f>IF($A61&gt;=1927,(1-pac_quota)*Navy!X61,I61)</f>
        <v/>
      </c>
      <c r="K61" s="52" t="n">
        <v>0</v>
      </c>
      <c r="L61" s="53">
        <f>IF($A61&gt;=1923,siberia_front*(1-pac_quota),0)</f>
        <v/>
      </c>
      <c r="M61" s="52" t="n">
        <v>0</v>
      </c>
      <c r="N61" s="53">
        <f>M61*C61</f>
        <v/>
      </c>
      <c r="O61" s="53">
        <f>IF($A61&gt;=1927,10*(1-pac_quota),0)</f>
        <v/>
      </c>
      <c r="P61" s="53">
        <f>jp_coupon*Z60</f>
        <v/>
      </c>
      <c r="Q61" s="53">
        <f>H61+J61+K61+L61+N61+O61+P61</f>
        <v/>
      </c>
      <c r="R61" s="53">
        <f>Q61-G61</f>
        <v/>
      </c>
      <c r="S61" s="52" t="n">
        <v>0</v>
      </c>
      <c r="T61" s="53">
        <f>S61*IF($A61&gt;=1923,C61,1)</f>
        <v/>
      </c>
      <c r="U61" s="52" t="n">
        <v>0</v>
      </c>
      <c r="V61" s="52" t="n">
        <v>0</v>
      </c>
      <c r="W61" s="53">
        <f>X60*jp_foreign_repay</f>
        <v/>
      </c>
      <c r="X61" s="53">
        <f>X60+T61-W61</f>
        <v/>
      </c>
      <c r="Y61" s="53">
        <f>MAX(0,Y60+R61-T61-U61+W61+V61)</f>
        <v/>
      </c>
      <c r="Z61" s="53">
        <f>X61+Y61</f>
        <v/>
      </c>
      <c r="AA61" s="63">
        <f>IF(D61&gt;0,Z61/D61,0)</f>
        <v/>
      </c>
      <c r="AB61" s="63">
        <f>IF(G61&gt;0,P61/G61,0)</f>
        <v/>
      </c>
      <c r="AC61" s="63">
        <f>IF(R61&gt;0,MIN(1,T61/R61),0)</f>
        <v/>
      </c>
    </row>
    <row r="62">
      <c r="A62" s="58" t="n">
        <v>1902</v>
      </c>
      <c r="B62" s="45" t="n">
        <v>1340</v>
      </c>
      <c r="C62" s="70">
        <f>Partners!H62</f>
        <v/>
      </c>
      <c r="D62" s="47">
        <f>Partners!I62</f>
        <v/>
      </c>
      <c r="E62" s="59" t="n">
        <v>0.112</v>
      </c>
      <c r="F62" s="59" t="n">
        <v>0.08500000000000001</v>
      </c>
      <c r="G62" s="53">
        <f>D62*E62</f>
        <v/>
      </c>
      <c r="H62" s="53">
        <f>D62*F62</f>
        <v/>
      </c>
      <c r="I62" s="52" t="n">
        <v>32</v>
      </c>
      <c r="J62" s="53">
        <f>IF($A62&gt;=1927,(1-pac_quota)*Navy!X62,I62)</f>
        <v/>
      </c>
      <c r="K62" s="52" t="n">
        <v>0</v>
      </c>
      <c r="L62" s="53">
        <f>IF($A62&gt;=1923,siberia_front*(1-pac_quota),0)</f>
        <v/>
      </c>
      <c r="M62" s="52" t="n">
        <v>0</v>
      </c>
      <c r="N62" s="53">
        <f>M62*C62</f>
        <v/>
      </c>
      <c r="O62" s="53">
        <f>IF($A62&gt;=1927,10*(1-pac_quota),0)</f>
        <v/>
      </c>
      <c r="P62" s="53">
        <f>jp_coupon*Z61</f>
        <v/>
      </c>
      <c r="Q62" s="53">
        <f>H62+J62+K62+L62+N62+O62+P62</f>
        <v/>
      </c>
      <c r="R62" s="53">
        <f>Q62-G62</f>
        <v/>
      </c>
      <c r="S62" s="52" t="n">
        <v>0</v>
      </c>
      <c r="T62" s="53">
        <f>S62*IF($A62&gt;=1923,C62,1)</f>
        <v/>
      </c>
      <c r="U62" s="52" t="n">
        <v>0</v>
      </c>
      <c r="V62" s="52" t="n">
        <v>0</v>
      </c>
      <c r="W62" s="53">
        <f>X61*jp_foreign_repay</f>
        <v/>
      </c>
      <c r="X62" s="53">
        <f>X61+T62-W62</f>
        <v/>
      </c>
      <c r="Y62" s="53">
        <f>MAX(0,Y61+R62-T62-U62+W62+V62)</f>
        <v/>
      </c>
      <c r="Z62" s="53">
        <f>X62+Y62</f>
        <v/>
      </c>
      <c r="AA62" s="63">
        <f>IF(D62&gt;0,Z62/D62,0)</f>
        <v/>
      </c>
      <c r="AB62" s="63">
        <f>IF(G62&gt;0,P62/G62,0)</f>
        <v/>
      </c>
      <c r="AC62" s="63">
        <f>IF(R62&gt;0,MIN(1,T62/R62),0)</f>
        <v/>
      </c>
    </row>
    <row r="63">
      <c r="A63" s="58" t="n">
        <v>1903</v>
      </c>
      <c r="B63" s="45" t="n">
        <v>1410</v>
      </c>
      <c r="C63" s="70">
        <f>Partners!H63</f>
        <v/>
      </c>
      <c r="D63" s="47">
        <f>Partners!I63</f>
        <v/>
      </c>
      <c r="E63" s="59" t="n">
        <v>0.113</v>
      </c>
      <c r="F63" s="59" t="n">
        <v>0.08500000000000001</v>
      </c>
      <c r="G63" s="53">
        <f>D63*E63</f>
        <v/>
      </c>
      <c r="H63" s="53">
        <f>D63*F63</f>
        <v/>
      </c>
      <c r="I63" s="52" t="n">
        <v>33</v>
      </c>
      <c r="J63" s="53">
        <f>IF($A63&gt;=1927,(1-pac_quota)*Navy!X63,I63)</f>
        <v/>
      </c>
      <c r="K63" s="52" t="n">
        <v>0</v>
      </c>
      <c r="L63" s="53">
        <f>IF($A63&gt;=1923,siberia_front*(1-pac_quota),0)</f>
        <v/>
      </c>
      <c r="M63" s="52" t="n">
        <v>0</v>
      </c>
      <c r="N63" s="53">
        <f>M63*C63</f>
        <v/>
      </c>
      <c r="O63" s="53">
        <f>IF($A63&gt;=1927,10*(1-pac_quota),0)</f>
        <v/>
      </c>
      <c r="P63" s="53">
        <f>jp_coupon*Z62</f>
        <v/>
      </c>
      <c r="Q63" s="53">
        <f>H63+J63+K63+L63+N63+O63+P63</f>
        <v/>
      </c>
      <c r="R63" s="53">
        <f>Q63-G63</f>
        <v/>
      </c>
      <c r="S63" s="52" t="n">
        <v>0</v>
      </c>
      <c r="T63" s="53">
        <f>S63*IF($A63&gt;=1923,C63,1)</f>
        <v/>
      </c>
      <c r="U63" s="52" t="n">
        <v>0</v>
      </c>
      <c r="V63" s="52" t="n">
        <v>0</v>
      </c>
      <c r="W63" s="53">
        <f>X62*jp_foreign_repay</f>
        <v/>
      </c>
      <c r="X63" s="53">
        <f>X62+T63-W63</f>
        <v/>
      </c>
      <c r="Y63" s="53">
        <f>MAX(0,Y62+R63-T63-U63+W63+V63)</f>
        <v/>
      </c>
      <c r="Z63" s="53">
        <f>X63+Y63</f>
        <v/>
      </c>
      <c r="AA63" s="63">
        <f>IF(D63&gt;0,Z63/D63,0)</f>
        <v/>
      </c>
      <c r="AB63" s="63">
        <f>IF(G63&gt;0,P63/G63,0)</f>
        <v/>
      </c>
      <c r="AC63" s="63">
        <f>IF(R63&gt;0,MIN(1,T63/R63),0)</f>
        <v/>
      </c>
    </row>
    <row r="64">
      <c r="A64" s="58" t="n">
        <v>1904</v>
      </c>
      <c r="B64" s="45" t="n">
        <v>1480</v>
      </c>
      <c r="C64" s="70">
        <f>Partners!H64</f>
        <v/>
      </c>
      <c r="D64" s="47">
        <f>Partners!I64</f>
        <v/>
      </c>
      <c r="E64" s="59" t="n">
        <v>0.114</v>
      </c>
      <c r="F64" s="59" t="n">
        <v>0.08500000000000001</v>
      </c>
      <c r="G64" s="53">
        <f>D64*E64</f>
        <v/>
      </c>
      <c r="H64" s="53">
        <f>D64*F64</f>
        <v/>
      </c>
      <c r="I64" s="52" t="n">
        <v>34</v>
      </c>
      <c r="J64" s="53">
        <f>IF($A64&gt;=1927,(1-pac_quota)*Navy!X64,I64)</f>
        <v/>
      </c>
      <c r="K64" s="52" t="n">
        <v>400</v>
      </c>
      <c r="L64" s="53">
        <f>IF($A64&gt;=1923,siberia_front*(1-pac_quota),0)</f>
        <v/>
      </c>
      <c r="M64" s="52" t="n">
        <v>0</v>
      </c>
      <c r="N64" s="53">
        <f>M64*C64</f>
        <v/>
      </c>
      <c r="O64" s="53">
        <f>IF($A64&gt;=1927,10*(1-pac_quota),0)</f>
        <v/>
      </c>
      <c r="P64" s="53">
        <f>jp_coupon*Z63</f>
        <v/>
      </c>
      <c r="Q64" s="53">
        <f>H64+J64+K64+L64+N64+O64+P64</f>
        <v/>
      </c>
      <c r="R64" s="53">
        <f>Q64-G64</f>
        <v/>
      </c>
      <c r="S64" s="52" t="n">
        <v>200</v>
      </c>
      <c r="T64" s="53">
        <f>S64*IF($A64&gt;=1923,C64,1)</f>
        <v/>
      </c>
      <c r="U64" s="52" t="n">
        <v>0</v>
      </c>
      <c r="V64" s="52" t="n">
        <v>0</v>
      </c>
      <c r="W64" s="53">
        <f>X63*jp_foreign_repay</f>
        <v/>
      </c>
      <c r="X64" s="53">
        <f>X63+T64-W64</f>
        <v/>
      </c>
      <c r="Y64" s="53">
        <f>MAX(0,Y63+R64-T64-U64+W64+V64)</f>
        <v/>
      </c>
      <c r="Z64" s="53">
        <f>X64+Y64</f>
        <v/>
      </c>
      <c r="AA64" s="63">
        <f>IF(D64&gt;0,Z64/D64,0)</f>
        <v/>
      </c>
      <c r="AB64" s="63">
        <f>IF(G64&gt;0,P64/G64,0)</f>
        <v/>
      </c>
      <c r="AC64" s="63">
        <f>IF(R64&gt;0,MIN(1,T64/R64),0)</f>
        <v/>
      </c>
    </row>
    <row r="65">
      <c r="A65" s="58" t="n">
        <v>1905</v>
      </c>
      <c r="B65" s="45" t="n">
        <v>1550</v>
      </c>
      <c r="C65" s="70">
        <f>Partners!H65</f>
        <v/>
      </c>
      <c r="D65" s="47">
        <f>Partners!I65</f>
        <v/>
      </c>
      <c r="E65" s="59" t="n">
        <v>0.115</v>
      </c>
      <c r="F65" s="59" t="n">
        <v>0.08500000000000001</v>
      </c>
      <c r="G65" s="53">
        <f>D65*E65</f>
        <v/>
      </c>
      <c r="H65" s="53">
        <f>D65*F65</f>
        <v/>
      </c>
      <c r="I65" s="52" t="n">
        <v>35</v>
      </c>
      <c r="J65" s="53">
        <f>IF($A65&gt;=1927,(1-pac_quota)*Navy!X65,I65)</f>
        <v/>
      </c>
      <c r="K65" s="52" t="n">
        <v>450</v>
      </c>
      <c r="L65" s="53">
        <f>IF($A65&gt;=1923,siberia_front*(1-pac_quota),0)</f>
        <v/>
      </c>
      <c r="M65" s="52" t="n">
        <v>0</v>
      </c>
      <c r="N65" s="53">
        <f>M65*C65</f>
        <v/>
      </c>
      <c r="O65" s="53">
        <f>IF($A65&gt;=1927,10*(1-pac_quota),0)</f>
        <v/>
      </c>
      <c r="P65" s="53">
        <f>jp_coupon*Z64</f>
        <v/>
      </c>
      <c r="Q65" s="53">
        <f>H65+J65+K65+L65+N65+O65+P65</f>
        <v/>
      </c>
      <c r="R65" s="53">
        <f>Q65-G65</f>
        <v/>
      </c>
      <c r="S65" s="52" t="n">
        <v>200</v>
      </c>
      <c r="T65" s="53">
        <f>S65*IF($A65&gt;=1923,C65,1)</f>
        <v/>
      </c>
      <c r="U65" s="52" t="n">
        <v>0</v>
      </c>
      <c r="V65" s="52" t="n">
        <v>0</v>
      </c>
      <c r="W65" s="53">
        <f>X64*jp_foreign_repay</f>
        <v/>
      </c>
      <c r="X65" s="53">
        <f>X64+T65-W65</f>
        <v/>
      </c>
      <c r="Y65" s="53">
        <f>MAX(0,Y64+R65-T65-U65+W65+V65)</f>
        <v/>
      </c>
      <c r="Z65" s="53">
        <f>X65+Y65</f>
        <v/>
      </c>
      <c r="AA65" s="63">
        <f>IF(D65&gt;0,Z65/D65,0)</f>
        <v/>
      </c>
      <c r="AB65" s="63">
        <f>IF(G65&gt;0,P65/G65,0)</f>
        <v/>
      </c>
      <c r="AC65" s="63">
        <f>IF(R65&gt;0,MIN(1,T65/R65),0)</f>
        <v/>
      </c>
    </row>
    <row r="66">
      <c r="A66" s="58" t="n">
        <v>1906</v>
      </c>
      <c r="B66" s="45" t="n">
        <v>1632</v>
      </c>
      <c r="C66" s="70">
        <f>Partners!H66</f>
        <v/>
      </c>
      <c r="D66" s="47">
        <f>Partners!I66</f>
        <v/>
      </c>
      <c r="E66" s="59" t="n">
        <v>0.116</v>
      </c>
      <c r="F66" s="59" t="n">
        <v>0.08500000000000001</v>
      </c>
      <c r="G66" s="53">
        <f>D66*E66</f>
        <v/>
      </c>
      <c r="H66" s="53">
        <f>D66*F66</f>
        <v/>
      </c>
      <c r="I66" s="52" t="n">
        <v>37</v>
      </c>
      <c r="J66" s="53">
        <f>IF($A66&gt;=1927,(1-pac_quota)*Navy!X66,I66)</f>
        <v/>
      </c>
      <c r="K66" s="52" t="n">
        <v>0</v>
      </c>
      <c r="L66" s="53">
        <f>IF($A66&gt;=1923,siberia_front*(1-pac_quota),0)</f>
        <v/>
      </c>
      <c r="M66" s="52" t="n">
        <v>0</v>
      </c>
      <c r="N66" s="53">
        <f>M66*C66</f>
        <v/>
      </c>
      <c r="O66" s="53">
        <f>IF($A66&gt;=1927,10*(1-pac_quota),0)</f>
        <v/>
      </c>
      <c r="P66" s="53">
        <f>jp_coupon*Z65</f>
        <v/>
      </c>
      <c r="Q66" s="53">
        <f>H66+J66+K66+L66+N66+O66+P66</f>
        <v/>
      </c>
      <c r="R66" s="53">
        <f>Q66-G66</f>
        <v/>
      </c>
      <c r="S66" s="52" t="n">
        <v>0</v>
      </c>
      <c r="T66" s="53">
        <f>S66*IF($A66&gt;=1923,C66,1)</f>
        <v/>
      </c>
      <c r="U66" s="52" t="n">
        <v>60</v>
      </c>
      <c r="V66" s="52" t="n">
        <v>0</v>
      </c>
      <c r="W66" s="53">
        <f>X65*jp_foreign_repay</f>
        <v/>
      </c>
      <c r="X66" s="53">
        <f>X65+T66-W66</f>
        <v/>
      </c>
      <c r="Y66" s="53">
        <f>MAX(0,Y65+R66-T66-U66+W66+V66)</f>
        <v/>
      </c>
      <c r="Z66" s="53">
        <f>X66+Y66</f>
        <v/>
      </c>
      <c r="AA66" s="63">
        <f>IF(D66&gt;0,Z66/D66,0)</f>
        <v/>
      </c>
      <c r="AB66" s="63">
        <f>IF(G66&gt;0,P66/G66,0)</f>
        <v/>
      </c>
      <c r="AC66" s="63">
        <f>IF(R66&gt;0,MIN(1,T66/R66),0)</f>
        <v/>
      </c>
    </row>
    <row r="67">
      <c r="A67" s="58" t="n">
        <v>1907</v>
      </c>
      <c r="B67" s="45" t="n">
        <v>1714</v>
      </c>
      <c r="C67" s="70">
        <f>Partners!H67</f>
        <v/>
      </c>
      <c r="D67" s="47">
        <f>Partners!I67</f>
        <v/>
      </c>
      <c r="E67" s="59" t="n">
        <v>0.117</v>
      </c>
      <c r="F67" s="59" t="n">
        <v>0.08500000000000001</v>
      </c>
      <c r="G67" s="53">
        <f>D67*E67</f>
        <v/>
      </c>
      <c r="H67" s="53">
        <f>D67*F67</f>
        <v/>
      </c>
      <c r="I67" s="52" t="n">
        <v>39</v>
      </c>
      <c r="J67" s="53">
        <f>IF($A67&gt;=1927,(1-pac_quota)*Navy!X67,I67)</f>
        <v/>
      </c>
      <c r="K67" s="52" t="n">
        <v>0</v>
      </c>
      <c r="L67" s="53">
        <f>IF($A67&gt;=1923,siberia_front*(1-pac_quota),0)</f>
        <v/>
      </c>
      <c r="M67" s="52" t="n">
        <v>0</v>
      </c>
      <c r="N67" s="53">
        <f>M67*C67</f>
        <v/>
      </c>
      <c r="O67" s="53">
        <f>IF($A67&gt;=1927,10*(1-pac_quota),0)</f>
        <v/>
      </c>
      <c r="P67" s="53">
        <f>jp_coupon*Z66</f>
        <v/>
      </c>
      <c r="Q67" s="53">
        <f>H67+J67+K67+L67+N67+O67+P67</f>
        <v/>
      </c>
      <c r="R67" s="53">
        <f>Q67-G67</f>
        <v/>
      </c>
      <c r="S67" s="52" t="n">
        <v>0</v>
      </c>
      <c r="T67" s="53">
        <f>S67*IF($A67&gt;=1923,C67,1)</f>
        <v/>
      </c>
      <c r="U67" s="52" t="n">
        <v>60</v>
      </c>
      <c r="V67" s="52" t="n">
        <v>0</v>
      </c>
      <c r="W67" s="53">
        <f>X66*jp_foreign_repay</f>
        <v/>
      </c>
      <c r="X67" s="53">
        <f>X66+T67-W67</f>
        <v/>
      </c>
      <c r="Y67" s="53">
        <f>MAX(0,Y66+R67-T67-U67+W67+V67)</f>
        <v/>
      </c>
      <c r="Z67" s="53">
        <f>X67+Y67</f>
        <v/>
      </c>
      <c r="AA67" s="63">
        <f>IF(D67&gt;0,Z67/D67,0)</f>
        <v/>
      </c>
      <c r="AB67" s="63">
        <f>IF(G67&gt;0,P67/G67,0)</f>
        <v/>
      </c>
      <c r="AC67" s="63">
        <f>IF(R67&gt;0,MIN(1,T67/R67),0)</f>
        <v/>
      </c>
    </row>
    <row r="68">
      <c r="A68" s="58" t="n">
        <v>1908</v>
      </c>
      <c r="B68" s="45" t="n">
        <v>1796</v>
      </c>
      <c r="C68" s="70">
        <f>Partners!H68</f>
        <v/>
      </c>
      <c r="D68" s="47">
        <f>Partners!I68</f>
        <v/>
      </c>
      <c r="E68" s="59" t="n">
        <v>0.118</v>
      </c>
      <c r="F68" s="59" t="n">
        <v>0.08500000000000001</v>
      </c>
      <c r="G68" s="53">
        <f>D68*E68</f>
        <v/>
      </c>
      <c r="H68" s="53">
        <f>D68*F68</f>
        <v/>
      </c>
      <c r="I68" s="52" t="n">
        <v>41</v>
      </c>
      <c r="J68" s="53">
        <f>IF($A68&gt;=1927,(1-pac_quota)*Navy!X68,I68)</f>
        <v/>
      </c>
      <c r="K68" s="52" t="n">
        <v>0</v>
      </c>
      <c r="L68" s="53">
        <f>IF($A68&gt;=1923,siberia_front*(1-pac_quota),0)</f>
        <v/>
      </c>
      <c r="M68" s="52" t="n">
        <v>0</v>
      </c>
      <c r="N68" s="53">
        <f>M68*C68</f>
        <v/>
      </c>
      <c r="O68" s="53">
        <f>IF($A68&gt;=1927,10*(1-pac_quota),0)</f>
        <v/>
      </c>
      <c r="P68" s="53">
        <f>jp_coupon*Z67</f>
        <v/>
      </c>
      <c r="Q68" s="53">
        <f>H68+J68+K68+L68+N68+O68+P68</f>
        <v/>
      </c>
      <c r="R68" s="53">
        <f>Q68-G68</f>
        <v/>
      </c>
      <c r="S68" s="52" t="n">
        <v>0</v>
      </c>
      <c r="T68" s="53">
        <f>S68*IF($A68&gt;=1923,C68,1)</f>
        <v/>
      </c>
      <c r="U68" s="52" t="n">
        <v>60</v>
      </c>
      <c r="V68" s="52" t="n">
        <v>0</v>
      </c>
      <c r="W68" s="53">
        <f>X67*jp_foreign_repay</f>
        <v/>
      </c>
      <c r="X68" s="53">
        <f>X67+T68-W68</f>
        <v/>
      </c>
      <c r="Y68" s="53">
        <f>MAX(0,Y67+R68-T68-U68+W68+V68)</f>
        <v/>
      </c>
      <c r="Z68" s="53">
        <f>X68+Y68</f>
        <v/>
      </c>
      <c r="AA68" s="63">
        <f>IF(D68&gt;0,Z68/D68,0)</f>
        <v/>
      </c>
      <c r="AB68" s="63">
        <f>IF(G68&gt;0,P68/G68,0)</f>
        <v/>
      </c>
      <c r="AC68" s="63">
        <f>IF(R68&gt;0,MIN(1,T68/R68),0)</f>
        <v/>
      </c>
    </row>
    <row r="69">
      <c r="A69" s="58" t="n">
        <v>1909</v>
      </c>
      <c r="B69" s="45" t="n">
        <v>1878</v>
      </c>
      <c r="C69" s="70">
        <f>Partners!H69</f>
        <v/>
      </c>
      <c r="D69" s="47">
        <f>Partners!I69</f>
        <v/>
      </c>
      <c r="E69" s="59" t="n">
        <v>0.119</v>
      </c>
      <c r="F69" s="59" t="n">
        <v>0.08500000000000001</v>
      </c>
      <c r="G69" s="53">
        <f>D69*E69</f>
        <v/>
      </c>
      <c r="H69" s="53">
        <f>D69*F69</f>
        <v/>
      </c>
      <c r="I69" s="52" t="n">
        <v>43</v>
      </c>
      <c r="J69" s="53">
        <f>IF($A69&gt;=1927,(1-pac_quota)*Navy!X69,I69)</f>
        <v/>
      </c>
      <c r="K69" s="52" t="n">
        <v>0</v>
      </c>
      <c r="L69" s="53">
        <f>IF($A69&gt;=1923,siberia_front*(1-pac_quota),0)</f>
        <v/>
      </c>
      <c r="M69" s="52" t="n">
        <v>0</v>
      </c>
      <c r="N69" s="53">
        <f>M69*C69</f>
        <v/>
      </c>
      <c r="O69" s="53">
        <f>IF($A69&gt;=1927,10*(1-pac_quota),0)</f>
        <v/>
      </c>
      <c r="P69" s="53">
        <f>jp_coupon*Z68</f>
        <v/>
      </c>
      <c r="Q69" s="53">
        <f>H69+J69+K69+L69+N69+O69+P69</f>
        <v/>
      </c>
      <c r="R69" s="53">
        <f>Q69-G69</f>
        <v/>
      </c>
      <c r="S69" s="52" t="n">
        <v>0</v>
      </c>
      <c r="T69" s="53">
        <f>S69*IF($A69&gt;=1923,C69,1)</f>
        <v/>
      </c>
      <c r="U69" s="52" t="n">
        <v>60</v>
      </c>
      <c r="V69" s="52" t="n">
        <v>0</v>
      </c>
      <c r="W69" s="53">
        <f>X68*jp_foreign_repay</f>
        <v/>
      </c>
      <c r="X69" s="53">
        <f>X68+T69-W69</f>
        <v/>
      </c>
      <c r="Y69" s="53">
        <f>MAX(0,Y68+R69-T69-U69+W69+V69)</f>
        <v/>
      </c>
      <c r="Z69" s="53">
        <f>X69+Y69</f>
        <v/>
      </c>
      <c r="AA69" s="63">
        <f>IF(D69&gt;0,Z69/D69,0)</f>
        <v/>
      </c>
      <c r="AB69" s="63">
        <f>IF(G69&gt;0,P69/G69,0)</f>
        <v/>
      </c>
      <c r="AC69" s="63">
        <f>IF(R69&gt;0,MIN(1,T69/R69),0)</f>
        <v/>
      </c>
    </row>
    <row r="70">
      <c r="A70" s="58" t="n">
        <v>1910</v>
      </c>
      <c r="B70" s="45" t="n">
        <v>1960</v>
      </c>
      <c r="C70" s="70">
        <f>Partners!H70</f>
        <v/>
      </c>
      <c r="D70" s="47">
        <f>Partners!I70</f>
        <v/>
      </c>
      <c r="E70" s="59" t="n">
        <v>0.12</v>
      </c>
      <c r="F70" s="59" t="n">
        <v>0.08500000000000001</v>
      </c>
      <c r="G70" s="53">
        <f>D70*E70</f>
        <v/>
      </c>
      <c r="H70" s="53">
        <f>D70*F70</f>
        <v/>
      </c>
      <c r="I70" s="52" t="n">
        <v>45</v>
      </c>
      <c r="J70" s="53">
        <f>IF($A70&gt;=1927,(1-pac_quota)*Navy!X70,I70)</f>
        <v/>
      </c>
      <c r="K70" s="52" t="n">
        <v>0</v>
      </c>
      <c r="L70" s="53">
        <f>IF($A70&gt;=1923,siberia_front*(1-pac_quota),0)</f>
        <v/>
      </c>
      <c r="M70" s="52" t="n">
        <v>0</v>
      </c>
      <c r="N70" s="53">
        <f>M70*C70</f>
        <v/>
      </c>
      <c r="O70" s="53">
        <f>IF($A70&gt;=1927,10*(1-pac_quota),0)</f>
        <v/>
      </c>
      <c r="P70" s="53">
        <f>jp_coupon*Z69</f>
        <v/>
      </c>
      <c r="Q70" s="53">
        <f>H70+J70+K70+L70+N70+O70+P70</f>
        <v/>
      </c>
      <c r="R70" s="53">
        <f>Q70-G70</f>
        <v/>
      </c>
      <c r="S70" s="52" t="n">
        <v>0</v>
      </c>
      <c r="T70" s="53">
        <f>S70*IF($A70&gt;=1923,C70,1)</f>
        <v/>
      </c>
      <c r="U70" s="52" t="n">
        <v>60</v>
      </c>
      <c r="V70" s="52" t="n">
        <v>0</v>
      </c>
      <c r="W70" s="53">
        <f>X69*jp_foreign_repay</f>
        <v/>
      </c>
      <c r="X70" s="53">
        <f>X69+T70-W70</f>
        <v/>
      </c>
      <c r="Y70" s="53">
        <f>MAX(0,Y69+R70-T70-U70+W70+V70)</f>
        <v/>
      </c>
      <c r="Z70" s="53">
        <f>X70+Y70</f>
        <v/>
      </c>
      <c r="AA70" s="63">
        <f>IF(D70&gt;0,Z70/D70,0)</f>
        <v/>
      </c>
      <c r="AB70" s="63">
        <f>IF(G70&gt;0,P70/G70,0)</f>
        <v/>
      </c>
      <c r="AC70" s="63">
        <f>IF(R70&gt;0,MIN(1,T70/R70),0)</f>
        <v/>
      </c>
    </row>
    <row r="71">
      <c r="A71" s="58" t="n">
        <v>1911</v>
      </c>
      <c r="B71" s="45" t="n">
        <v>2140</v>
      </c>
      <c r="C71" s="70">
        <f>Partners!H71</f>
        <v/>
      </c>
      <c r="D71" s="47">
        <f>Partners!I71</f>
        <v/>
      </c>
      <c r="E71" s="59" t="n">
        <v>0.12</v>
      </c>
      <c r="F71" s="59" t="n">
        <v>0.08500000000000001</v>
      </c>
      <c r="G71" s="53">
        <f>D71*E71</f>
        <v/>
      </c>
      <c r="H71" s="53">
        <f>D71*F71</f>
        <v/>
      </c>
      <c r="I71" s="52" t="n">
        <v>46.7</v>
      </c>
      <c r="J71" s="53">
        <f>IF($A71&gt;=1927,(1-pac_quota)*Navy!X71,I71)</f>
        <v/>
      </c>
      <c r="K71" s="52" t="n">
        <v>0</v>
      </c>
      <c r="L71" s="53">
        <f>IF($A71&gt;=1923,siberia_front*(1-pac_quota),0)</f>
        <v/>
      </c>
      <c r="M71" s="52" t="n">
        <v>0</v>
      </c>
      <c r="N71" s="53">
        <f>M71*C71</f>
        <v/>
      </c>
      <c r="O71" s="53">
        <f>IF($A71&gt;=1927,10*(1-pac_quota),0)</f>
        <v/>
      </c>
      <c r="P71" s="53">
        <f>jp_coupon*Z70</f>
        <v/>
      </c>
      <c r="Q71" s="53">
        <f>H71+J71+K71+L71+N71+O71+P71</f>
        <v/>
      </c>
      <c r="R71" s="53">
        <f>Q71-G71</f>
        <v/>
      </c>
      <c r="S71" s="52" t="n">
        <v>0</v>
      </c>
      <c r="T71" s="53">
        <f>S71*IF($A71&gt;=1923,C71,1)</f>
        <v/>
      </c>
      <c r="U71" s="52" t="n">
        <v>0</v>
      </c>
      <c r="V71" s="52" t="n">
        <v>0</v>
      </c>
      <c r="W71" s="53">
        <f>X70*jp_foreign_repay</f>
        <v/>
      </c>
      <c r="X71" s="53">
        <f>X70+T71-W71</f>
        <v/>
      </c>
      <c r="Y71" s="53">
        <f>MAX(0,Y70+R71-T71-U71+W71+V71)</f>
        <v/>
      </c>
      <c r="Z71" s="53">
        <f>X71+Y71</f>
        <v/>
      </c>
      <c r="AA71" s="63">
        <f>IF(D71&gt;0,Z71/D71,0)</f>
        <v/>
      </c>
      <c r="AB71" s="63">
        <f>IF(G71&gt;0,P71/G71,0)</f>
        <v/>
      </c>
      <c r="AC71" s="63">
        <f>IF(R71&gt;0,MIN(1,T71/R71),0)</f>
        <v/>
      </c>
    </row>
    <row r="72">
      <c r="A72" s="58" t="n">
        <v>1912</v>
      </c>
      <c r="B72" s="45" t="n">
        <v>2320</v>
      </c>
      <c r="C72" s="70">
        <f>Partners!H72</f>
        <v/>
      </c>
      <c r="D72" s="47">
        <f>Partners!I72</f>
        <v/>
      </c>
      <c r="E72" s="59" t="n">
        <v>0.12</v>
      </c>
      <c r="F72" s="59" t="n">
        <v>0.08500000000000001</v>
      </c>
      <c r="G72" s="53">
        <f>D72*E72</f>
        <v/>
      </c>
      <c r="H72" s="53">
        <f>D72*F72</f>
        <v/>
      </c>
      <c r="I72" s="52" t="n">
        <v>48.3</v>
      </c>
      <c r="J72" s="53">
        <f>IF($A72&gt;=1927,(1-pac_quota)*Navy!X72,I72)</f>
        <v/>
      </c>
      <c r="K72" s="52" t="n">
        <v>0</v>
      </c>
      <c r="L72" s="53">
        <f>IF($A72&gt;=1923,siberia_front*(1-pac_quota),0)</f>
        <v/>
      </c>
      <c r="M72" s="52" t="n">
        <v>0</v>
      </c>
      <c r="N72" s="53">
        <f>M72*C72</f>
        <v/>
      </c>
      <c r="O72" s="53">
        <f>IF($A72&gt;=1927,10*(1-pac_quota),0)</f>
        <v/>
      </c>
      <c r="P72" s="53">
        <f>jp_coupon*Z71</f>
        <v/>
      </c>
      <c r="Q72" s="53">
        <f>H72+J72+K72+L72+N72+O72+P72</f>
        <v/>
      </c>
      <c r="R72" s="53">
        <f>Q72-G72</f>
        <v/>
      </c>
      <c r="S72" s="52" t="n">
        <v>0</v>
      </c>
      <c r="T72" s="53">
        <f>S72*IF($A72&gt;=1923,C72,1)</f>
        <v/>
      </c>
      <c r="U72" s="52" t="n">
        <v>0</v>
      </c>
      <c r="V72" s="52" t="n">
        <v>0</v>
      </c>
      <c r="W72" s="53">
        <f>X71*jp_foreign_repay</f>
        <v/>
      </c>
      <c r="X72" s="53">
        <f>X71+T72-W72</f>
        <v/>
      </c>
      <c r="Y72" s="53">
        <f>MAX(0,Y71+R72-T72-U72+W72+V72)</f>
        <v/>
      </c>
      <c r="Z72" s="53">
        <f>X72+Y72</f>
        <v/>
      </c>
      <c r="AA72" s="63">
        <f>IF(D72&gt;0,Z72/D72,0)</f>
        <v/>
      </c>
      <c r="AB72" s="63">
        <f>IF(G72&gt;0,P72/G72,0)</f>
        <v/>
      </c>
      <c r="AC72" s="63">
        <f>IF(R72&gt;0,MIN(1,T72/R72),0)</f>
        <v/>
      </c>
    </row>
    <row r="73">
      <c r="A73" s="58" t="n">
        <v>1913</v>
      </c>
      <c r="B73" s="45" t="n">
        <v>2500</v>
      </c>
      <c r="C73" s="70">
        <f>Partners!H73</f>
        <v/>
      </c>
      <c r="D73" s="47">
        <f>Partners!I73</f>
        <v/>
      </c>
      <c r="E73" s="59" t="n">
        <v>0.12</v>
      </c>
      <c r="F73" s="59" t="n">
        <v>0.08500000000000001</v>
      </c>
      <c r="G73" s="53">
        <f>D73*E73</f>
        <v/>
      </c>
      <c r="H73" s="53">
        <f>D73*F73</f>
        <v/>
      </c>
      <c r="I73" s="52" t="n">
        <v>50</v>
      </c>
      <c r="J73" s="53">
        <f>IF($A73&gt;=1927,(1-pac_quota)*Navy!X73,I73)</f>
        <v/>
      </c>
      <c r="K73" s="52" t="n">
        <v>0</v>
      </c>
      <c r="L73" s="53">
        <f>IF($A73&gt;=1923,siberia_front*(1-pac_quota),0)</f>
        <v/>
      </c>
      <c r="M73" s="52" t="n">
        <v>0</v>
      </c>
      <c r="N73" s="53">
        <f>M73*C73</f>
        <v/>
      </c>
      <c r="O73" s="53">
        <f>IF($A73&gt;=1927,10*(1-pac_quota),0)</f>
        <v/>
      </c>
      <c r="P73" s="53">
        <f>jp_coupon*Z72</f>
        <v/>
      </c>
      <c r="Q73" s="53">
        <f>H73+J73+K73+L73+N73+O73+P73</f>
        <v/>
      </c>
      <c r="R73" s="53">
        <f>Q73-G73</f>
        <v/>
      </c>
      <c r="S73" s="52" t="n">
        <v>0</v>
      </c>
      <c r="T73" s="53">
        <f>S73*IF($A73&gt;=1923,C73,1)</f>
        <v/>
      </c>
      <c r="U73" s="52" t="n">
        <v>0</v>
      </c>
      <c r="V73" s="52" t="n">
        <v>0</v>
      </c>
      <c r="W73" s="53">
        <f>X72*jp_foreign_repay</f>
        <v/>
      </c>
      <c r="X73" s="53">
        <f>X72+T73-W73</f>
        <v/>
      </c>
      <c r="Y73" s="53">
        <f>MAX(0,Y72+R73-T73-U73+W73+V73)</f>
        <v/>
      </c>
      <c r="Z73" s="53">
        <f>X73+Y73</f>
        <v/>
      </c>
      <c r="AA73" s="63">
        <f>IF(D73&gt;0,Z73/D73,0)</f>
        <v/>
      </c>
      <c r="AB73" s="63">
        <f>IF(G73&gt;0,P73/G73,0)</f>
        <v/>
      </c>
      <c r="AC73" s="63">
        <f>IF(R73&gt;0,MIN(1,T73/R73),0)</f>
        <v/>
      </c>
    </row>
    <row r="74">
      <c r="A74" s="61" t="n">
        <v>1914</v>
      </c>
      <c r="B74" s="45" t="n">
        <v>2495</v>
      </c>
      <c r="C74" s="70">
        <f>Partners!H74</f>
        <v/>
      </c>
      <c r="D74" s="47">
        <f>Partners!I74</f>
        <v/>
      </c>
      <c r="E74" s="59" t="n">
        <v>0.12</v>
      </c>
      <c r="F74" s="59" t="n">
        <v>0.08500000000000001</v>
      </c>
      <c r="G74" s="53">
        <f>D74*E74</f>
        <v/>
      </c>
      <c r="H74" s="53">
        <f>D74*F74</f>
        <v/>
      </c>
      <c r="I74" s="52" t="n">
        <v>55</v>
      </c>
      <c r="J74" s="53">
        <f>IF($A74&gt;=1927,(1-pac_quota)*Navy!X74,I74)</f>
        <v/>
      </c>
      <c r="K74" s="52" t="n">
        <v>30</v>
      </c>
      <c r="L74" s="53">
        <f>IF($A74&gt;=1923,siberia_front*(1-pac_quota),0)</f>
        <v/>
      </c>
      <c r="M74" s="52" t="n">
        <v>0</v>
      </c>
      <c r="N74" s="53">
        <f>M74*C74</f>
        <v/>
      </c>
      <c r="O74" s="53">
        <f>IF($A74&gt;=1927,10*(1-pac_quota),0)</f>
        <v/>
      </c>
      <c r="P74" s="53">
        <f>jp_coupon*Z73</f>
        <v/>
      </c>
      <c r="Q74" s="53">
        <f>H74+J74+K74+L74+N74+O74+P74</f>
        <v/>
      </c>
      <c r="R74" s="53">
        <f>Q74-G74</f>
        <v/>
      </c>
      <c r="S74" s="52" t="n">
        <v>0</v>
      </c>
      <c r="T74" s="53">
        <f>S74*IF($A74&gt;=1923,C74,1)</f>
        <v/>
      </c>
      <c r="U74" s="52" t="n">
        <v>0</v>
      </c>
      <c r="V74" s="52" t="n">
        <v>0</v>
      </c>
      <c r="W74" s="53">
        <f>X73*jp_foreign_repay</f>
        <v/>
      </c>
      <c r="X74" s="53">
        <f>X73+T74-W74</f>
        <v/>
      </c>
      <c r="Y74" s="53">
        <f>MAX(0,Y73+R74-T74-U74+W74+V74)</f>
        <v/>
      </c>
      <c r="Z74" s="53">
        <f>X74+Y74</f>
        <v/>
      </c>
      <c r="AA74" s="63">
        <f>IF(D74&gt;0,Z74/D74,0)</f>
        <v/>
      </c>
      <c r="AB74" s="63">
        <f>IF(G74&gt;0,P74/G74,0)</f>
        <v/>
      </c>
      <c r="AC74" s="63">
        <f>IF(R74&gt;0,MIN(1,T74/R74),0)</f>
        <v/>
      </c>
    </row>
    <row r="75">
      <c r="A75" s="61" t="n">
        <v>1915</v>
      </c>
      <c r="B75" s="45" t="n">
        <v>2490</v>
      </c>
      <c r="C75" s="70">
        <f>Partners!H75</f>
        <v/>
      </c>
      <c r="D75" s="47">
        <f>Partners!I75</f>
        <v/>
      </c>
      <c r="E75" s="59" t="n">
        <v>0.12</v>
      </c>
      <c r="F75" s="59" t="n">
        <v>0.08500000000000001</v>
      </c>
      <c r="G75" s="53">
        <f>D75*E75</f>
        <v/>
      </c>
      <c r="H75" s="53">
        <f>D75*F75</f>
        <v/>
      </c>
      <c r="I75" s="52" t="n">
        <v>60</v>
      </c>
      <c r="J75" s="53">
        <f>IF($A75&gt;=1927,(1-pac_quota)*Navy!X75,I75)</f>
        <v/>
      </c>
      <c r="K75" s="52" t="n">
        <v>0</v>
      </c>
      <c r="L75" s="53">
        <f>IF($A75&gt;=1923,siberia_front*(1-pac_quota),0)</f>
        <v/>
      </c>
      <c r="M75" s="52" t="n">
        <v>0</v>
      </c>
      <c r="N75" s="53">
        <f>M75*C75</f>
        <v/>
      </c>
      <c r="O75" s="53">
        <f>IF($A75&gt;=1927,10*(1-pac_quota),0)</f>
        <v/>
      </c>
      <c r="P75" s="53">
        <f>jp_coupon*Z74</f>
        <v/>
      </c>
      <c r="Q75" s="53">
        <f>H75+J75+K75+L75+N75+O75+P75</f>
        <v/>
      </c>
      <c r="R75" s="53">
        <f>Q75-G75</f>
        <v/>
      </c>
      <c r="S75" s="52" t="n">
        <v>0</v>
      </c>
      <c r="T75" s="53">
        <f>S75*IF($A75&gt;=1923,C75,1)</f>
        <v/>
      </c>
      <c r="U75" s="52" t="n">
        <v>0</v>
      </c>
      <c r="V75" s="52" t="n">
        <v>0</v>
      </c>
      <c r="W75" s="53">
        <f>X74*jp_foreign_repay</f>
        <v/>
      </c>
      <c r="X75" s="53">
        <f>X74+T75-W75</f>
        <v/>
      </c>
      <c r="Y75" s="53">
        <f>MAX(0,Y74+R75-T75-U75+W75+V75)</f>
        <v/>
      </c>
      <c r="Z75" s="53">
        <f>X75+Y75</f>
        <v/>
      </c>
      <c r="AA75" s="63">
        <f>IF(D75&gt;0,Z75/D75,0)</f>
        <v/>
      </c>
      <c r="AB75" s="63">
        <f>IF(G75&gt;0,P75/G75,0)</f>
        <v/>
      </c>
      <c r="AC75" s="63">
        <f>IF(R75&gt;0,MIN(1,T75/R75),0)</f>
        <v/>
      </c>
    </row>
    <row r="76">
      <c r="A76" s="61" t="n">
        <v>1916</v>
      </c>
      <c r="B76" s="45" t="n">
        <v>3390</v>
      </c>
      <c r="C76" s="70">
        <f>Partners!H76</f>
        <v/>
      </c>
      <c r="D76" s="47">
        <f>Partners!I76</f>
        <v/>
      </c>
      <c r="E76" s="59" t="n">
        <v>0.12</v>
      </c>
      <c r="F76" s="59" t="n">
        <v>0.08500000000000001</v>
      </c>
      <c r="G76" s="53">
        <f>D76*E76</f>
        <v/>
      </c>
      <c r="H76" s="53">
        <f>D76*F76</f>
        <v/>
      </c>
      <c r="I76" s="52" t="n">
        <v>65</v>
      </c>
      <c r="J76" s="53">
        <f>IF($A76&gt;=1927,(1-pac_quota)*Navy!X76,I76)</f>
        <v/>
      </c>
      <c r="K76" s="52" t="n">
        <v>0</v>
      </c>
      <c r="L76" s="53">
        <f>IF($A76&gt;=1923,siberia_front*(1-pac_quota),0)</f>
        <v/>
      </c>
      <c r="M76" s="52" t="n">
        <v>0</v>
      </c>
      <c r="N76" s="53">
        <f>M76*C76</f>
        <v/>
      </c>
      <c r="O76" s="53">
        <f>IF($A76&gt;=1927,10*(1-pac_quota),0)</f>
        <v/>
      </c>
      <c r="P76" s="53">
        <f>jp_coupon*Z75</f>
        <v/>
      </c>
      <c r="Q76" s="53">
        <f>H76+J76+K76+L76+N76+O76+P76</f>
        <v/>
      </c>
      <c r="R76" s="53">
        <f>Q76-G76</f>
        <v/>
      </c>
      <c r="S76" s="52" t="n">
        <v>0</v>
      </c>
      <c r="T76" s="53">
        <f>S76*IF($A76&gt;=1923,C76,1)</f>
        <v/>
      </c>
      <c r="U76" s="52" t="n">
        <v>0</v>
      </c>
      <c r="V76" s="52" t="n">
        <v>0</v>
      </c>
      <c r="W76" s="53">
        <f>X75*jp_foreign_repay</f>
        <v/>
      </c>
      <c r="X76" s="53">
        <f>X75+T76-W76</f>
        <v/>
      </c>
      <c r="Y76" s="53">
        <f>MAX(0,Y75+R76-T76-U76+W76+V76)</f>
        <v/>
      </c>
      <c r="Z76" s="53">
        <f>X76+Y76</f>
        <v/>
      </c>
      <c r="AA76" s="63">
        <f>IF(D76&gt;0,Z76/D76,0)</f>
        <v/>
      </c>
      <c r="AB76" s="63">
        <f>IF(G76&gt;0,P76/G76,0)</f>
        <v/>
      </c>
      <c r="AC76" s="63">
        <f>IF(R76&gt;0,MIN(1,T76/R76),0)</f>
        <v/>
      </c>
    </row>
    <row r="77">
      <c r="A77" s="61" t="n">
        <v>1917</v>
      </c>
      <c r="B77" s="45" t="n">
        <v>4290</v>
      </c>
      <c r="C77" s="70">
        <f>Partners!H77</f>
        <v/>
      </c>
      <c r="D77" s="47">
        <f>Partners!I77</f>
        <v/>
      </c>
      <c r="E77" s="59" t="n">
        <v>0.12</v>
      </c>
      <c r="F77" s="59" t="n">
        <v>0.08500000000000001</v>
      </c>
      <c r="G77" s="53">
        <f>D77*E77</f>
        <v/>
      </c>
      <c r="H77" s="53">
        <f>D77*F77</f>
        <v/>
      </c>
      <c r="I77" s="52" t="n">
        <v>77.5</v>
      </c>
      <c r="J77" s="53">
        <f>IF($A77&gt;=1927,(1-pac_quota)*Navy!X77,I77)</f>
        <v/>
      </c>
      <c r="K77" s="52" t="n">
        <v>0</v>
      </c>
      <c r="L77" s="53">
        <f>IF($A77&gt;=1923,siberia_front*(1-pac_quota),0)</f>
        <v/>
      </c>
      <c r="M77" s="52" t="n">
        <v>0</v>
      </c>
      <c r="N77" s="53">
        <f>M77*C77</f>
        <v/>
      </c>
      <c r="O77" s="53">
        <f>IF($A77&gt;=1927,10*(1-pac_quota),0)</f>
        <v/>
      </c>
      <c r="P77" s="53">
        <f>jp_coupon*Z76</f>
        <v/>
      </c>
      <c r="Q77" s="53">
        <f>H77+J77+K77+L77+N77+O77+P77</f>
        <v/>
      </c>
      <c r="R77" s="53">
        <f>Q77-G77</f>
        <v/>
      </c>
      <c r="S77" s="52" t="n">
        <v>0</v>
      </c>
      <c r="T77" s="53">
        <f>S77*IF($A77&gt;=1923,C77,1)</f>
        <v/>
      </c>
      <c r="U77" s="52" t="n">
        <v>0</v>
      </c>
      <c r="V77" s="52" t="n">
        <v>0</v>
      </c>
      <c r="W77" s="53">
        <f>X76*jp_foreign_repay</f>
        <v/>
      </c>
      <c r="X77" s="53">
        <f>X76+T77-W77</f>
        <v/>
      </c>
      <c r="Y77" s="53">
        <f>MAX(0,Y76+R77-T77-U77+W77+V77)</f>
        <v/>
      </c>
      <c r="Z77" s="53">
        <f>X77+Y77</f>
        <v/>
      </c>
      <c r="AA77" s="63">
        <f>IF(D77&gt;0,Z77/D77,0)</f>
        <v/>
      </c>
      <c r="AB77" s="63">
        <f>IF(G77&gt;0,P77/G77,0)</f>
        <v/>
      </c>
      <c r="AC77" s="63">
        <f>IF(R77&gt;0,MIN(1,T77/R77),0)</f>
        <v/>
      </c>
    </row>
    <row r="78">
      <c r="A78" s="61" t="n">
        <v>1918</v>
      </c>
      <c r="B78" s="45" t="n">
        <v>6010</v>
      </c>
      <c r="C78" s="70">
        <f>Partners!H78</f>
        <v/>
      </c>
      <c r="D78" s="47">
        <f>Partners!I78</f>
        <v/>
      </c>
      <c r="E78" s="59" t="n">
        <v>0.12</v>
      </c>
      <c r="F78" s="59" t="n">
        <v>0.08500000000000001</v>
      </c>
      <c r="G78" s="53">
        <f>D78*E78</f>
        <v/>
      </c>
      <c r="H78" s="53">
        <f>D78*F78</f>
        <v/>
      </c>
      <c r="I78" s="52" t="n">
        <v>90</v>
      </c>
      <c r="J78" s="53">
        <f>IF($A78&gt;=1927,(1-pac_quota)*Navy!X78,I78)</f>
        <v/>
      </c>
      <c r="K78" s="52" t="n">
        <v>84</v>
      </c>
      <c r="L78" s="53">
        <f>IF($A78&gt;=1923,siberia_front*(1-pac_quota),0)</f>
        <v/>
      </c>
      <c r="M78" s="52" t="n">
        <v>0</v>
      </c>
      <c r="N78" s="53">
        <f>M78*C78</f>
        <v/>
      </c>
      <c r="O78" s="53">
        <f>IF($A78&gt;=1927,10*(1-pac_quota),0)</f>
        <v/>
      </c>
      <c r="P78" s="53">
        <f>jp_coupon*Z77</f>
        <v/>
      </c>
      <c r="Q78" s="53">
        <f>H78+J78+K78+L78+N78+O78+P78</f>
        <v/>
      </c>
      <c r="R78" s="53">
        <f>Q78-G78</f>
        <v/>
      </c>
      <c r="S78" s="52" t="n">
        <v>0</v>
      </c>
      <c r="T78" s="53">
        <f>S78*IF($A78&gt;=1923,C78,1)</f>
        <v/>
      </c>
      <c r="U78" s="52" t="n">
        <v>0</v>
      </c>
      <c r="V78" s="52" t="n">
        <v>0</v>
      </c>
      <c r="W78" s="53">
        <f>X77*jp_foreign_repay</f>
        <v/>
      </c>
      <c r="X78" s="53">
        <f>X77+T78-W78</f>
        <v/>
      </c>
      <c r="Y78" s="53">
        <f>MAX(0,Y77+R78-T78-U78+W78+V78)</f>
        <v/>
      </c>
      <c r="Z78" s="53">
        <f>X78+Y78</f>
        <v/>
      </c>
      <c r="AA78" s="63">
        <f>IF(D78&gt;0,Z78/D78,0)</f>
        <v/>
      </c>
      <c r="AB78" s="63">
        <f>IF(G78&gt;0,P78/G78,0)</f>
        <v/>
      </c>
      <c r="AC78" s="63">
        <f>IF(R78&gt;0,MIN(1,T78/R78),0)</f>
        <v/>
      </c>
    </row>
    <row r="79">
      <c r="A79" s="61" t="n">
        <v>1919</v>
      </c>
      <c r="B79" s="45" t="n">
        <v>7730</v>
      </c>
      <c r="C79" s="70">
        <f>Partners!H79</f>
        <v/>
      </c>
      <c r="D79" s="47">
        <f>Partners!I79</f>
        <v/>
      </c>
      <c r="E79" s="59" t="n">
        <v>0.12</v>
      </c>
      <c r="F79" s="59" t="n">
        <v>0.08500000000000001</v>
      </c>
      <c r="G79" s="53">
        <f>D79*E79</f>
        <v/>
      </c>
      <c r="H79" s="53">
        <f>D79*F79</f>
        <v/>
      </c>
      <c r="I79" s="52" t="n">
        <v>120</v>
      </c>
      <c r="J79" s="53">
        <f>IF($A79&gt;=1927,(1-pac_quota)*Navy!X79,I79)</f>
        <v/>
      </c>
      <c r="K79" s="52" t="n">
        <v>123</v>
      </c>
      <c r="L79" s="53">
        <f>IF($A79&gt;=1923,siberia_front*(1-pac_quota),0)</f>
        <v/>
      </c>
      <c r="M79" s="52" t="n">
        <v>0</v>
      </c>
      <c r="N79" s="53">
        <f>M79*C79</f>
        <v/>
      </c>
      <c r="O79" s="53">
        <f>IF($A79&gt;=1927,10*(1-pac_quota),0)</f>
        <v/>
      </c>
      <c r="P79" s="53">
        <f>jp_coupon*Z78</f>
        <v/>
      </c>
      <c r="Q79" s="53">
        <f>H79+J79+K79+L79+N79+O79+P79</f>
        <v/>
      </c>
      <c r="R79" s="53">
        <f>Q79-G79</f>
        <v/>
      </c>
      <c r="S79" s="52" t="n">
        <v>0</v>
      </c>
      <c r="T79" s="53">
        <f>S79*IF($A79&gt;=1923,C79,1)</f>
        <v/>
      </c>
      <c r="U79" s="52" t="n">
        <v>0</v>
      </c>
      <c r="V79" s="52" t="n">
        <v>0</v>
      </c>
      <c r="W79" s="53">
        <f>X78*jp_foreign_repay</f>
        <v/>
      </c>
      <c r="X79" s="53">
        <f>X78+T79-W79</f>
        <v/>
      </c>
      <c r="Y79" s="53">
        <f>MAX(0,Y78+R79-T79-U79+W79+V79)</f>
        <v/>
      </c>
      <c r="Z79" s="53">
        <f>X79+Y79</f>
        <v/>
      </c>
      <c r="AA79" s="63">
        <f>IF(D79&gt;0,Z79/D79,0)</f>
        <v/>
      </c>
      <c r="AB79" s="63">
        <f>IF(G79&gt;0,P79/G79,0)</f>
        <v/>
      </c>
      <c r="AC79" s="63">
        <f>IF(R79&gt;0,MIN(1,T79/R79),0)</f>
        <v/>
      </c>
    </row>
    <row r="80">
      <c r="A80" s="61" t="n">
        <v>1920</v>
      </c>
      <c r="B80" s="45" t="n">
        <v>7930</v>
      </c>
      <c r="C80" s="70">
        <f>Partners!H80</f>
        <v/>
      </c>
      <c r="D80" s="47">
        <f>Partners!I80</f>
        <v/>
      </c>
      <c r="E80" s="59" t="n">
        <v>0.12</v>
      </c>
      <c r="F80" s="59" t="n">
        <v>0.08500000000000001</v>
      </c>
      <c r="G80" s="53">
        <f>D80*E80</f>
        <v/>
      </c>
      <c r="H80" s="53">
        <f>D80*F80</f>
        <v/>
      </c>
      <c r="I80" s="52" t="n">
        <v>150</v>
      </c>
      <c r="J80" s="53">
        <f>IF($A80&gt;=1927,(1-pac_quota)*Navy!X80,I80)</f>
        <v/>
      </c>
      <c r="K80" s="52" t="n">
        <v>136</v>
      </c>
      <c r="L80" s="53">
        <f>IF($A80&gt;=1923,siberia_front*(1-pac_quota),0)</f>
        <v/>
      </c>
      <c r="M80" s="52" t="n">
        <v>0</v>
      </c>
      <c r="N80" s="53">
        <f>M80*C80</f>
        <v/>
      </c>
      <c r="O80" s="53">
        <f>IF($A80&gt;=1927,10*(1-pac_quota),0)</f>
        <v/>
      </c>
      <c r="P80" s="53">
        <f>jp_coupon*Z79</f>
        <v/>
      </c>
      <c r="Q80" s="53">
        <f>H80+J80+K80+L80+N80+O80+P80</f>
        <v/>
      </c>
      <c r="R80" s="53">
        <f>Q80-G80</f>
        <v/>
      </c>
      <c r="S80" s="52" t="n">
        <v>0</v>
      </c>
      <c r="T80" s="53">
        <f>S80*IF($A80&gt;=1923,C80,1)</f>
        <v/>
      </c>
      <c r="U80" s="52" t="n">
        <v>0</v>
      </c>
      <c r="V80" s="52" t="n">
        <v>0</v>
      </c>
      <c r="W80" s="53">
        <f>X79*jp_foreign_repay</f>
        <v/>
      </c>
      <c r="X80" s="53">
        <f>X79+T80-W80</f>
        <v/>
      </c>
      <c r="Y80" s="53">
        <f>MAX(0,Y79+R80-T80-U80+W80+V80)</f>
        <v/>
      </c>
      <c r="Z80" s="53">
        <f>X80+Y80</f>
        <v/>
      </c>
      <c r="AA80" s="63">
        <f>IF(D80&gt;0,Z80/D80,0)</f>
        <v/>
      </c>
      <c r="AB80" s="63">
        <f>IF(G80&gt;0,P80/G80,0)</f>
        <v/>
      </c>
      <c r="AC80" s="63">
        <f>IF(R80&gt;0,MIN(1,T80/R80),0)</f>
        <v/>
      </c>
    </row>
    <row r="81">
      <c r="A81" s="61" t="n">
        <v>1921</v>
      </c>
      <c r="B81" s="45" t="n">
        <v>7430</v>
      </c>
      <c r="C81" s="70">
        <f>Partners!H81</f>
        <v/>
      </c>
      <c r="D81" s="47">
        <f>Partners!I81</f>
        <v/>
      </c>
      <c r="E81" s="59" t="n">
        <v>0.1211</v>
      </c>
      <c r="F81" s="59" t="n">
        <v>0.0867</v>
      </c>
      <c r="G81" s="53">
        <f>D81*E81</f>
        <v/>
      </c>
      <c r="H81" s="53">
        <f>D81*F81</f>
        <v/>
      </c>
      <c r="I81" s="52" t="n">
        <v>160</v>
      </c>
      <c r="J81" s="53">
        <f>IF($A81&gt;=1927,(1-pac_quota)*Navy!X81,I81)</f>
        <v/>
      </c>
      <c r="K81" s="52" t="n">
        <v>127</v>
      </c>
      <c r="L81" s="53">
        <f>IF($A81&gt;=1923,siberia_front*(1-pac_quota),0)</f>
        <v/>
      </c>
      <c r="M81" s="52" t="n">
        <v>0</v>
      </c>
      <c r="N81" s="53">
        <f>M81*C81</f>
        <v/>
      </c>
      <c r="O81" s="53">
        <f>IF($A81&gt;=1927,10*(1-pac_quota),0)</f>
        <v/>
      </c>
      <c r="P81" s="53">
        <f>jp_coupon*Z80</f>
        <v/>
      </c>
      <c r="Q81" s="53">
        <f>H81+J81+K81+L81+N81+O81+P81</f>
        <v/>
      </c>
      <c r="R81" s="53">
        <f>Q81-G81</f>
        <v/>
      </c>
      <c r="S81" s="52" t="n">
        <v>0</v>
      </c>
      <c r="T81" s="53">
        <f>S81*IF($A81&gt;=1923,C81,1)</f>
        <v/>
      </c>
      <c r="U81" s="52" t="n">
        <v>0</v>
      </c>
      <c r="V81" s="52" t="n">
        <v>0</v>
      </c>
      <c r="W81" s="53">
        <f>X80*jp_foreign_repay</f>
        <v/>
      </c>
      <c r="X81" s="53">
        <f>X80+T81-W81</f>
        <v/>
      </c>
      <c r="Y81" s="53">
        <f>MAX(0,Y80+R81-T81-U81+W81+V81)</f>
        <v/>
      </c>
      <c r="Z81" s="53">
        <f>X81+Y81</f>
        <v/>
      </c>
      <c r="AA81" s="63">
        <f>IF(D81&gt;0,Z81/D81,0)</f>
        <v/>
      </c>
      <c r="AB81" s="63">
        <f>IF(G81&gt;0,P81/G81,0)</f>
        <v/>
      </c>
      <c r="AC81" s="63">
        <f>IF(R81&gt;0,MIN(1,T81/R81),0)</f>
        <v/>
      </c>
    </row>
    <row r="82">
      <c r="A82" s="61" t="n">
        <v>1922</v>
      </c>
      <c r="B82" s="45" t="n">
        <v>7700</v>
      </c>
      <c r="C82" s="70">
        <f>Partners!H82</f>
        <v/>
      </c>
      <c r="D82" s="47">
        <f>Partners!I82</f>
        <v/>
      </c>
      <c r="E82" s="59" t="n">
        <v>0.1222</v>
      </c>
      <c r="F82" s="59" t="n">
        <v>0.0883</v>
      </c>
      <c r="G82" s="53">
        <f>D82*E82</f>
        <v/>
      </c>
      <c r="H82" s="53">
        <f>D82*F82</f>
        <v/>
      </c>
      <c r="I82" s="52" t="n">
        <v>130</v>
      </c>
      <c r="J82" s="53">
        <f>IF($A82&gt;=1927,(1-pac_quota)*Navy!X82,I82)</f>
        <v/>
      </c>
      <c r="K82" s="52" t="n">
        <v>87</v>
      </c>
      <c r="L82" s="53">
        <f>IF($A82&gt;=1923,siberia_front*(1-pac_quota),0)</f>
        <v/>
      </c>
      <c r="M82" s="52" t="n">
        <v>0</v>
      </c>
      <c r="N82" s="53">
        <f>M82*C82</f>
        <v/>
      </c>
      <c r="O82" s="53">
        <f>IF($A82&gt;=1927,10*(1-pac_quota),0)</f>
        <v/>
      </c>
      <c r="P82" s="53">
        <f>jp_coupon*Z81</f>
        <v/>
      </c>
      <c r="Q82" s="53">
        <f>H82+J82+K82+L82+N82+O82+P82</f>
        <v/>
      </c>
      <c r="R82" s="53">
        <f>Q82-G82</f>
        <v/>
      </c>
      <c r="S82" s="52" t="n">
        <v>0</v>
      </c>
      <c r="T82" s="53">
        <f>S82*IF($A82&gt;=1923,C82,1)</f>
        <v/>
      </c>
      <c r="U82" s="52" t="n">
        <v>0</v>
      </c>
      <c r="V82" s="52" t="n">
        <v>0</v>
      </c>
      <c r="W82" s="53">
        <f>X81*jp_foreign_repay</f>
        <v/>
      </c>
      <c r="X82" s="53">
        <f>X81+T82-W82</f>
        <v/>
      </c>
      <c r="Y82" s="53">
        <f>MAX(0,Y81+R82-T82-U82+W82+V82)</f>
        <v/>
      </c>
      <c r="Z82" s="53">
        <f>X82+Y82</f>
        <v/>
      </c>
      <c r="AA82" s="63">
        <f>IF(D82&gt;0,Z82/D82,0)</f>
        <v/>
      </c>
      <c r="AB82" s="63">
        <f>IF(G82&gt;0,P82/G82,0)</f>
        <v/>
      </c>
      <c r="AC82" s="63">
        <f>IF(R82&gt;0,MIN(1,T82/R82),0)</f>
        <v/>
      </c>
    </row>
    <row r="83">
      <c r="A83" s="58" t="n">
        <v>1923</v>
      </c>
      <c r="B83" s="45" t="n">
        <v>7430</v>
      </c>
      <c r="C83" s="70">
        <f>Partners!H83</f>
        <v/>
      </c>
      <c r="D83" s="47">
        <f>Partners!I83</f>
        <v/>
      </c>
      <c r="E83" s="59" t="n">
        <v>0.1233</v>
      </c>
      <c r="F83" s="59" t="n">
        <v>0.09</v>
      </c>
      <c r="G83" s="53">
        <f>D83*E83</f>
        <v/>
      </c>
      <c r="H83" s="53">
        <f>D83*F83</f>
        <v/>
      </c>
      <c r="I83" s="52" t="n">
        <v>120</v>
      </c>
      <c r="J83" s="53">
        <f>IF($A83&gt;=1927,(1-pac_quota)*Navy!X83,I83)</f>
        <v/>
      </c>
      <c r="K83" s="52" t="n">
        <v>0</v>
      </c>
      <c r="L83" s="53">
        <f>IF($A83&gt;=1923,siberia_front*(1-pac_quota),0)</f>
        <v/>
      </c>
      <c r="M83" s="52" t="n">
        <v>150</v>
      </c>
      <c r="N83" s="53">
        <f>M83*C83</f>
        <v/>
      </c>
      <c r="O83" s="53">
        <f>IF($A83&gt;=1927,10*(1-pac_quota),0)</f>
        <v/>
      </c>
      <c r="P83" s="53">
        <f>jp_coupon*Z82</f>
        <v/>
      </c>
      <c r="Q83" s="53">
        <f>H83+J83+K83+L83+N83+O83+P83</f>
        <v/>
      </c>
      <c r="R83" s="53">
        <f>Q83-G83</f>
        <v/>
      </c>
      <c r="S83" s="52" t="n">
        <v>150</v>
      </c>
      <c r="T83" s="53">
        <f>S83*IF($A83&gt;=1923,C83,1)</f>
        <v/>
      </c>
      <c r="U83" s="52" t="n">
        <v>0</v>
      </c>
      <c r="V83" s="52" t="n">
        <v>0</v>
      </c>
      <c r="W83" s="53">
        <f>X82*jp_foreign_repay</f>
        <v/>
      </c>
      <c r="X83" s="53">
        <f>X82+T83-W83</f>
        <v/>
      </c>
      <c r="Y83" s="53">
        <f>MAX(0,Y82+R83-T83-U83+W83+V83)</f>
        <v/>
      </c>
      <c r="Z83" s="53">
        <f>X83+Y83</f>
        <v/>
      </c>
      <c r="AA83" s="63">
        <f>IF(D83&gt;0,Z83/D83,0)</f>
        <v/>
      </c>
      <c r="AB83" s="63">
        <f>IF(G83&gt;0,P83/G83,0)</f>
        <v/>
      </c>
      <c r="AC83" s="63">
        <f>IF(R83&gt;0,MIN(1,T83/R83),0)</f>
        <v/>
      </c>
    </row>
    <row r="84">
      <c r="A84" s="58" t="n">
        <v>1924</v>
      </c>
      <c r="B84" s="45" t="n">
        <v>7900</v>
      </c>
      <c r="C84" s="70">
        <f>Partners!H84</f>
        <v/>
      </c>
      <c r="D84" s="47">
        <f>Partners!I84</f>
        <v/>
      </c>
      <c r="E84" s="59" t="n">
        <v>0.1244</v>
      </c>
      <c r="F84" s="59" t="n">
        <v>0.0917</v>
      </c>
      <c r="G84" s="53">
        <f>D84*E84</f>
        <v/>
      </c>
      <c r="H84" s="53">
        <f>D84*F84</f>
        <v/>
      </c>
      <c r="I84" s="52" t="n">
        <v>110</v>
      </c>
      <c r="J84" s="53">
        <f>IF($A84&gt;=1927,(1-pac_quota)*Navy!X84,I84)</f>
        <v/>
      </c>
      <c r="K84" s="52" t="n">
        <v>0</v>
      </c>
      <c r="L84" s="53">
        <f>IF($A84&gt;=1923,siberia_front*(1-pac_quota),0)</f>
        <v/>
      </c>
      <c r="M84" s="52" t="n">
        <v>200</v>
      </c>
      <c r="N84" s="53">
        <f>M84*C84</f>
        <v/>
      </c>
      <c r="O84" s="53">
        <f>IF($A84&gt;=1927,10*(1-pac_quota),0)</f>
        <v/>
      </c>
      <c r="P84" s="53">
        <f>jp_coupon*Z83</f>
        <v/>
      </c>
      <c r="Q84" s="53">
        <f>H84+J84+K84+L84+N84+O84+P84</f>
        <v/>
      </c>
      <c r="R84" s="53">
        <f>Q84-G84</f>
        <v/>
      </c>
      <c r="S84" s="52" t="n">
        <v>0</v>
      </c>
      <c r="T84" s="53">
        <f>S84*IF($A84&gt;=1923,C84,1)</f>
        <v/>
      </c>
      <c r="U84" s="52" t="n">
        <v>0</v>
      </c>
      <c r="V84" s="52" t="n">
        <v>0</v>
      </c>
      <c r="W84" s="53">
        <f>X83*jp_foreign_repay</f>
        <v/>
      </c>
      <c r="X84" s="53">
        <f>X83+T84-W84</f>
        <v/>
      </c>
      <c r="Y84" s="53">
        <f>MAX(0,Y83+R84-T84-U84+W84+V84)</f>
        <v/>
      </c>
      <c r="Z84" s="53">
        <f>X84+Y84</f>
        <v/>
      </c>
      <c r="AA84" s="63">
        <f>IF(D84&gt;0,Z84/D84,0)</f>
        <v/>
      </c>
      <c r="AB84" s="63">
        <f>IF(G84&gt;0,P84/G84,0)</f>
        <v/>
      </c>
      <c r="AC84" s="63">
        <f>IF(R84&gt;0,MIN(1,T84/R84),0)</f>
        <v/>
      </c>
    </row>
    <row r="85">
      <c r="A85" s="58" t="n">
        <v>1925</v>
      </c>
      <c r="B85" s="45" t="n">
        <v>8130</v>
      </c>
      <c r="C85" s="70">
        <f>Partners!H85</f>
        <v/>
      </c>
      <c r="D85" s="47">
        <f>Partners!I85</f>
        <v/>
      </c>
      <c r="E85" s="59" t="n">
        <v>0.1256</v>
      </c>
      <c r="F85" s="59" t="n">
        <v>0.09329999999999999</v>
      </c>
      <c r="G85" s="53">
        <f>D85*E85</f>
        <v/>
      </c>
      <c r="H85" s="53">
        <f>D85*F85</f>
        <v/>
      </c>
      <c r="I85" s="52" t="n">
        <v>112.5</v>
      </c>
      <c r="J85" s="53">
        <f>IF($A85&gt;=1927,(1-pac_quota)*Navy!X85,I85)</f>
        <v/>
      </c>
      <c r="K85" s="52" t="n">
        <v>0</v>
      </c>
      <c r="L85" s="53">
        <f>IF($A85&gt;=1923,siberia_front*(1-pac_quota),0)</f>
        <v/>
      </c>
      <c r="M85" s="52" t="n">
        <v>150</v>
      </c>
      <c r="N85" s="53">
        <f>M85*C85</f>
        <v/>
      </c>
      <c r="O85" s="53">
        <f>IF($A85&gt;=1927,10*(1-pac_quota),0)</f>
        <v/>
      </c>
      <c r="P85" s="53">
        <f>jp_coupon*Z84</f>
        <v/>
      </c>
      <c r="Q85" s="53">
        <f>H85+J85+K85+L85+N85+O85+P85</f>
        <v/>
      </c>
      <c r="R85" s="53">
        <f>Q85-G85</f>
        <v/>
      </c>
      <c r="S85" s="52" t="n">
        <v>0</v>
      </c>
      <c r="T85" s="53">
        <f>S85*IF($A85&gt;=1923,C85,1)</f>
        <v/>
      </c>
      <c r="U85" s="52" t="n">
        <v>0</v>
      </c>
      <c r="V85" s="52" t="n">
        <v>0</v>
      </c>
      <c r="W85" s="53">
        <f>X84*jp_foreign_repay</f>
        <v/>
      </c>
      <c r="X85" s="53">
        <f>X84+T85-W85</f>
        <v/>
      </c>
      <c r="Y85" s="53">
        <f>MAX(0,Y84+R85-T85-U85+W85+V85)</f>
        <v/>
      </c>
      <c r="Z85" s="53">
        <f>X85+Y85</f>
        <v/>
      </c>
      <c r="AA85" s="63">
        <f>IF(D85&gt;0,Z85/D85,0)</f>
        <v/>
      </c>
      <c r="AB85" s="63">
        <f>IF(G85&gt;0,P85/G85,0)</f>
        <v/>
      </c>
      <c r="AC85" s="63">
        <f>IF(R85&gt;0,MIN(1,T85/R85),0)</f>
        <v/>
      </c>
    </row>
    <row r="86">
      <c r="A86" s="58" t="n">
        <v>1926</v>
      </c>
      <c r="B86" s="45" t="n">
        <v>7980</v>
      </c>
      <c r="C86" s="70">
        <f>Partners!H86</f>
        <v/>
      </c>
      <c r="D86" s="47">
        <f>Partners!I86</f>
        <v/>
      </c>
      <c r="E86" s="59" t="n">
        <v>0.1267</v>
      </c>
      <c r="F86" s="59" t="n">
        <v>0.095</v>
      </c>
      <c r="G86" s="53">
        <f>D86*E86</f>
        <v/>
      </c>
      <c r="H86" s="53">
        <f>D86*F86</f>
        <v/>
      </c>
      <c r="I86" s="52" t="n">
        <v>115</v>
      </c>
      <c r="J86" s="53">
        <f>IF($A86&gt;=1927,(1-pac_quota)*Navy!X86,I86)</f>
        <v/>
      </c>
      <c r="K86" s="52" t="n">
        <v>0</v>
      </c>
      <c r="L86" s="53">
        <f>IF($A86&gt;=1923,siberia_front*(1-pac_quota),0)</f>
        <v/>
      </c>
      <c r="M86" s="52" t="n">
        <v>100</v>
      </c>
      <c r="N86" s="53">
        <f>M86*C86</f>
        <v/>
      </c>
      <c r="O86" s="53">
        <f>IF($A86&gt;=1927,10*(1-pac_quota),0)</f>
        <v/>
      </c>
      <c r="P86" s="53">
        <f>jp_coupon*Z85</f>
        <v/>
      </c>
      <c r="Q86" s="53">
        <f>H86+J86+K86+L86+N86+O86+P86</f>
        <v/>
      </c>
      <c r="R86" s="53">
        <f>Q86-G86</f>
        <v/>
      </c>
      <c r="S86" s="52" t="n">
        <v>0</v>
      </c>
      <c r="T86" s="53">
        <f>S86*IF($A86&gt;=1923,C86,1)</f>
        <v/>
      </c>
      <c r="U86" s="52" t="n">
        <v>0</v>
      </c>
      <c r="V86" s="52" t="n">
        <v>0</v>
      </c>
      <c r="W86" s="53">
        <f>X85*jp_foreign_repay</f>
        <v/>
      </c>
      <c r="X86" s="53">
        <f>X85+T86-W86</f>
        <v/>
      </c>
      <c r="Y86" s="53">
        <f>MAX(0,Y85+R86-T86-U86+W86+V86)</f>
        <v/>
      </c>
      <c r="Z86" s="53">
        <f>X86+Y86</f>
        <v/>
      </c>
      <c r="AA86" s="63">
        <f>IF(D86&gt;0,Z86/D86,0)</f>
        <v/>
      </c>
      <c r="AB86" s="63">
        <f>IF(G86&gt;0,P86/G86,0)</f>
        <v/>
      </c>
      <c r="AC86" s="63">
        <f>IF(R86&gt;0,MIN(1,T86/R86),0)</f>
        <v/>
      </c>
    </row>
    <row r="87">
      <c r="A87" s="58" t="n">
        <v>1927</v>
      </c>
      <c r="B87" s="45" t="n">
        <v>8130</v>
      </c>
      <c r="C87" s="70">
        <f>Partners!H87</f>
        <v/>
      </c>
      <c r="D87" s="47">
        <f>Partners!I87</f>
        <v/>
      </c>
      <c r="E87" s="59" t="n">
        <v>0.1278</v>
      </c>
      <c r="F87" s="59" t="n">
        <v>0.09669999999999999</v>
      </c>
      <c r="G87" s="53">
        <f>D87*E87</f>
        <v/>
      </c>
      <c r="H87" s="53">
        <f>D87*F87</f>
        <v/>
      </c>
      <c r="I87" s="52" t="n">
        <v>120</v>
      </c>
      <c r="J87" s="53">
        <f>IF($A87&gt;=1927,(1-pac_quota)*Navy!X87,I87)</f>
        <v/>
      </c>
      <c r="K87" s="52" t="n">
        <v>0</v>
      </c>
      <c r="L87" s="53">
        <f>IF($A87&gt;=1923,siberia_front*(1-pac_quota),0)</f>
        <v/>
      </c>
      <c r="M87" s="52" t="n">
        <v>450</v>
      </c>
      <c r="N87" s="53">
        <f>M87*C87</f>
        <v/>
      </c>
      <c r="O87" s="53">
        <f>IF($A87&gt;=1927,10*(1-pac_quota),0)</f>
        <v/>
      </c>
      <c r="P87" s="53">
        <f>jp_coupon*Z86</f>
        <v/>
      </c>
      <c r="Q87" s="53">
        <f>H87+J87+K87+L87+N87+O87+P87</f>
        <v/>
      </c>
      <c r="R87" s="53">
        <f>Q87-G87</f>
        <v/>
      </c>
      <c r="S87" s="52" t="n">
        <v>300</v>
      </c>
      <c r="T87" s="53">
        <f>S87*IF($A87&gt;=1923,C87,1)</f>
        <v/>
      </c>
      <c r="U87" s="52" t="n">
        <v>0</v>
      </c>
      <c r="V87" s="52" t="n">
        <v>0</v>
      </c>
      <c r="W87" s="53">
        <f>X86*jp_foreign_repay</f>
        <v/>
      </c>
      <c r="X87" s="53">
        <f>X86+T87-W87</f>
        <v/>
      </c>
      <c r="Y87" s="53">
        <f>MAX(0,Y86+R87-T87-U87+W87+V87)</f>
        <v/>
      </c>
      <c r="Z87" s="53">
        <f>X87+Y87</f>
        <v/>
      </c>
      <c r="AA87" s="63">
        <f>IF(D87&gt;0,Z87/D87,0)</f>
        <v/>
      </c>
      <c r="AB87" s="63">
        <f>IF(G87&gt;0,P87/G87,0)</f>
        <v/>
      </c>
      <c r="AC87" s="63">
        <f>IF(R87&gt;0,MIN(1,T87/R87),0)</f>
        <v/>
      </c>
    </row>
    <row r="88">
      <c r="A88" s="58" t="n">
        <v>1928</v>
      </c>
      <c r="B88" s="45" t="n">
        <v>8180</v>
      </c>
      <c r="C88" s="70">
        <f>Partners!H88</f>
        <v/>
      </c>
      <c r="D88" s="47">
        <f>Partners!I88</f>
        <v/>
      </c>
      <c r="E88" s="59" t="n">
        <v>0.1289</v>
      </c>
      <c r="F88" s="59" t="n">
        <v>0.0983</v>
      </c>
      <c r="G88" s="53">
        <f>D88*E88</f>
        <v/>
      </c>
      <c r="H88" s="53">
        <f>D88*F88</f>
        <v/>
      </c>
      <c r="I88" s="52" t="n">
        <v>120</v>
      </c>
      <c r="J88" s="53">
        <f>IF($A88&gt;=1927,(1-pac_quota)*Navy!X88,I88)</f>
        <v/>
      </c>
      <c r="K88" s="52" t="n">
        <v>0</v>
      </c>
      <c r="L88" s="53">
        <f>IF($A88&gt;=1923,siberia_front*(1-pac_quota),0)</f>
        <v/>
      </c>
      <c r="M88" s="52" t="n">
        <v>0</v>
      </c>
      <c r="N88" s="53">
        <f>M88*C88</f>
        <v/>
      </c>
      <c r="O88" s="53">
        <f>IF($A88&gt;=1927,10*(1-pac_quota),0)</f>
        <v/>
      </c>
      <c r="P88" s="53">
        <f>jp_coupon*Z87</f>
        <v/>
      </c>
      <c r="Q88" s="53">
        <f>H88+J88+K88+L88+N88+O88+P88</f>
        <v/>
      </c>
      <c r="R88" s="53">
        <f>Q88-G88</f>
        <v/>
      </c>
      <c r="S88" s="52" t="n">
        <v>0</v>
      </c>
      <c r="T88" s="53">
        <f>S88*IF($A88&gt;=1923,C88,1)</f>
        <v/>
      </c>
      <c r="U88" s="52" t="n">
        <v>0</v>
      </c>
      <c r="V88" s="52" t="n">
        <v>0</v>
      </c>
      <c r="W88" s="53">
        <f>X87*jp_foreign_repay</f>
        <v/>
      </c>
      <c r="X88" s="53">
        <f>X87+T88-W88</f>
        <v/>
      </c>
      <c r="Y88" s="53">
        <f>MAX(0,Y87+R88-T88-U88+W88+V88)</f>
        <v/>
      </c>
      <c r="Z88" s="53">
        <f>X88+Y88</f>
        <v/>
      </c>
      <c r="AA88" s="63">
        <f>IF(D88&gt;0,Z88/D88,0)</f>
        <v/>
      </c>
      <c r="AB88" s="63">
        <f>IF(G88&gt;0,P88/G88,0)</f>
        <v/>
      </c>
      <c r="AC88" s="63">
        <f>IF(R88&gt;0,MIN(1,T88/R88),0)</f>
        <v/>
      </c>
    </row>
    <row r="89">
      <c r="A89" s="58" t="n">
        <v>1929</v>
      </c>
      <c r="B89" s="45" t="n">
        <v>8130</v>
      </c>
      <c r="C89" s="70">
        <f>Partners!H89</f>
        <v/>
      </c>
      <c r="D89" s="47">
        <f>Partners!I89</f>
        <v/>
      </c>
      <c r="E89" s="59" t="n">
        <v>0.13</v>
      </c>
      <c r="F89" s="59" t="n">
        <v>0.1</v>
      </c>
      <c r="G89" s="53">
        <f>D89*E89</f>
        <v/>
      </c>
      <c r="H89" s="53">
        <f>D89*F89</f>
        <v/>
      </c>
      <c r="I89" s="52" t="n">
        <v>120</v>
      </c>
      <c r="J89" s="53">
        <f>IF($A89&gt;=1927,(1-pac_quota)*Navy!X89,I89)</f>
        <v/>
      </c>
      <c r="K89" s="52" t="n">
        <v>0</v>
      </c>
      <c r="L89" s="53">
        <f>IF($A89&gt;=1923,siberia_front*(1-pac_quota),0)</f>
        <v/>
      </c>
      <c r="M89" s="52" t="n">
        <v>0</v>
      </c>
      <c r="N89" s="53">
        <f>M89*C89</f>
        <v/>
      </c>
      <c r="O89" s="53">
        <f>IF($A89&gt;=1927,10*(1-pac_quota),0)</f>
        <v/>
      </c>
      <c r="P89" s="53">
        <f>jp_coupon*Z88</f>
        <v/>
      </c>
      <c r="Q89" s="53">
        <f>H89+J89+K89+L89+N89+O89+P89</f>
        <v/>
      </c>
      <c r="R89" s="53">
        <f>Q89-G89</f>
        <v/>
      </c>
      <c r="S89" s="52" t="n">
        <v>0</v>
      </c>
      <c r="T89" s="53">
        <f>S89*IF($A89&gt;=1923,C89,1)</f>
        <v/>
      </c>
      <c r="U89" s="52" t="n">
        <v>0</v>
      </c>
      <c r="V89" s="52" t="n">
        <v>0</v>
      </c>
      <c r="W89" s="53">
        <f>X88*jp_foreign_repay</f>
        <v/>
      </c>
      <c r="X89" s="53">
        <f>X88+T89-W89</f>
        <v/>
      </c>
      <c r="Y89" s="53">
        <f>MAX(0,Y88+R89-T89-U89+W89+V89)</f>
        <v/>
      </c>
      <c r="Z89" s="53">
        <f>X89+Y89</f>
        <v/>
      </c>
      <c r="AA89" s="63">
        <f>IF(D89&gt;0,Z89/D89,0)</f>
        <v/>
      </c>
      <c r="AB89" s="63">
        <f>IF(G89&gt;0,P89/G89,0)</f>
        <v/>
      </c>
      <c r="AC89" s="63">
        <f>IF(R89&gt;0,MIN(1,T89/R89),0)</f>
        <v/>
      </c>
    </row>
    <row r="90">
      <c r="A90" s="58" t="n">
        <v>1930</v>
      </c>
      <c r="B90" s="45" t="n">
        <v>7330</v>
      </c>
      <c r="C90" s="70">
        <f>Partners!H90</f>
        <v/>
      </c>
      <c r="D90" s="47">
        <f>Partners!I90</f>
        <v/>
      </c>
      <c r="E90" s="59" t="n">
        <v>0.1267</v>
      </c>
      <c r="F90" s="59" t="n">
        <v>0.1017</v>
      </c>
      <c r="G90" s="53">
        <f>D90*E90</f>
        <v/>
      </c>
      <c r="H90" s="53">
        <f>D90*F90</f>
        <v/>
      </c>
      <c r="I90" s="52" t="n">
        <v>120</v>
      </c>
      <c r="J90" s="53">
        <f>IF($A90&gt;=1927,(1-pac_quota)*Navy!X90,I90)</f>
        <v/>
      </c>
      <c r="K90" s="52" t="n">
        <v>0</v>
      </c>
      <c r="L90" s="53">
        <f>IF($A90&gt;=1923,siberia_front*(1-pac_quota),0)</f>
        <v/>
      </c>
      <c r="M90" s="52" t="n">
        <v>0</v>
      </c>
      <c r="N90" s="53">
        <f>M90*C90</f>
        <v/>
      </c>
      <c r="O90" s="53">
        <f>IF($A90&gt;=1927,10*(1-pac_quota),0)</f>
        <v/>
      </c>
      <c r="P90" s="53">
        <f>jp_coupon*Z89</f>
        <v/>
      </c>
      <c r="Q90" s="53">
        <f>H90+J90+K90+L90+N90+O90+P90</f>
        <v/>
      </c>
      <c r="R90" s="53">
        <f>Q90-G90</f>
        <v/>
      </c>
      <c r="S90" s="52" t="n">
        <v>0</v>
      </c>
      <c r="T90" s="53">
        <f>S90*IF($A90&gt;=1923,C90,1)</f>
        <v/>
      </c>
      <c r="U90" s="52" t="n">
        <v>0</v>
      </c>
      <c r="V90" s="52" t="n">
        <v>0</v>
      </c>
      <c r="W90" s="53">
        <f>X89*jp_foreign_repay</f>
        <v/>
      </c>
      <c r="X90" s="53">
        <f>X89+T90-W90</f>
        <v/>
      </c>
      <c r="Y90" s="53">
        <f>MAX(0,Y89+R90-T90-U90+W90+V90)</f>
        <v/>
      </c>
      <c r="Z90" s="53">
        <f>X90+Y90</f>
        <v/>
      </c>
      <c r="AA90" s="63">
        <f>IF(D90&gt;0,Z90/D90,0)</f>
        <v/>
      </c>
      <c r="AB90" s="63">
        <f>IF(G90&gt;0,P90/G90,0)</f>
        <v/>
      </c>
      <c r="AC90" s="63">
        <f>IF(R90&gt;0,MIN(1,T90/R90),0)</f>
        <v/>
      </c>
    </row>
    <row r="91">
      <c r="A91" s="58" t="n">
        <v>1931</v>
      </c>
      <c r="B91" s="45" t="n">
        <v>6630</v>
      </c>
      <c r="C91" s="70">
        <f>Partners!H91</f>
        <v/>
      </c>
      <c r="D91" s="47">
        <f>Partners!I91</f>
        <v/>
      </c>
      <c r="E91" s="59" t="n">
        <v>0.1233</v>
      </c>
      <c r="F91" s="59" t="n">
        <v>0.1033</v>
      </c>
      <c r="G91" s="53">
        <f>D91*E91</f>
        <v/>
      </c>
      <c r="H91" s="53">
        <f>D91*F91</f>
        <v/>
      </c>
      <c r="I91" s="52" t="n">
        <v>120</v>
      </c>
      <c r="J91" s="53">
        <f>IF($A91&gt;=1927,(1-pac_quota)*Navy!X91,I91)</f>
        <v/>
      </c>
      <c r="K91" s="52" t="n">
        <v>0</v>
      </c>
      <c r="L91" s="53">
        <f>IF($A91&gt;=1923,siberia_front*(1-pac_quota),0)</f>
        <v/>
      </c>
      <c r="M91" s="52" t="n">
        <v>0</v>
      </c>
      <c r="N91" s="53">
        <f>M91*C91</f>
        <v/>
      </c>
      <c r="O91" s="53">
        <f>IF($A91&gt;=1927,10*(1-pac_quota),0)</f>
        <v/>
      </c>
      <c r="P91" s="53">
        <f>jp_coupon*Z90</f>
        <v/>
      </c>
      <c r="Q91" s="53">
        <f>H91+J91+K91+L91+N91+O91+P91</f>
        <v/>
      </c>
      <c r="R91" s="53">
        <f>Q91-G91</f>
        <v/>
      </c>
      <c r="S91" s="52" t="n">
        <v>0</v>
      </c>
      <c r="T91" s="53">
        <f>S91*IF($A91&gt;=1923,C91,1)</f>
        <v/>
      </c>
      <c r="U91" s="52" t="n">
        <v>0</v>
      </c>
      <c r="V91" s="52" t="n">
        <v>0</v>
      </c>
      <c r="W91" s="53">
        <f>X90*jp_foreign_repay</f>
        <v/>
      </c>
      <c r="X91" s="53">
        <f>X90+T91-W91</f>
        <v/>
      </c>
      <c r="Y91" s="53">
        <f>MAX(0,Y90+R91-T91-U91+W91+V91)</f>
        <v/>
      </c>
      <c r="Z91" s="53">
        <f>X91+Y91</f>
        <v/>
      </c>
      <c r="AA91" s="63">
        <f>IF(D91&gt;0,Z91/D91,0)</f>
        <v/>
      </c>
      <c r="AB91" s="63">
        <f>IF(G91&gt;0,P91/G91,0)</f>
        <v/>
      </c>
      <c r="AC91" s="63">
        <f>IF(R91&gt;0,MIN(1,T91/R91),0)</f>
        <v/>
      </c>
    </row>
    <row r="92">
      <c r="A92" s="58" t="n">
        <v>1932</v>
      </c>
      <c r="B92" s="45" t="n">
        <v>6480</v>
      </c>
      <c r="C92" s="70">
        <f>Partners!H92</f>
        <v/>
      </c>
      <c r="D92" s="47">
        <f>Partners!I92</f>
        <v/>
      </c>
      <c r="E92" s="59" t="n">
        <v>0.12</v>
      </c>
      <c r="F92" s="59" t="n">
        <v>0.105</v>
      </c>
      <c r="G92" s="53">
        <f>D92*E92</f>
        <v/>
      </c>
      <c r="H92" s="53">
        <f>D92*F92</f>
        <v/>
      </c>
      <c r="I92" s="52" t="n">
        <v>120</v>
      </c>
      <c r="J92" s="53">
        <f>IF($A92&gt;=1927,(1-pac_quota)*Navy!X92,I92)</f>
        <v/>
      </c>
      <c r="K92" s="52" t="n">
        <v>0</v>
      </c>
      <c r="L92" s="53">
        <f>IF($A92&gt;=1923,siberia_front*(1-pac_quota),0)</f>
        <v/>
      </c>
      <c r="M92" s="52" t="n">
        <v>0</v>
      </c>
      <c r="N92" s="53">
        <f>M92*C92</f>
        <v/>
      </c>
      <c r="O92" s="53">
        <f>IF($A92&gt;=1927,10*(1-pac_quota),0)</f>
        <v/>
      </c>
      <c r="P92" s="53">
        <f>jp_coupon*Z91</f>
        <v/>
      </c>
      <c r="Q92" s="53">
        <f>H92+J92+K92+L92+N92+O92+P92</f>
        <v/>
      </c>
      <c r="R92" s="53">
        <f>Q92-G92</f>
        <v/>
      </c>
      <c r="S92" s="52" t="n">
        <v>0</v>
      </c>
      <c r="T92" s="53">
        <f>S92*IF($A92&gt;=1923,C92,1)</f>
        <v/>
      </c>
      <c r="U92" s="52" t="n">
        <v>0</v>
      </c>
      <c r="V92" s="52" t="n">
        <v>0</v>
      </c>
      <c r="W92" s="53">
        <f>X91*jp_foreign_repay</f>
        <v/>
      </c>
      <c r="X92" s="53">
        <f>X91+T92-W92</f>
        <v/>
      </c>
      <c r="Y92" s="53">
        <f>MAX(0,Y91+R92-T92-U92+W92+V92)</f>
        <v/>
      </c>
      <c r="Z92" s="53">
        <f>X92+Y92</f>
        <v/>
      </c>
      <c r="AA92" s="63">
        <f>IF(D92&gt;0,Z92/D92,0)</f>
        <v/>
      </c>
      <c r="AB92" s="63">
        <f>IF(G92&gt;0,P92/G92,0)</f>
        <v/>
      </c>
      <c r="AC92" s="63">
        <f>IF(R92&gt;0,MIN(1,T92/R92),0)</f>
        <v/>
      </c>
    </row>
  </sheetData>
  <mergeCells count="4">
    <mergeCell ref="S4:W4"/>
    <mergeCell ref="E4:R4"/>
    <mergeCell ref="B4:D4"/>
    <mergeCell ref="X4:AC4"/>
  </mergeCells>
  <pageMargins left="0.75" right="0.75" top="1" bottom="1" header="0.5" footer="0.5"/>
  <pageSetup orientation="landscape" fitToHeight="0" fitToWidth="1"/>
  <legacyDrawing xmlns:r="http://schemas.openxmlformats.org/officeDocument/2006/relationships" r:id="anysvml"/>
</worksheet>
</file>

<file path=xl/worksheets/sheet19.xml><?xml version="1.0" encoding="utf-8"?>
<worksheet xmlns="http://schemas.openxmlformats.org/spreadsheetml/2006/main">
  <sheetPr>
    <tabColor rgb="007030A0"/>
    <outlinePr summaryBelow="1" summaryRight="1"/>
    <pageSetUpPr fitToPage="1"/>
  </sheetPr>
  <dimension ref="A1:CA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 width="12.5"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s>
  <sheetData>
    <row r="1">
      <c r="A1" s="18" t="inlineStr">
        <is>
          <t>Partners and trading regions</t>
        </is>
      </c>
    </row>
    <row r="2">
      <c r="A2" s="2" t="inlineStr">
        <is>
          <t>Japan, the Gulf Republic, the Philippine crown and the Siberian Republic (B14), and the trading regions outside the order (B15), each catching up with Pacifica according to how far it is integrated with it; and what their growth does to the champions' markets.</t>
        </is>
      </c>
    </row>
    <row r="3">
      <c r="A3" s="19" t="inlineStr">
        <is>
          <t>Years run down the page. Blue = input you can change · black = formula · green = link to another sheet. Hover a column heading for its definition.</t>
        </is>
      </c>
    </row>
    <row r="4">
      <c r="B4" s="56" t="inlineStr">
        <is>
          <t>The pull of the core</t>
        </is>
      </c>
      <c r="C4" s="56" t="inlineStr">
        <is>
          <t>Japan</t>
        </is>
      </c>
      <c r="K4" s="56" t="inlineStr">
        <is>
          <t>Gulf Republic</t>
        </is>
      </c>
      <c r="S4" s="56" t="inlineStr">
        <is>
          <t>Philippine crown</t>
        </is>
      </c>
      <c r="AA4" s="56" t="inlineStr">
        <is>
          <t>Siberian Republic</t>
        </is>
      </c>
      <c r="AI4" s="56" t="inlineStr">
        <is>
          <t>China</t>
        </is>
      </c>
      <c r="AQ4" s="56" t="inlineStr">
        <is>
          <t>Korea</t>
        </is>
      </c>
      <c r="AY4" s="56" t="inlineStr">
        <is>
          <t>Southeast Asia</t>
        </is>
      </c>
      <c r="BG4" s="56" t="inlineStr">
        <is>
          <t>Mexico and Pacific South America</t>
        </is>
      </c>
      <c r="BO4" s="56" t="inlineStr">
        <is>
          <t>Persian Gulf and Middle East</t>
        </is>
      </c>
      <c r="BW4" s="56" t="inlineStr">
        <is>
          <t>The champions' markets</t>
        </is>
      </c>
      <c r="BY4" s="56" t="inlineStr">
        <is>
          <t>All partners</t>
        </is>
      </c>
    </row>
    <row r="5" ht="54" customHeight="1">
      <c r="A5" s="57" t="inlineStr">
        <is>
          <t>Year</t>
        </is>
      </c>
      <c r="B5" s="6" t="inlineStr">
        <is>
          <t>Pacifica's output per person last year ($)</t>
        </is>
      </c>
      <c r="C5" s="6" t="inlineStr">
        <is>
          <t>Japan: population</t>
        </is>
      </c>
      <c r="D5" s="6" t="inlineStr">
        <is>
          <t>Japan: GDP as in history ($m)</t>
        </is>
      </c>
      <c r="E5" s="6" t="inlineStr">
        <is>
          <t>Japan: integration with the order (0-1)</t>
        </is>
      </c>
      <c r="F5" s="6" t="inlineStr">
        <is>
          <t>Japan: output per person as in history ($)</t>
        </is>
      </c>
      <c r="G5" s="6" t="inlineStr">
        <is>
          <t>Japan: extra growth from catching up</t>
        </is>
      </c>
      <c r="H5" s="6" t="inlineStr">
        <is>
          <t>Japan: output vs history (×)</t>
        </is>
      </c>
      <c r="I5" s="6" t="inlineStr">
        <is>
          <t>Japan: GDP ($m)</t>
        </is>
      </c>
      <c r="J5" s="6" t="inlineStr">
        <is>
          <t>Japan: output per person vs the US</t>
        </is>
      </c>
      <c r="K5" s="6" t="inlineStr">
        <is>
          <t>Gulf Republic: population</t>
        </is>
      </c>
      <c r="L5" s="6" t="inlineStr">
        <is>
          <t>Gulf Republic: GDP as in history ($m)</t>
        </is>
      </c>
      <c r="M5" s="6" t="inlineStr">
        <is>
          <t>Gulf Republic: integration with the order (0-1)</t>
        </is>
      </c>
      <c r="N5" s="6" t="inlineStr">
        <is>
          <t>Gulf Republic: output per person as in history ($)</t>
        </is>
      </c>
      <c r="O5" s="6" t="inlineStr">
        <is>
          <t>Gulf Republic: extra growth from catching up</t>
        </is>
      </c>
      <c r="P5" s="6" t="inlineStr">
        <is>
          <t>Gulf Republic: output vs history (×)</t>
        </is>
      </c>
      <c r="Q5" s="6" t="inlineStr">
        <is>
          <t>Gulf Republic: GDP ($m)</t>
        </is>
      </c>
      <c r="R5" s="6" t="inlineStr">
        <is>
          <t>Gulf Republic: output per person vs the US</t>
        </is>
      </c>
      <c r="S5" s="6" t="inlineStr">
        <is>
          <t>Philippine crown: population</t>
        </is>
      </c>
      <c r="T5" s="6" t="inlineStr">
        <is>
          <t>Philippine crown: GDP as in history ($m)</t>
        </is>
      </c>
      <c r="U5" s="6" t="inlineStr">
        <is>
          <t>Philippine crown: integration with the order (0-1)</t>
        </is>
      </c>
      <c r="V5" s="6" t="inlineStr">
        <is>
          <t>Philippine crown: output per person as in history ($)</t>
        </is>
      </c>
      <c r="W5" s="6" t="inlineStr">
        <is>
          <t>Philippine crown: extra growth from catching up</t>
        </is>
      </c>
      <c r="X5" s="6" t="inlineStr">
        <is>
          <t>Philippine crown: output vs history (×)</t>
        </is>
      </c>
      <c r="Y5" s="6" t="inlineStr">
        <is>
          <t>Philippine crown: GDP ($m)</t>
        </is>
      </c>
      <c r="Z5" s="6" t="inlineStr">
        <is>
          <t>Philippine crown: output per person vs the US</t>
        </is>
      </c>
      <c r="AA5" s="6" t="inlineStr">
        <is>
          <t>Siberian Republic: population</t>
        </is>
      </c>
      <c r="AB5" s="6" t="inlineStr">
        <is>
          <t>Siberian Republic: GDP as in history ($m)</t>
        </is>
      </c>
      <c r="AC5" s="6" t="inlineStr">
        <is>
          <t>Siberian Republic: integration with the order (0-1)</t>
        </is>
      </c>
      <c r="AD5" s="6" t="inlineStr">
        <is>
          <t>Siberian Republic: output per person as in history ($)</t>
        </is>
      </c>
      <c r="AE5" s="6" t="inlineStr">
        <is>
          <t>Siberian Republic: extra growth from catching up</t>
        </is>
      </c>
      <c r="AF5" s="6" t="inlineStr">
        <is>
          <t>Siberian Republic: output vs history (×)</t>
        </is>
      </c>
      <c r="AG5" s="6" t="inlineStr">
        <is>
          <t>Siberian Republic: GDP ($m)</t>
        </is>
      </c>
      <c r="AH5" s="6" t="inlineStr">
        <is>
          <t>Siberian Republic: output per person vs the US</t>
        </is>
      </c>
      <c r="AI5" s="6" t="inlineStr">
        <is>
          <t>China: population</t>
        </is>
      </c>
      <c r="AJ5" s="6" t="inlineStr">
        <is>
          <t>China: GDP as in history ($m)</t>
        </is>
      </c>
      <c r="AK5" s="6" t="inlineStr">
        <is>
          <t>China: integration with the order (0-1)</t>
        </is>
      </c>
      <c r="AL5" s="6" t="inlineStr">
        <is>
          <t>China: output per person as in history ($)</t>
        </is>
      </c>
      <c r="AM5" s="6" t="inlineStr">
        <is>
          <t>China: extra growth from catching up</t>
        </is>
      </c>
      <c r="AN5" s="6" t="inlineStr">
        <is>
          <t>China: output vs history (×)</t>
        </is>
      </c>
      <c r="AO5" s="6" t="inlineStr">
        <is>
          <t>China: GDP ($m)</t>
        </is>
      </c>
      <c r="AP5" s="6" t="inlineStr">
        <is>
          <t>China: output per person vs the US</t>
        </is>
      </c>
      <c r="AQ5" s="6" t="inlineStr">
        <is>
          <t>Korea: population</t>
        </is>
      </c>
      <c r="AR5" s="6" t="inlineStr">
        <is>
          <t>Korea: GDP as in history ($m)</t>
        </is>
      </c>
      <c r="AS5" s="6" t="inlineStr">
        <is>
          <t>Korea: integration with the order (0-1)</t>
        </is>
      </c>
      <c r="AT5" s="6" t="inlineStr">
        <is>
          <t>Korea: output per person as in history ($)</t>
        </is>
      </c>
      <c r="AU5" s="6" t="inlineStr">
        <is>
          <t>Korea: extra growth from catching up</t>
        </is>
      </c>
      <c r="AV5" s="6" t="inlineStr">
        <is>
          <t>Korea: output vs history (×)</t>
        </is>
      </c>
      <c r="AW5" s="6" t="inlineStr">
        <is>
          <t>Korea: GDP ($m)</t>
        </is>
      </c>
      <c r="AX5" s="6" t="inlineStr">
        <is>
          <t>Korea: output per person vs the US</t>
        </is>
      </c>
      <c r="AY5" s="6" t="inlineStr">
        <is>
          <t>Southeast Asia: population</t>
        </is>
      </c>
      <c r="AZ5" s="6" t="inlineStr">
        <is>
          <t>Southeast Asia: GDP as in history ($m)</t>
        </is>
      </c>
      <c r="BA5" s="6" t="inlineStr">
        <is>
          <t>Southeast Asia: integration with the order (0-1)</t>
        </is>
      </c>
      <c r="BB5" s="6" t="inlineStr">
        <is>
          <t>Southeast Asia: output per person as in history ($)</t>
        </is>
      </c>
      <c r="BC5" s="6" t="inlineStr">
        <is>
          <t>Southeast Asia: extra growth from catching up</t>
        </is>
      </c>
      <c r="BD5" s="6" t="inlineStr">
        <is>
          <t>Southeast Asia: output vs history (×)</t>
        </is>
      </c>
      <c r="BE5" s="6" t="inlineStr">
        <is>
          <t>Southeast Asia: GDP ($m)</t>
        </is>
      </c>
      <c r="BF5" s="6" t="inlineStr">
        <is>
          <t>Southeast Asia: output per person vs the US</t>
        </is>
      </c>
      <c r="BG5" s="6" t="inlineStr">
        <is>
          <t>Mexico and Pacific South America: population</t>
        </is>
      </c>
      <c r="BH5" s="6" t="inlineStr">
        <is>
          <t>Mexico and Pacific South America: GDP as in history ($m)</t>
        </is>
      </c>
      <c r="BI5" s="6" t="inlineStr">
        <is>
          <t>Mexico and Pacific South America: integration with the order (0-1)</t>
        </is>
      </c>
      <c r="BJ5" s="6" t="inlineStr">
        <is>
          <t>Mexico and Pacific South America: output per person as in history ($)</t>
        </is>
      </c>
      <c r="BK5" s="6" t="inlineStr">
        <is>
          <t>Mexico and Pacific South America: extra growth from catching up</t>
        </is>
      </c>
      <c r="BL5" s="6" t="inlineStr">
        <is>
          <t>Mexico and Pacific South America: output vs history (×)</t>
        </is>
      </c>
      <c r="BM5" s="6" t="inlineStr">
        <is>
          <t>Mexico and Pacific South America: GDP ($m)</t>
        </is>
      </c>
      <c r="BN5" s="6" t="inlineStr">
        <is>
          <t>Mexico and Pacific South America: output per person vs the US</t>
        </is>
      </c>
      <c r="BO5" s="6" t="inlineStr">
        <is>
          <t>Persian Gulf and Middle East: population</t>
        </is>
      </c>
      <c r="BP5" s="6" t="inlineStr">
        <is>
          <t>Persian Gulf and Middle East: GDP as in history ($m)</t>
        </is>
      </c>
      <c r="BQ5" s="6" t="inlineStr">
        <is>
          <t>Persian Gulf and Middle East: integration with the order (0-1)</t>
        </is>
      </c>
      <c r="BR5" s="6" t="inlineStr">
        <is>
          <t>Persian Gulf and Middle East: output per person as in history ($)</t>
        </is>
      </c>
      <c r="BS5" s="6" t="inlineStr">
        <is>
          <t>Persian Gulf and Middle East: extra growth from catching up</t>
        </is>
      </c>
      <c r="BT5" s="6" t="inlineStr">
        <is>
          <t>Persian Gulf and Middle East: output vs history (×)</t>
        </is>
      </c>
      <c r="BU5" s="6" t="inlineStr">
        <is>
          <t>Persian Gulf and Middle East: GDP ($m)</t>
        </is>
      </c>
      <c r="BV5" s="6" t="inlineStr">
        <is>
          <t>Persian Gulf and Middle East: output per person vs the US</t>
        </is>
      </c>
      <c r="BW5" s="6" t="inlineStr">
        <is>
          <t>Champions' markets abroad vs history</t>
        </is>
      </c>
      <c r="BX5" s="6" t="inlineStr">
        <is>
          <t>Champions raised by richer markets</t>
        </is>
      </c>
      <c r="BY5" s="6" t="inlineStr">
        <is>
          <t>Partners' GDP ($m)</t>
        </is>
      </c>
      <c r="BZ5" s="6" t="inlineStr">
        <is>
          <t>Partners' GDP as in history ($m)</t>
        </is>
      </c>
      <c r="CA5" s="6" t="inlineStr">
        <is>
          <t>Partners' output vs history</t>
        </is>
      </c>
    </row>
    <row r="6">
      <c r="A6" s="58" t="n">
        <v>1846</v>
      </c>
      <c r="B6" s="47">
        <f>0</f>
        <v/>
      </c>
      <c r="C6" s="45" t="n">
        <v>0</v>
      </c>
      <c r="D6" s="62">
        <f>Japan!B6</f>
        <v/>
      </c>
      <c r="E6" s="68" t="n">
        <v>0</v>
      </c>
      <c r="F6" s="47">
        <f>IF(C6&gt;0,D6*1000000/C6,0)</f>
        <v/>
      </c>
      <c r="G6" s="64">
        <f>0</f>
        <v/>
      </c>
      <c r="H6" s="65">
        <f>1</f>
        <v/>
      </c>
      <c r="I6" s="47">
        <f>D6*H6</f>
        <v/>
      </c>
      <c r="J6" s="67">
        <f>IF(C6&gt;0,I6*1000000/C6/Economy!Q6,0)</f>
        <v/>
      </c>
      <c r="K6" s="62">
        <f>Gulf!B6</f>
        <v/>
      </c>
      <c r="L6" s="47">
        <f>Gulf!B6*Gulf!C6*Economy!Q6/1000000</f>
        <v/>
      </c>
      <c r="M6" s="68" t="n">
        <v>0</v>
      </c>
      <c r="N6" s="47">
        <f>IF(K6&gt;0,L6*1000000/K6,0)</f>
        <v/>
      </c>
      <c r="O6" s="64">
        <f>0</f>
        <v/>
      </c>
      <c r="P6" s="65">
        <f>1</f>
        <v/>
      </c>
      <c r="Q6" s="47">
        <f>L6*P6</f>
        <v/>
      </c>
      <c r="R6" s="67">
        <f>IF(K6&gt;0,Q6*1000000/K6/Economy!Q6,0)</f>
        <v/>
      </c>
      <c r="S6" s="62">
        <f>People!U6</f>
        <v/>
      </c>
      <c r="T6" s="45" t="n">
        <v>0</v>
      </c>
      <c r="U6" s="68" t="n">
        <v>0</v>
      </c>
      <c r="V6" s="47">
        <f>IF(S6&gt;0,T6*1000000/S6,0)</f>
        <v/>
      </c>
      <c r="W6" s="64">
        <f>0</f>
        <v/>
      </c>
      <c r="X6" s="65">
        <f>1</f>
        <v/>
      </c>
      <c r="Y6" s="47">
        <f>T6*X6</f>
        <v/>
      </c>
      <c r="Z6" s="67">
        <f>IF(S6&gt;0,Y6*1000000/S6/Economy!Q6,0)</f>
        <v/>
      </c>
      <c r="AA6" s="45" t="n">
        <v>0</v>
      </c>
      <c r="AB6" s="45" t="n">
        <v>0</v>
      </c>
      <c r="AC6" s="68" t="n">
        <v>0</v>
      </c>
      <c r="AD6" s="47">
        <f>IF(AA6&gt;0,AB6*1000000/AA6,0)</f>
        <v/>
      </c>
      <c r="AE6" s="64">
        <f>0</f>
        <v/>
      </c>
      <c r="AF6" s="65">
        <f>1</f>
        <v/>
      </c>
      <c r="AG6" s="47">
        <f>AB6*AF6</f>
        <v/>
      </c>
      <c r="AH6" s="67">
        <f>IF(AA6&gt;0,AG6*1000000/AA6/Economy!Q6,0)</f>
        <v/>
      </c>
      <c r="AI6" s="45" t="n">
        <v>0</v>
      </c>
      <c r="AJ6" s="45" t="n">
        <v>0</v>
      </c>
      <c r="AK6" s="68" t="n">
        <v>0</v>
      </c>
      <c r="AL6" s="47">
        <f>IF(AI6&gt;0,AJ6*1000000/AI6,0)</f>
        <v/>
      </c>
      <c r="AM6" s="64">
        <f>0</f>
        <v/>
      </c>
      <c r="AN6" s="65">
        <f>1</f>
        <v/>
      </c>
      <c r="AO6" s="47">
        <f>AJ6*AN6</f>
        <v/>
      </c>
      <c r="AP6" s="67">
        <f>IF(AI6&gt;0,AO6*1000000/AI6/Economy!Q6,0)</f>
        <v/>
      </c>
      <c r="AQ6" s="45" t="n">
        <v>0</v>
      </c>
      <c r="AR6" s="45" t="n">
        <v>0</v>
      </c>
      <c r="AS6" s="68" t="n">
        <v>0</v>
      </c>
      <c r="AT6" s="47">
        <f>IF(AQ6&gt;0,AR6*1000000/AQ6,0)</f>
        <v/>
      </c>
      <c r="AU6" s="64">
        <f>0</f>
        <v/>
      </c>
      <c r="AV6" s="65">
        <f>1</f>
        <v/>
      </c>
      <c r="AW6" s="47">
        <f>AR6*AV6</f>
        <v/>
      </c>
      <c r="AX6" s="67">
        <f>IF(AQ6&gt;0,AW6*1000000/AQ6/Economy!Q6,0)</f>
        <v/>
      </c>
      <c r="AY6" s="45" t="n">
        <v>0</v>
      </c>
      <c r="AZ6" s="45" t="n">
        <v>0</v>
      </c>
      <c r="BA6" s="68" t="n">
        <v>0</v>
      </c>
      <c r="BB6" s="47">
        <f>IF(AY6&gt;0,AZ6*1000000/AY6,0)</f>
        <v/>
      </c>
      <c r="BC6" s="64">
        <f>0</f>
        <v/>
      </c>
      <c r="BD6" s="65">
        <f>1</f>
        <v/>
      </c>
      <c r="BE6" s="47">
        <f>AZ6*BD6</f>
        <v/>
      </c>
      <c r="BF6" s="67">
        <f>IF(AY6&gt;0,BE6*1000000/AY6/Economy!Q6,0)</f>
        <v/>
      </c>
      <c r="BG6" s="45" t="n">
        <v>0</v>
      </c>
      <c r="BH6" s="45" t="n">
        <v>0</v>
      </c>
      <c r="BI6" s="68" t="n">
        <v>0</v>
      </c>
      <c r="BJ6" s="47">
        <f>IF(BG6&gt;0,BH6*1000000/BG6,0)</f>
        <v/>
      </c>
      <c r="BK6" s="64">
        <f>0</f>
        <v/>
      </c>
      <c r="BL6" s="65">
        <f>1</f>
        <v/>
      </c>
      <c r="BM6" s="47">
        <f>BH6*BL6</f>
        <v/>
      </c>
      <c r="BN6" s="67">
        <f>IF(BG6&gt;0,BM6*1000000/BG6/Economy!Q6,0)</f>
        <v/>
      </c>
      <c r="BO6" s="45" t="n">
        <v>0</v>
      </c>
      <c r="BP6" s="45" t="n">
        <v>0</v>
      </c>
      <c r="BQ6" s="68" t="n">
        <v>0</v>
      </c>
      <c r="BR6" s="47">
        <f>IF(BO6&gt;0,BP6*1000000/BO6,0)</f>
        <v/>
      </c>
      <c r="BS6" s="64">
        <f>0</f>
        <v/>
      </c>
      <c r="BT6" s="65">
        <f>1</f>
        <v/>
      </c>
      <c r="BU6" s="47">
        <f>BP6*BT6</f>
        <v/>
      </c>
      <c r="BV6" s="67">
        <f>IF(BO6&gt;0,BU6*1000000/BO6/Economy!Q6,0)</f>
        <v/>
      </c>
      <c r="BW6" s="65">
        <f>0.25*IF(D6&gt;0,H6,1)+0.15*IF(AJ6&gt;0,AN6,1)+0.03*IF(AR6&gt;0,AV6,1)+0.08*IF(AZ6&gt;0,BD6,1)+0.12*IF(BH6&gt;0,BL6,1)+0.1*IF(L6&gt;0,P6,1)+0.07*IF(T6&gt;0,X6,1)+0.05*IF(AB6&gt;0,AF6,1)+0.05*IF(BP6&gt;0,BT6,1)+0.1</f>
        <v/>
      </c>
      <c r="BX6" s="63">
        <f>MIN(mkt_cap,mkt_elast*MAX(0,BW6-1))</f>
        <v/>
      </c>
      <c r="BY6" s="47">
        <f>I6+Q6+Y6+AG6</f>
        <v/>
      </c>
      <c r="BZ6" s="47">
        <f>D6+L6+T6+AB6</f>
        <v/>
      </c>
      <c r="CA6" s="65">
        <f>IF(BZ6&gt;0,BY6/BZ6,0)</f>
        <v/>
      </c>
    </row>
    <row r="7">
      <c r="A7" s="58" t="n">
        <v>1847</v>
      </c>
      <c r="B7" s="47">
        <f>Economy!P6</f>
        <v/>
      </c>
      <c r="C7" s="45" t="n">
        <v>0</v>
      </c>
      <c r="D7" s="62">
        <f>Japan!B7</f>
        <v/>
      </c>
      <c r="E7" s="68" t="n">
        <v>0</v>
      </c>
      <c r="F7" s="47">
        <f>IF(C7&gt;0,D7*1000000/C7,0)</f>
        <v/>
      </c>
      <c r="G7" s="64">
        <f>IF(AND(E7&gt;0,F6&gt;0,B7&gt;0),MIN(conv_cap,conv_beta*jp_uplift*E7*MAX(0,LN(B7/(F6*H6)))),0)</f>
        <v/>
      </c>
      <c r="H7" s="65">
        <f>H6*(1+G7)</f>
        <v/>
      </c>
      <c r="I7" s="47">
        <f>D7*H7</f>
        <v/>
      </c>
      <c r="J7" s="67">
        <f>IF(C7&gt;0,I7*1000000/C7/Economy!Q7,0)</f>
        <v/>
      </c>
      <c r="K7" s="62">
        <f>Gulf!B7</f>
        <v/>
      </c>
      <c r="L7" s="47">
        <f>Gulf!B7*Gulf!C7*Economy!Q7/1000000</f>
        <v/>
      </c>
      <c r="M7" s="68" t="n">
        <v>0</v>
      </c>
      <c r="N7" s="47">
        <f>IF(K7&gt;0,L7*1000000/K7,0)</f>
        <v/>
      </c>
      <c r="O7" s="64">
        <f>IF(AND(M7&gt;0,N6&gt;0,B7&gt;0),MIN(conv_cap,conv_beta*1*M7*MAX(0,LN(B7/(N6*P6)))),0)</f>
        <v/>
      </c>
      <c r="P7" s="65">
        <f>P6*(1+O7)</f>
        <v/>
      </c>
      <c r="Q7" s="47">
        <f>L7*P7</f>
        <v/>
      </c>
      <c r="R7" s="67">
        <f>IF(K7&gt;0,Q7*1000000/K7/Economy!Q7,0)</f>
        <v/>
      </c>
      <c r="S7" s="62">
        <f>People!U7</f>
        <v/>
      </c>
      <c r="T7" s="45" t="n">
        <v>0</v>
      </c>
      <c r="U7" s="68" t="n">
        <v>0</v>
      </c>
      <c r="V7" s="47">
        <f>IF(S7&gt;0,T7*1000000/S7,0)</f>
        <v/>
      </c>
      <c r="W7" s="64">
        <f>IF(AND(U7&gt;0,V6&gt;0,B7&gt;0),MIN(conv_cap,conv_beta*1*U7*MAX(0,LN(B7/(V6*X6)))),0)</f>
        <v/>
      </c>
      <c r="X7" s="65">
        <f>X6*(1+W7)</f>
        <v/>
      </c>
      <c r="Y7" s="47">
        <f>T7*X7</f>
        <v/>
      </c>
      <c r="Z7" s="67">
        <f>IF(S7&gt;0,Y7*1000000/S7/Economy!Q7,0)</f>
        <v/>
      </c>
      <c r="AA7" s="45" t="n">
        <v>0</v>
      </c>
      <c r="AB7" s="45" t="n">
        <v>0</v>
      </c>
      <c r="AC7" s="68" t="n">
        <v>0</v>
      </c>
      <c r="AD7" s="47">
        <f>IF(AA7&gt;0,AB7*1000000/AA7,0)</f>
        <v/>
      </c>
      <c r="AE7" s="64">
        <f>IF(AND(AC7&gt;0,AD6&gt;0,B7&gt;0),MIN(conv_cap,conv_beta*1*AC7*MAX(0,LN(B7/(AD6*AF6)))),0)</f>
        <v/>
      </c>
      <c r="AF7" s="65">
        <f>AF6*(1+AE7)</f>
        <v/>
      </c>
      <c r="AG7" s="47">
        <f>AB7*AF7</f>
        <v/>
      </c>
      <c r="AH7" s="67">
        <f>IF(AA7&gt;0,AG7*1000000/AA7/Economy!Q7,0)</f>
        <v/>
      </c>
      <c r="AI7" s="45" t="n">
        <v>0</v>
      </c>
      <c r="AJ7" s="45" t="n">
        <v>0</v>
      </c>
      <c r="AK7" s="68" t="n">
        <v>0</v>
      </c>
      <c r="AL7" s="47">
        <f>IF(AI7&gt;0,AJ7*1000000/AI7,0)</f>
        <v/>
      </c>
      <c r="AM7" s="64">
        <f>IF(AND(AK7&gt;0,AL6&gt;0,B7&gt;0),MIN(conv_cap,conv_beta*1*AK7*MAX(0,LN(B7/(AL6*AN6)))),0)</f>
        <v/>
      </c>
      <c r="AN7" s="65">
        <f>AN6*(1+AM7)</f>
        <v/>
      </c>
      <c r="AO7" s="47">
        <f>AJ7*AN7</f>
        <v/>
      </c>
      <c r="AP7" s="67">
        <f>IF(AI7&gt;0,AO7*1000000/AI7/Economy!Q7,0)</f>
        <v/>
      </c>
      <c r="AQ7" s="45" t="n">
        <v>0</v>
      </c>
      <c r="AR7" s="45" t="n">
        <v>0</v>
      </c>
      <c r="AS7" s="68" t="n">
        <v>0</v>
      </c>
      <c r="AT7" s="47">
        <f>IF(AQ7&gt;0,AR7*1000000/AQ7,0)</f>
        <v/>
      </c>
      <c r="AU7" s="64">
        <f>IF(AND(AS7&gt;0,AT6&gt;0,B7&gt;0),MIN(conv_cap,conv_beta*1*AS7*MAX(0,LN(B7/(AT6*AV6)))),0)</f>
        <v/>
      </c>
      <c r="AV7" s="65">
        <f>AV6*(1+AU7)</f>
        <v/>
      </c>
      <c r="AW7" s="47">
        <f>AR7*AV7</f>
        <v/>
      </c>
      <c r="AX7" s="67">
        <f>IF(AQ7&gt;0,AW7*1000000/AQ7/Economy!Q7,0)</f>
        <v/>
      </c>
      <c r="AY7" s="45" t="n">
        <v>0</v>
      </c>
      <c r="AZ7" s="45" t="n">
        <v>0</v>
      </c>
      <c r="BA7" s="68" t="n">
        <v>0</v>
      </c>
      <c r="BB7" s="47">
        <f>IF(AY7&gt;0,AZ7*1000000/AY7,0)</f>
        <v/>
      </c>
      <c r="BC7" s="64">
        <f>IF(AND(BA7&gt;0,BB6&gt;0,B7&gt;0),MIN(conv_cap,conv_beta*1*BA7*MAX(0,LN(B7/(BB6*BD6)))),0)</f>
        <v/>
      </c>
      <c r="BD7" s="65">
        <f>BD6*(1+BC7)</f>
        <v/>
      </c>
      <c r="BE7" s="47">
        <f>AZ7*BD7</f>
        <v/>
      </c>
      <c r="BF7" s="67">
        <f>IF(AY7&gt;0,BE7*1000000/AY7/Economy!Q7,0)</f>
        <v/>
      </c>
      <c r="BG7" s="45" t="n">
        <v>0</v>
      </c>
      <c r="BH7" s="45" t="n">
        <v>0</v>
      </c>
      <c r="BI7" s="68" t="n">
        <v>0</v>
      </c>
      <c r="BJ7" s="47">
        <f>IF(BG7&gt;0,BH7*1000000/BG7,0)</f>
        <v/>
      </c>
      <c r="BK7" s="64">
        <f>IF(AND(BI7&gt;0,BJ6&gt;0,B7&gt;0),MIN(conv_cap,conv_beta*1*BI7*MAX(0,LN(B7/(BJ6*BL6)))),0)</f>
        <v/>
      </c>
      <c r="BL7" s="65">
        <f>BL6*(1+BK7)</f>
        <v/>
      </c>
      <c r="BM7" s="47">
        <f>BH7*BL7</f>
        <v/>
      </c>
      <c r="BN7" s="67">
        <f>IF(BG7&gt;0,BM7*1000000/BG7/Economy!Q7,0)</f>
        <v/>
      </c>
      <c r="BO7" s="45" t="n">
        <v>0</v>
      </c>
      <c r="BP7" s="45" t="n">
        <v>0</v>
      </c>
      <c r="BQ7" s="68" t="n">
        <v>0</v>
      </c>
      <c r="BR7" s="47">
        <f>IF(BO7&gt;0,BP7*1000000/BO7,0)</f>
        <v/>
      </c>
      <c r="BS7" s="64">
        <f>IF(AND(BQ7&gt;0,BR6&gt;0,B7&gt;0),MIN(conv_cap,conv_beta*1*BQ7*MAX(0,LN(B7/(BR6*BT6)))),0)</f>
        <v/>
      </c>
      <c r="BT7" s="65">
        <f>BT6*(1+BS7)</f>
        <v/>
      </c>
      <c r="BU7" s="47">
        <f>BP7*BT7</f>
        <v/>
      </c>
      <c r="BV7" s="67">
        <f>IF(BO7&gt;0,BU7*1000000/BO7/Economy!Q7,0)</f>
        <v/>
      </c>
      <c r="BW7" s="65">
        <f>0.25*IF(D7&gt;0,H7,1)+0.15*IF(AJ7&gt;0,AN7,1)+0.03*IF(AR7&gt;0,AV7,1)+0.08*IF(AZ7&gt;0,BD7,1)+0.12*IF(BH7&gt;0,BL7,1)+0.1*IF(L7&gt;0,P7,1)+0.07*IF(T7&gt;0,X7,1)+0.05*IF(AB7&gt;0,AF7,1)+0.05*IF(BP7&gt;0,BT7,1)+0.1</f>
        <v/>
      </c>
      <c r="BX7" s="63">
        <f>MIN(mkt_cap,mkt_elast*MAX(0,BW7-1))</f>
        <v/>
      </c>
      <c r="BY7" s="47">
        <f>I7+Q7+Y7+AG7</f>
        <v/>
      </c>
      <c r="BZ7" s="47">
        <f>D7+L7+T7+AB7</f>
        <v/>
      </c>
      <c r="CA7" s="65">
        <f>IF(BZ7&gt;0,BY7/BZ7,0)</f>
        <v/>
      </c>
    </row>
    <row r="8">
      <c r="A8" s="58" t="n">
        <v>1848</v>
      </c>
      <c r="B8" s="47">
        <f>Economy!P7</f>
        <v/>
      </c>
      <c r="C8" s="45" t="n">
        <v>0</v>
      </c>
      <c r="D8" s="62">
        <f>Japan!B8</f>
        <v/>
      </c>
      <c r="E8" s="68" t="n">
        <v>0</v>
      </c>
      <c r="F8" s="47">
        <f>IF(C8&gt;0,D8*1000000/C8,0)</f>
        <v/>
      </c>
      <c r="G8" s="64">
        <f>IF(AND(E8&gt;0,F7&gt;0,B8&gt;0),MIN(conv_cap,conv_beta*jp_uplift*E8*MAX(0,LN(B8/(F7*H7)))),0)</f>
        <v/>
      </c>
      <c r="H8" s="65">
        <f>H7*(1+G8)</f>
        <v/>
      </c>
      <c r="I8" s="47">
        <f>D8*H8</f>
        <v/>
      </c>
      <c r="J8" s="67">
        <f>IF(C8&gt;0,I8*1000000/C8/Economy!Q8,0)</f>
        <v/>
      </c>
      <c r="K8" s="62">
        <f>Gulf!B8</f>
        <v/>
      </c>
      <c r="L8" s="47">
        <f>Gulf!B8*Gulf!C8*Economy!Q8/1000000</f>
        <v/>
      </c>
      <c r="M8" s="68" t="n">
        <v>0</v>
      </c>
      <c r="N8" s="47">
        <f>IF(K8&gt;0,L8*1000000/K8,0)</f>
        <v/>
      </c>
      <c r="O8" s="64">
        <f>IF(AND(M8&gt;0,N7&gt;0,B8&gt;0),MIN(conv_cap,conv_beta*1*M8*MAX(0,LN(B8/(N7*P7)))),0)</f>
        <v/>
      </c>
      <c r="P8" s="65">
        <f>P7*(1+O8)</f>
        <v/>
      </c>
      <c r="Q8" s="47">
        <f>L8*P8</f>
        <v/>
      </c>
      <c r="R8" s="67">
        <f>IF(K8&gt;0,Q8*1000000/K8/Economy!Q8,0)</f>
        <v/>
      </c>
      <c r="S8" s="62">
        <f>People!U8</f>
        <v/>
      </c>
      <c r="T8" s="45" t="n">
        <v>0</v>
      </c>
      <c r="U8" s="68" t="n">
        <v>0</v>
      </c>
      <c r="V8" s="47">
        <f>IF(S8&gt;0,T8*1000000/S8,0)</f>
        <v/>
      </c>
      <c r="W8" s="64">
        <f>IF(AND(U8&gt;0,V7&gt;0,B8&gt;0),MIN(conv_cap,conv_beta*1*U8*MAX(0,LN(B8/(V7*X7)))),0)</f>
        <v/>
      </c>
      <c r="X8" s="65">
        <f>X7*(1+W8)</f>
        <v/>
      </c>
      <c r="Y8" s="47">
        <f>T8*X8</f>
        <v/>
      </c>
      <c r="Z8" s="67">
        <f>IF(S8&gt;0,Y8*1000000/S8/Economy!Q8,0)</f>
        <v/>
      </c>
      <c r="AA8" s="45" t="n">
        <v>0</v>
      </c>
      <c r="AB8" s="45" t="n">
        <v>0</v>
      </c>
      <c r="AC8" s="68" t="n">
        <v>0</v>
      </c>
      <c r="AD8" s="47">
        <f>IF(AA8&gt;0,AB8*1000000/AA8,0)</f>
        <v/>
      </c>
      <c r="AE8" s="64">
        <f>IF(AND(AC8&gt;0,AD7&gt;0,B8&gt;0),MIN(conv_cap,conv_beta*1*AC8*MAX(0,LN(B8/(AD7*AF7)))),0)</f>
        <v/>
      </c>
      <c r="AF8" s="65">
        <f>AF7*(1+AE8)</f>
        <v/>
      </c>
      <c r="AG8" s="47">
        <f>AB8*AF8</f>
        <v/>
      </c>
      <c r="AH8" s="67">
        <f>IF(AA8&gt;0,AG8*1000000/AA8/Economy!Q8,0)</f>
        <v/>
      </c>
      <c r="AI8" s="45" t="n">
        <v>0</v>
      </c>
      <c r="AJ8" s="45" t="n">
        <v>0</v>
      </c>
      <c r="AK8" s="68" t="n">
        <v>0</v>
      </c>
      <c r="AL8" s="47">
        <f>IF(AI8&gt;0,AJ8*1000000/AI8,0)</f>
        <v/>
      </c>
      <c r="AM8" s="64">
        <f>IF(AND(AK8&gt;0,AL7&gt;0,B8&gt;0),MIN(conv_cap,conv_beta*1*AK8*MAX(0,LN(B8/(AL7*AN7)))),0)</f>
        <v/>
      </c>
      <c r="AN8" s="65">
        <f>AN7*(1+AM8)</f>
        <v/>
      </c>
      <c r="AO8" s="47">
        <f>AJ8*AN8</f>
        <v/>
      </c>
      <c r="AP8" s="67">
        <f>IF(AI8&gt;0,AO8*1000000/AI8/Economy!Q8,0)</f>
        <v/>
      </c>
      <c r="AQ8" s="45" t="n">
        <v>0</v>
      </c>
      <c r="AR8" s="45" t="n">
        <v>0</v>
      </c>
      <c r="AS8" s="68" t="n">
        <v>0</v>
      </c>
      <c r="AT8" s="47">
        <f>IF(AQ8&gt;0,AR8*1000000/AQ8,0)</f>
        <v/>
      </c>
      <c r="AU8" s="64">
        <f>IF(AND(AS8&gt;0,AT7&gt;0,B8&gt;0),MIN(conv_cap,conv_beta*1*AS8*MAX(0,LN(B8/(AT7*AV7)))),0)</f>
        <v/>
      </c>
      <c r="AV8" s="65">
        <f>AV7*(1+AU8)</f>
        <v/>
      </c>
      <c r="AW8" s="47">
        <f>AR8*AV8</f>
        <v/>
      </c>
      <c r="AX8" s="67">
        <f>IF(AQ8&gt;0,AW8*1000000/AQ8/Economy!Q8,0)</f>
        <v/>
      </c>
      <c r="AY8" s="45" t="n">
        <v>0</v>
      </c>
      <c r="AZ8" s="45" t="n">
        <v>0</v>
      </c>
      <c r="BA8" s="68" t="n">
        <v>0</v>
      </c>
      <c r="BB8" s="47">
        <f>IF(AY8&gt;0,AZ8*1000000/AY8,0)</f>
        <v/>
      </c>
      <c r="BC8" s="64">
        <f>IF(AND(BA8&gt;0,BB7&gt;0,B8&gt;0),MIN(conv_cap,conv_beta*1*BA8*MAX(0,LN(B8/(BB7*BD7)))),0)</f>
        <v/>
      </c>
      <c r="BD8" s="65">
        <f>BD7*(1+BC8)</f>
        <v/>
      </c>
      <c r="BE8" s="47">
        <f>AZ8*BD8</f>
        <v/>
      </c>
      <c r="BF8" s="67">
        <f>IF(AY8&gt;0,BE8*1000000/AY8/Economy!Q8,0)</f>
        <v/>
      </c>
      <c r="BG8" s="45" t="n">
        <v>0</v>
      </c>
      <c r="BH8" s="45" t="n">
        <v>0</v>
      </c>
      <c r="BI8" s="68" t="n">
        <v>0</v>
      </c>
      <c r="BJ8" s="47">
        <f>IF(BG8&gt;0,BH8*1000000/BG8,0)</f>
        <v/>
      </c>
      <c r="BK8" s="64">
        <f>IF(AND(BI8&gt;0,BJ7&gt;0,B8&gt;0),MIN(conv_cap,conv_beta*1*BI8*MAX(0,LN(B8/(BJ7*BL7)))),0)</f>
        <v/>
      </c>
      <c r="BL8" s="65">
        <f>BL7*(1+BK8)</f>
        <v/>
      </c>
      <c r="BM8" s="47">
        <f>BH8*BL8</f>
        <v/>
      </c>
      <c r="BN8" s="67">
        <f>IF(BG8&gt;0,BM8*1000000/BG8/Economy!Q8,0)</f>
        <v/>
      </c>
      <c r="BO8" s="45" t="n">
        <v>0</v>
      </c>
      <c r="BP8" s="45" t="n">
        <v>0</v>
      </c>
      <c r="BQ8" s="68" t="n">
        <v>0</v>
      </c>
      <c r="BR8" s="47">
        <f>IF(BO8&gt;0,BP8*1000000/BO8,0)</f>
        <v/>
      </c>
      <c r="BS8" s="64">
        <f>IF(AND(BQ8&gt;0,BR7&gt;0,B8&gt;0),MIN(conv_cap,conv_beta*1*BQ8*MAX(0,LN(B8/(BR7*BT7)))),0)</f>
        <v/>
      </c>
      <c r="BT8" s="65">
        <f>BT7*(1+BS8)</f>
        <v/>
      </c>
      <c r="BU8" s="47">
        <f>BP8*BT8</f>
        <v/>
      </c>
      <c r="BV8" s="67">
        <f>IF(BO8&gt;0,BU8*1000000/BO8/Economy!Q8,0)</f>
        <v/>
      </c>
      <c r="BW8" s="65">
        <f>0.25*IF(D8&gt;0,H8,1)+0.15*IF(AJ8&gt;0,AN8,1)+0.03*IF(AR8&gt;0,AV8,1)+0.08*IF(AZ8&gt;0,BD8,1)+0.12*IF(BH8&gt;0,BL8,1)+0.1*IF(L8&gt;0,P8,1)+0.07*IF(T8&gt;0,X8,1)+0.05*IF(AB8&gt;0,AF8,1)+0.05*IF(BP8&gt;0,BT8,1)+0.1</f>
        <v/>
      </c>
      <c r="BX8" s="63">
        <f>MIN(mkt_cap,mkt_elast*MAX(0,BW8-1))</f>
        <v/>
      </c>
      <c r="BY8" s="47">
        <f>I8+Q8+Y8+AG8</f>
        <v/>
      </c>
      <c r="BZ8" s="47">
        <f>D8+L8+T8+AB8</f>
        <v/>
      </c>
      <c r="CA8" s="65">
        <f>IF(BZ8&gt;0,BY8/BZ8,0)</f>
        <v/>
      </c>
    </row>
    <row r="9">
      <c r="A9" s="58" t="n">
        <v>1849</v>
      </c>
      <c r="B9" s="47">
        <f>Economy!P8</f>
        <v/>
      </c>
      <c r="C9" s="45" t="n">
        <v>0</v>
      </c>
      <c r="D9" s="62">
        <f>Japan!B9</f>
        <v/>
      </c>
      <c r="E9" s="68" t="n">
        <v>0</v>
      </c>
      <c r="F9" s="47">
        <f>IF(C9&gt;0,D9*1000000/C9,0)</f>
        <v/>
      </c>
      <c r="G9" s="64">
        <f>IF(AND(E9&gt;0,F8&gt;0,B9&gt;0),MIN(conv_cap,conv_beta*jp_uplift*E9*MAX(0,LN(B9/(F8*H8)))),0)</f>
        <v/>
      </c>
      <c r="H9" s="65">
        <f>H8*(1+G9)</f>
        <v/>
      </c>
      <c r="I9" s="47">
        <f>D9*H9</f>
        <v/>
      </c>
      <c r="J9" s="67">
        <f>IF(C9&gt;0,I9*1000000/C9/Economy!Q9,0)</f>
        <v/>
      </c>
      <c r="K9" s="62">
        <f>Gulf!B9</f>
        <v/>
      </c>
      <c r="L9" s="47">
        <f>Gulf!B9*Gulf!C9*Economy!Q9/1000000</f>
        <v/>
      </c>
      <c r="M9" s="68" t="n">
        <v>0</v>
      </c>
      <c r="N9" s="47">
        <f>IF(K9&gt;0,L9*1000000/K9,0)</f>
        <v/>
      </c>
      <c r="O9" s="64">
        <f>IF(AND(M9&gt;0,N8&gt;0,B9&gt;0),MIN(conv_cap,conv_beta*1*M9*MAX(0,LN(B9/(N8*P8)))),0)</f>
        <v/>
      </c>
      <c r="P9" s="65">
        <f>P8*(1+O9)</f>
        <v/>
      </c>
      <c r="Q9" s="47">
        <f>L9*P9</f>
        <v/>
      </c>
      <c r="R9" s="67">
        <f>IF(K9&gt;0,Q9*1000000/K9/Economy!Q9,0)</f>
        <v/>
      </c>
      <c r="S9" s="62">
        <f>People!U9</f>
        <v/>
      </c>
      <c r="T9" s="45" t="n">
        <v>0</v>
      </c>
      <c r="U9" s="68" t="n">
        <v>0</v>
      </c>
      <c r="V9" s="47">
        <f>IF(S9&gt;0,T9*1000000/S9,0)</f>
        <v/>
      </c>
      <c r="W9" s="64">
        <f>IF(AND(U9&gt;0,V8&gt;0,B9&gt;0),MIN(conv_cap,conv_beta*1*U9*MAX(0,LN(B9/(V8*X8)))),0)</f>
        <v/>
      </c>
      <c r="X9" s="65">
        <f>X8*(1+W9)</f>
        <v/>
      </c>
      <c r="Y9" s="47">
        <f>T9*X9</f>
        <v/>
      </c>
      <c r="Z9" s="67">
        <f>IF(S9&gt;0,Y9*1000000/S9/Economy!Q9,0)</f>
        <v/>
      </c>
      <c r="AA9" s="45" t="n">
        <v>0</v>
      </c>
      <c r="AB9" s="45" t="n">
        <v>0</v>
      </c>
      <c r="AC9" s="68" t="n">
        <v>0</v>
      </c>
      <c r="AD9" s="47">
        <f>IF(AA9&gt;0,AB9*1000000/AA9,0)</f>
        <v/>
      </c>
      <c r="AE9" s="64">
        <f>IF(AND(AC9&gt;0,AD8&gt;0,B9&gt;0),MIN(conv_cap,conv_beta*1*AC9*MAX(0,LN(B9/(AD8*AF8)))),0)</f>
        <v/>
      </c>
      <c r="AF9" s="65">
        <f>AF8*(1+AE9)</f>
        <v/>
      </c>
      <c r="AG9" s="47">
        <f>AB9*AF9</f>
        <v/>
      </c>
      <c r="AH9" s="67">
        <f>IF(AA9&gt;0,AG9*1000000/AA9/Economy!Q9,0)</f>
        <v/>
      </c>
      <c r="AI9" s="45" t="n">
        <v>0</v>
      </c>
      <c r="AJ9" s="45" t="n">
        <v>0</v>
      </c>
      <c r="AK9" s="68" t="n">
        <v>0</v>
      </c>
      <c r="AL9" s="47">
        <f>IF(AI9&gt;0,AJ9*1000000/AI9,0)</f>
        <v/>
      </c>
      <c r="AM9" s="64">
        <f>IF(AND(AK9&gt;0,AL8&gt;0,B9&gt;0),MIN(conv_cap,conv_beta*1*AK9*MAX(0,LN(B9/(AL8*AN8)))),0)</f>
        <v/>
      </c>
      <c r="AN9" s="65">
        <f>AN8*(1+AM9)</f>
        <v/>
      </c>
      <c r="AO9" s="47">
        <f>AJ9*AN9</f>
        <v/>
      </c>
      <c r="AP9" s="67">
        <f>IF(AI9&gt;0,AO9*1000000/AI9/Economy!Q9,0)</f>
        <v/>
      </c>
      <c r="AQ9" s="45" t="n">
        <v>0</v>
      </c>
      <c r="AR9" s="45" t="n">
        <v>0</v>
      </c>
      <c r="AS9" s="68" t="n">
        <v>0</v>
      </c>
      <c r="AT9" s="47">
        <f>IF(AQ9&gt;0,AR9*1000000/AQ9,0)</f>
        <v/>
      </c>
      <c r="AU9" s="64">
        <f>IF(AND(AS9&gt;0,AT8&gt;0,B9&gt;0),MIN(conv_cap,conv_beta*1*AS9*MAX(0,LN(B9/(AT8*AV8)))),0)</f>
        <v/>
      </c>
      <c r="AV9" s="65">
        <f>AV8*(1+AU9)</f>
        <v/>
      </c>
      <c r="AW9" s="47">
        <f>AR9*AV9</f>
        <v/>
      </c>
      <c r="AX9" s="67">
        <f>IF(AQ9&gt;0,AW9*1000000/AQ9/Economy!Q9,0)</f>
        <v/>
      </c>
      <c r="AY9" s="45" t="n">
        <v>0</v>
      </c>
      <c r="AZ9" s="45" t="n">
        <v>0</v>
      </c>
      <c r="BA9" s="68" t="n">
        <v>0</v>
      </c>
      <c r="BB9" s="47">
        <f>IF(AY9&gt;0,AZ9*1000000/AY9,0)</f>
        <v/>
      </c>
      <c r="BC9" s="64">
        <f>IF(AND(BA9&gt;0,BB8&gt;0,B9&gt;0),MIN(conv_cap,conv_beta*1*BA9*MAX(0,LN(B9/(BB8*BD8)))),0)</f>
        <v/>
      </c>
      <c r="BD9" s="65">
        <f>BD8*(1+BC9)</f>
        <v/>
      </c>
      <c r="BE9" s="47">
        <f>AZ9*BD9</f>
        <v/>
      </c>
      <c r="BF9" s="67">
        <f>IF(AY9&gt;0,BE9*1000000/AY9/Economy!Q9,0)</f>
        <v/>
      </c>
      <c r="BG9" s="45" t="n">
        <v>0</v>
      </c>
      <c r="BH9" s="45" t="n">
        <v>0</v>
      </c>
      <c r="BI9" s="68" t="n">
        <v>0</v>
      </c>
      <c r="BJ9" s="47">
        <f>IF(BG9&gt;0,BH9*1000000/BG9,0)</f>
        <v/>
      </c>
      <c r="BK9" s="64">
        <f>IF(AND(BI9&gt;0,BJ8&gt;0,B9&gt;0),MIN(conv_cap,conv_beta*1*BI9*MAX(0,LN(B9/(BJ8*BL8)))),0)</f>
        <v/>
      </c>
      <c r="BL9" s="65">
        <f>BL8*(1+BK9)</f>
        <v/>
      </c>
      <c r="BM9" s="47">
        <f>BH9*BL9</f>
        <v/>
      </c>
      <c r="BN9" s="67">
        <f>IF(BG9&gt;0,BM9*1000000/BG9/Economy!Q9,0)</f>
        <v/>
      </c>
      <c r="BO9" s="45" t="n">
        <v>0</v>
      </c>
      <c r="BP9" s="45" t="n">
        <v>0</v>
      </c>
      <c r="BQ9" s="68" t="n">
        <v>0</v>
      </c>
      <c r="BR9" s="47">
        <f>IF(BO9&gt;0,BP9*1000000/BO9,0)</f>
        <v/>
      </c>
      <c r="BS9" s="64">
        <f>IF(AND(BQ9&gt;0,BR8&gt;0,B9&gt;0),MIN(conv_cap,conv_beta*1*BQ9*MAX(0,LN(B9/(BR8*BT8)))),0)</f>
        <v/>
      </c>
      <c r="BT9" s="65">
        <f>BT8*(1+BS9)</f>
        <v/>
      </c>
      <c r="BU9" s="47">
        <f>BP9*BT9</f>
        <v/>
      </c>
      <c r="BV9" s="67">
        <f>IF(BO9&gt;0,BU9*1000000/BO9/Economy!Q9,0)</f>
        <v/>
      </c>
      <c r="BW9" s="65">
        <f>0.25*IF(D9&gt;0,H9,1)+0.15*IF(AJ9&gt;0,AN9,1)+0.03*IF(AR9&gt;0,AV9,1)+0.08*IF(AZ9&gt;0,BD9,1)+0.12*IF(BH9&gt;0,BL9,1)+0.1*IF(L9&gt;0,P9,1)+0.07*IF(T9&gt;0,X9,1)+0.05*IF(AB9&gt;0,AF9,1)+0.05*IF(BP9&gt;0,BT9,1)+0.1</f>
        <v/>
      </c>
      <c r="BX9" s="63">
        <f>MIN(mkt_cap,mkt_elast*MAX(0,BW9-1))</f>
        <v/>
      </c>
      <c r="BY9" s="47">
        <f>I9+Q9+Y9+AG9</f>
        <v/>
      </c>
      <c r="BZ9" s="47">
        <f>D9+L9+T9+AB9</f>
        <v/>
      </c>
      <c r="CA9" s="65">
        <f>IF(BZ9&gt;0,BY9/BZ9,0)</f>
        <v/>
      </c>
    </row>
    <row r="10">
      <c r="A10" s="58" t="n">
        <v>1850</v>
      </c>
      <c r="B10" s="47">
        <f>Economy!P9</f>
        <v/>
      </c>
      <c r="C10" s="45" t="n">
        <v>0</v>
      </c>
      <c r="D10" s="62">
        <f>Japan!B10</f>
        <v/>
      </c>
      <c r="E10" s="68" t="n">
        <v>0</v>
      </c>
      <c r="F10" s="47">
        <f>IF(C10&gt;0,D10*1000000/C10,0)</f>
        <v/>
      </c>
      <c r="G10" s="64">
        <f>IF(AND(E10&gt;0,F9&gt;0,B10&gt;0),MIN(conv_cap,conv_beta*jp_uplift*E10*MAX(0,LN(B10/(F9*H9)))),0)</f>
        <v/>
      </c>
      <c r="H10" s="65">
        <f>H9*(1+G10)</f>
        <v/>
      </c>
      <c r="I10" s="47">
        <f>D10*H10</f>
        <v/>
      </c>
      <c r="J10" s="67">
        <f>IF(C10&gt;0,I10*1000000/C10/Economy!Q10,0)</f>
        <v/>
      </c>
      <c r="K10" s="62">
        <f>Gulf!B10</f>
        <v/>
      </c>
      <c r="L10" s="47">
        <f>Gulf!B10*Gulf!C10*Economy!Q10/1000000</f>
        <v/>
      </c>
      <c r="M10" s="68" t="n">
        <v>0</v>
      </c>
      <c r="N10" s="47">
        <f>IF(K10&gt;0,L10*1000000/K10,0)</f>
        <v/>
      </c>
      <c r="O10" s="64">
        <f>IF(AND(M10&gt;0,N9&gt;0,B10&gt;0),MIN(conv_cap,conv_beta*1*M10*MAX(0,LN(B10/(N9*P9)))),0)</f>
        <v/>
      </c>
      <c r="P10" s="65">
        <f>P9*(1+O10)</f>
        <v/>
      </c>
      <c r="Q10" s="47">
        <f>L10*P10</f>
        <v/>
      </c>
      <c r="R10" s="67">
        <f>IF(K10&gt;0,Q10*1000000/K10/Economy!Q10,0)</f>
        <v/>
      </c>
      <c r="S10" s="62">
        <f>People!U10</f>
        <v/>
      </c>
      <c r="T10" s="45" t="n">
        <v>0</v>
      </c>
      <c r="U10" s="68" t="n">
        <v>0</v>
      </c>
      <c r="V10" s="47">
        <f>IF(S10&gt;0,T10*1000000/S10,0)</f>
        <v/>
      </c>
      <c r="W10" s="64">
        <f>IF(AND(U10&gt;0,V9&gt;0,B10&gt;0),MIN(conv_cap,conv_beta*1*U10*MAX(0,LN(B10/(V9*X9)))),0)</f>
        <v/>
      </c>
      <c r="X10" s="65">
        <f>X9*(1+W10)</f>
        <v/>
      </c>
      <c r="Y10" s="47">
        <f>T10*X10</f>
        <v/>
      </c>
      <c r="Z10" s="67">
        <f>IF(S10&gt;0,Y10*1000000/S10/Economy!Q10,0)</f>
        <v/>
      </c>
      <c r="AA10" s="45" t="n">
        <v>0</v>
      </c>
      <c r="AB10" s="45" t="n">
        <v>0</v>
      </c>
      <c r="AC10" s="68" t="n">
        <v>0</v>
      </c>
      <c r="AD10" s="47">
        <f>IF(AA10&gt;0,AB10*1000000/AA10,0)</f>
        <v/>
      </c>
      <c r="AE10" s="64">
        <f>IF(AND(AC10&gt;0,AD9&gt;0,B10&gt;0),MIN(conv_cap,conv_beta*1*AC10*MAX(0,LN(B10/(AD9*AF9)))),0)</f>
        <v/>
      </c>
      <c r="AF10" s="65">
        <f>AF9*(1+AE10)</f>
        <v/>
      </c>
      <c r="AG10" s="47">
        <f>AB10*AF10</f>
        <v/>
      </c>
      <c r="AH10" s="67">
        <f>IF(AA10&gt;0,AG10*1000000/AA10/Economy!Q10,0)</f>
        <v/>
      </c>
      <c r="AI10" s="45" t="n">
        <v>0</v>
      </c>
      <c r="AJ10" s="45" t="n">
        <v>0</v>
      </c>
      <c r="AK10" s="68" t="n">
        <v>0</v>
      </c>
      <c r="AL10" s="47">
        <f>IF(AI10&gt;0,AJ10*1000000/AI10,0)</f>
        <v/>
      </c>
      <c r="AM10" s="64">
        <f>IF(AND(AK10&gt;0,AL9&gt;0,B10&gt;0),MIN(conv_cap,conv_beta*1*AK10*MAX(0,LN(B10/(AL9*AN9)))),0)</f>
        <v/>
      </c>
      <c r="AN10" s="65">
        <f>AN9*(1+AM10)</f>
        <v/>
      </c>
      <c r="AO10" s="47">
        <f>AJ10*AN10</f>
        <v/>
      </c>
      <c r="AP10" s="67">
        <f>IF(AI10&gt;0,AO10*1000000/AI10/Economy!Q10,0)</f>
        <v/>
      </c>
      <c r="AQ10" s="45" t="n">
        <v>0</v>
      </c>
      <c r="AR10" s="45" t="n">
        <v>0</v>
      </c>
      <c r="AS10" s="68" t="n">
        <v>0</v>
      </c>
      <c r="AT10" s="47">
        <f>IF(AQ10&gt;0,AR10*1000000/AQ10,0)</f>
        <v/>
      </c>
      <c r="AU10" s="64">
        <f>IF(AND(AS10&gt;0,AT9&gt;0,B10&gt;0),MIN(conv_cap,conv_beta*1*AS10*MAX(0,LN(B10/(AT9*AV9)))),0)</f>
        <v/>
      </c>
      <c r="AV10" s="65">
        <f>AV9*(1+AU10)</f>
        <v/>
      </c>
      <c r="AW10" s="47">
        <f>AR10*AV10</f>
        <v/>
      </c>
      <c r="AX10" s="67">
        <f>IF(AQ10&gt;0,AW10*1000000/AQ10/Economy!Q10,0)</f>
        <v/>
      </c>
      <c r="AY10" s="45" t="n">
        <v>0</v>
      </c>
      <c r="AZ10" s="45" t="n">
        <v>0</v>
      </c>
      <c r="BA10" s="68" t="n">
        <v>0</v>
      </c>
      <c r="BB10" s="47">
        <f>IF(AY10&gt;0,AZ10*1000000/AY10,0)</f>
        <v/>
      </c>
      <c r="BC10" s="64">
        <f>IF(AND(BA10&gt;0,BB9&gt;0,B10&gt;0),MIN(conv_cap,conv_beta*1*BA10*MAX(0,LN(B10/(BB9*BD9)))),0)</f>
        <v/>
      </c>
      <c r="BD10" s="65">
        <f>BD9*(1+BC10)</f>
        <v/>
      </c>
      <c r="BE10" s="47">
        <f>AZ10*BD10</f>
        <v/>
      </c>
      <c r="BF10" s="67">
        <f>IF(AY10&gt;0,BE10*1000000/AY10/Economy!Q10,0)</f>
        <v/>
      </c>
      <c r="BG10" s="45" t="n">
        <v>0</v>
      </c>
      <c r="BH10" s="45" t="n">
        <v>0</v>
      </c>
      <c r="BI10" s="68" t="n">
        <v>0</v>
      </c>
      <c r="BJ10" s="47">
        <f>IF(BG10&gt;0,BH10*1000000/BG10,0)</f>
        <v/>
      </c>
      <c r="BK10" s="64">
        <f>IF(AND(BI10&gt;0,BJ9&gt;0,B10&gt;0),MIN(conv_cap,conv_beta*1*BI10*MAX(0,LN(B10/(BJ9*BL9)))),0)</f>
        <v/>
      </c>
      <c r="BL10" s="65">
        <f>BL9*(1+BK10)</f>
        <v/>
      </c>
      <c r="BM10" s="47">
        <f>BH10*BL10</f>
        <v/>
      </c>
      <c r="BN10" s="67">
        <f>IF(BG10&gt;0,BM10*1000000/BG10/Economy!Q10,0)</f>
        <v/>
      </c>
      <c r="BO10" s="45" t="n">
        <v>0</v>
      </c>
      <c r="BP10" s="45" t="n">
        <v>0</v>
      </c>
      <c r="BQ10" s="68" t="n">
        <v>0</v>
      </c>
      <c r="BR10" s="47">
        <f>IF(BO10&gt;0,BP10*1000000/BO10,0)</f>
        <v/>
      </c>
      <c r="BS10" s="64">
        <f>IF(AND(BQ10&gt;0,BR9&gt;0,B10&gt;0),MIN(conv_cap,conv_beta*1*BQ10*MAX(0,LN(B10/(BR9*BT9)))),0)</f>
        <v/>
      </c>
      <c r="BT10" s="65">
        <f>BT9*(1+BS10)</f>
        <v/>
      </c>
      <c r="BU10" s="47">
        <f>BP10*BT10</f>
        <v/>
      </c>
      <c r="BV10" s="67">
        <f>IF(BO10&gt;0,BU10*1000000/BO10/Economy!Q10,0)</f>
        <v/>
      </c>
      <c r="BW10" s="65">
        <f>0.25*IF(D10&gt;0,H10,1)+0.15*IF(AJ10&gt;0,AN10,1)+0.03*IF(AR10&gt;0,AV10,1)+0.08*IF(AZ10&gt;0,BD10,1)+0.12*IF(BH10&gt;0,BL10,1)+0.1*IF(L10&gt;0,P10,1)+0.07*IF(T10&gt;0,X10,1)+0.05*IF(AB10&gt;0,AF10,1)+0.05*IF(BP10&gt;0,BT10,1)+0.1</f>
        <v/>
      </c>
      <c r="BX10" s="63">
        <f>MIN(mkt_cap,mkt_elast*MAX(0,BW10-1))</f>
        <v/>
      </c>
      <c r="BY10" s="47">
        <f>I10+Q10+Y10+AG10</f>
        <v/>
      </c>
      <c r="BZ10" s="47">
        <f>D10+L10+T10+AB10</f>
        <v/>
      </c>
      <c r="CA10" s="65">
        <f>IF(BZ10&gt;0,BY10/BZ10,0)</f>
        <v/>
      </c>
    </row>
    <row r="11">
      <c r="A11" s="58" t="n">
        <v>1851</v>
      </c>
      <c r="B11" s="47">
        <f>Economy!P10</f>
        <v/>
      </c>
      <c r="C11" s="45" t="n">
        <v>0</v>
      </c>
      <c r="D11" s="62">
        <f>Japan!B11</f>
        <v/>
      </c>
      <c r="E11" s="68" t="n">
        <v>0</v>
      </c>
      <c r="F11" s="47">
        <f>IF(C11&gt;0,D11*1000000/C11,0)</f>
        <v/>
      </c>
      <c r="G11" s="64">
        <f>IF(AND(E11&gt;0,F10&gt;0,B11&gt;0),MIN(conv_cap,conv_beta*jp_uplift*E11*MAX(0,LN(B11/(F10*H10)))),0)</f>
        <v/>
      </c>
      <c r="H11" s="65">
        <f>H10*(1+G11)</f>
        <v/>
      </c>
      <c r="I11" s="47">
        <f>D11*H11</f>
        <v/>
      </c>
      <c r="J11" s="67">
        <f>IF(C11&gt;0,I11*1000000/C11/Economy!Q11,0)</f>
        <v/>
      </c>
      <c r="K11" s="62">
        <f>Gulf!B11</f>
        <v/>
      </c>
      <c r="L11" s="47">
        <f>Gulf!B11*Gulf!C11*Economy!Q11/1000000</f>
        <v/>
      </c>
      <c r="M11" s="68" t="n">
        <v>0</v>
      </c>
      <c r="N11" s="47">
        <f>IF(K11&gt;0,L11*1000000/K11,0)</f>
        <v/>
      </c>
      <c r="O11" s="64">
        <f>IF(AND(M11&gt;0,N10&gt;0,B11&gt;0),MIN(conv_cap,conv_beta*1*M11*MAX(0,LN(B11/(N10*P10)))),0)</f>
        <v/>
      </c>
      <c r="P11" s="65">
        <f>P10*(1+O11)</f>
        <v/>
      </c>
      <c r="Q11" s="47">
        <f>L11*P11</f>
        <v/>
      </c>
      <c r="R11" s="67">
        <f>IF(K11&gt;0,Q11*1000000/K11/Economy!Q11,0)</f>
        <v/>
      </c>
      <c r="S11" s="62">
        <f>People!U11</f>
        <v/>
      </c>
      <c r="T11" s="45" t="n">
        <v>0</v>
      </c>
      <c r="U11" s="68" t="n">
        <v>0</v>
      </c>
      <c r="V11" s="47">
        <f>IF(S11&gt;0,T11*1000000/S11,0)</f>
        <v/>
      </c>
      <c r="W11" s="64">
        <f>IF(AND(U11&gt;0,V10&gt;0,B11&gt;0),MIN(conv_cap,conv_beta*1*U11*MAX(0,LN(B11/(V10*X10)))),0)</f>
        <v/>
      </c>
      <c r="X11" s="65">
        <f>X10*(1+W11)</f>
        <v/>
      </c>
      <c r="Y11" s="47">
        <f>T11*X11</f>
        <v/>
      </c>
      <c r="Z11" s="67">
        <f>IF(S11&gt;0,Y11*1000000/S11/Economy!Q11,0)</f>
        <v/>
      </c>
      <c r="AA11" s="45" t="n">
        <v>0</v>
      </c>
      <c r="AB11" s="45" t="n">
        <v>0</v>
      </c>
      <c r="AC11" s="68" t="n">
        <v>0</v>
      </c>
      <c r="AD11" s="47">
        <f>IF(AA11&gt;0,AB11*1000000/AA11,0)</f>
        <v/>
      </c>
      <c r="AE11" s="64">
        <f>IF(AND(AC11&gt;0,AD10&gt;0,B11&gt;0),MIN(conv_cap,conv_beta*1*AC11*MAX(0,LN(B11/(AD10*AF10)))),0)</f>
        <v/>
      </c>
      <c r="AF11" s="65">
        <f>AF10*(1+AE11)</f>
        <v/>
      </c>
      <c r="AG11" s="47">
        <f>AB11*AF11</f>
        <v/>
      </c>
      <c r="AH11" s="67">
        <f>IF(AA11&gt;0,AG11*1000000/AA11/Economy!Q11,0)</f>
        <v/>
      </c>
      <c r="AI11" s="45" t="n">
        <v>0</v>
      </c>
      <c r="AJ11" s="45" t="n">
        <v>0</v>
      </c>
      <c r="AK11" s="68" t="n">
        <v>0</v>
      </c>
      <c r="AL11" s="47">
        <f>IF(AI11&gt;0,AJ11*1000000/AI11,0)</f>
        <v/>
      </c>
      <c r="AM11" s="64">
        <f>IF(AND(AK11&gt;0,AL10&gt;0,B11&gt;0),MIN(conv_cap,conv_beta*1*AK11*MAX(0,LN(B11/(AL10*AN10)))),0)</f>
        <v/>
      </c>
      <c r="AN11" s="65">
        <f>AN10*(1+AM11)</f>
        <v/>
      </c>
      <c r="AO11" s="47">
        <f>AJ11*AN11</f>
        <v/>
      </c>
      <c r="AP11" s="67">
        <f>IF(AI11&gt;0,AO11*1000000/AI11/Economy!Q11,0)</f>
        <v/>
      </c>
      <c r="AQ11" s="45" t="n">
        <v>0</v>
      </c>
      <c r="AR11" s="45" t="n">
        <v>0</v>
      </c>
      <c r="AS11" s="68" t="n">
        <v>0</v>
      </c>
      <c r="AT11" s="47">
        <f>IF(AQ11&gt;0,AR11*1000000/AQ11,0)</f>
        <v/>
      </c>
      <c r="AU11" s="64">
        <f>IF(AND(AS11&gt;0,AT10&gt;0,B11&gt;0),MIN(conv_cap,conv_beta*1*AS11*MAX(0,LN(B11/(AT10*AV10)))),0)</f>
        <v/>
      </c>
      <c r="AV11" s="65">
        <f>AV10*(1+AU11)</f>
        <v/>
      </c>
      <c r="AW11" s="47">
        <f>AR11*AV11</f>
        <v/>
      </c>
      <c r="AX11" s="67">
        <f>IF(AQ11&gt;0,AW11*1000000/AQ11/Economy!Q11,0)</f>
        <v/>
      </c>
      <c r="AY11" s="45" t="n">
        <v>0</v>
      </c>
      <c r="AZ11" s="45" t="n">
        <v>0</v>
      </c>
      <c r="BA11" s="68" t="n">
        <v>0</v>
      </c>
      <c r="BB11" s="47">
        <f>IF(AY11&gt;0,AZ11*1000000/AY11,0)</f>
        <v/>
      </c>
      <c r="BC11" s="64">
        <f>IF(AND(BA11&gt;0,BB10&gt;0,B11&gt;0),MIN(conv_cap,conv_beta*1*BA11*MAX(0,LN(B11/(BB10*BD10)))),0)</f>
        <v/>
      </c>
      <c r="BD11" s="65">
        <f>BD10*(1+BC11)</f>
        <v/>
      </c>
      <c r="BE11" s="47">
        <f>AZ11*BD11</f>
        <v/>
      </c>
      <c r="BF11" s="67">
        <f>IF(AY11&gt;0,BE11*1000000/AY11/Economy!Q11,0)</f>
        <v/>
      </c>
      <c r="BG11" s="45" t="n">
        <v>0</v>
      </c>
      <c r="BH11" s="45" t="n">
        <v>0</v>
      </c>
      <c r="BI11" s="68" t="n">
        <v>0</v>
      </c>
      <c r="BJ11" s="47">
        <f>IF(BG11&gt;0,BH11*1000000/BG11,0)</f>
        <v/>
      </c>
      <c r="BK11" s="64">
        <f>IF(AND(BI11&gt;0,BJ10&gt;0,B11&gt;0),MIN(conv_cap,conv_beta*1*BI11*MAX(0,LN(B11/(BJ10*BL10)))),0)</f>
        <v/>
      </c>
      <c r="BL11" s="65">
        <f>BL10*(1+BK11)</f>
        <v/>
      </c>
      <c r="BM11" s="47">
        <f>BH11*BL11</f>
        <v/>
      </c>
      <c r="BN11" s="67">
        <f>IF(BG11&gt;0,BM11*1000000/BG11/Economy!Q11,0)</f>
        <v/>
      </c>
      <c r="BO11" s="45" t="n">
        <v>0</v>
      </c>
      <c r="BP11" s="45" t="n">
        <v>0</v>
      </c>
      <c r="BQ11" s="68" t="n">
        <v>0</v>
      </c>
      <c r="BR11" s="47">
        <f>IF(BO11&gt;0,BP11*1000000/BO11,0)</f>
        <v/>
      </c>
      <c r="BS11" s="64">
        <f>IF(AND(BQ11&gt;0,BR10&gt;0,B11&gt;0),MIN(conv_cap,conv_beta*1*BQ11*MAX(0,LN(B11/(BR10*BT10)))),0)</f>
        <v/>
      </c>
      <c r="BT11" s="65">
        <f>BT10*(1+BS11)</f>
        <v/>
      </c>
      <c r="BU11" s="47">
        <f>BP11*BT11</f>
        <v/>
      </c>
      <c r="BV11" s="67">
        <f>IF(BO11&gt;0,BU11*1000000/BO11/Economy!Q11,0)</f>
        <v/>
      </c>
      <c r="BW11" s="65">
        <f>0.25*IF(D11&gt;0,H11,1)+0.15*IF(AJ11&gt;0,AN11,1)+0.03*IF(AR11&gt;0,AV11,1)+0.08*IF(AZ11&gt;0,BD11,1)+0.12*IF(BH11&gt;0,BL11,1)+0.1*IF(L11&gt;0,P11,1)+0.07*IF(T11&gt;0,X11,1)+0.05*IF(AB11&gt;0,AF11,1)+0.05*IF(BP11&gt;0,BT11,1)+0.1</f>
        <v/>
      </c>
      <c r="BX11" s="63">
        <f>MIN(mkt_cap,mkt_elast*MAX(0,BW11-1))</f>
        <v/>
      </c>
      <c r="BY11" s="47">
        <f>I11+Q11+Y11+AG11</f>
        <v/>
      </c>
      <c r="BZ11" s="47">
        <f>D11+L11+T11+AB11</f>
        <v/>
      </c>
      <c r="CA11" s="65">
        <f>IF(BZ11&gt;0,BY11/BZ11,0)</f>
        <v/>
      </c>
    </row>
    <row r="12">
      <c r="A12" s="58" t="n">
        <v>1852</v>
      </c>
      <c r="B12" s="47">
        <f>Economy!P11</f>
        <v/>
      </c>
      <c r="C12" s="45" t="n">
        <v>0</v>
      </c>
      <c r="D12" s="62">
        <f>Japan!B12</f>
        <v/>
      </c>
      <c r="E12" s="68" t="n">
        <v>0</v>
      </c>
      <c r="F12" s="47">
        <f>IF(C12&gt;0,D12*1000000/C12,0)</f>
        <v/>
      </c>
      <c r="G12" s="64">
        <f>IF(AND(E12&gt;0,F11&gt;0,B12&gt;0),MIN(conv_cap,conv_beta*jp_uplift*E12*MAX(0,LN(B12/(F11*H11)))),0)</f>
        <v/>
      </c>
      <c r="H12" s="65">
        <f>H11*(1+G12)</f>
        <v/>
      </c>
      <c r="I12" s="47">
        <f>D12*H12</f>
        <v/>
      </c>
      <c r="J12" s="67">
        <f>IF(C12&gt;0,I12*1000000/C12/Economy!Q12,0)</f>
        <v/>
      </c>
      <c r="K12" s="62">
        <f>Gulf!B12</f>
        <v/>
      </c>
      <c r="L12" s="47">
        <f>Gulf!B12*Gulf!C12*Economy!Q12/1000000</f>
        <v/>
      </c>
      <c r="M12" s="68" t="n">
        <v>0</v>
      </c>
      <c r="N12" s="47">
        <f>IF(K12&gt;0,L12*1000000/K12,0)</f>
        <v/>
      </c>
      <c r="O12" s="64">
        <f>IF(AND(M12&gt;0,N11&gt;0,B12&gt;0),MIN(conv_cap,conv_beta*1*M12*MAX(0,LN(B12/(N11*P11)))),0)</f>
        <v/>
      </c>
      <c r="P12" s="65">
        <f>P11*(1+O12)</f>
        <v/>
      </c>
      <c r="Q12" s="47">
        <f>L12*P12</f>
        <v/>
      </c>
      <c r="R12" s="67">
        <f>IF(K12&gt;0,Q12*1000000/K12/Economy!Q12,0)</f>
        <v/>
      </c>
      <c r="S12" s="62">
        <f>People!U12</f>
        <v/>
      </c>
      <c r="T12" s="45" t="n">
        <v>0</v>
      </c>
      <c r="U12" s="68" t="n">
        <v>0</v>
      </c>
      <c r="V12" s="47">
        <f>IF(S12&gt;0,T12*1000000/S12,0)</f>
        <v/>
      </c>
      <c r="W12" s="64">
        <f>IF(AND(U12&gt;0,V11&gt;0,B12&gt;0),MIN(conv_cap,conv_beta*1*U12*MAX(0,LN(B12/(V11*X11)))),0)</f>
        <v/>
      </c>
      <c r="X12" s="65">
        <f>X11*(1+W12)</f>
        <v/>
      </c>
      <c r="Y12" s="47">
        <f>T12*X12</f>
        <v/>
      </c>
      <c r="Z12" s="67">
        <f>IF(S12&gt;0,Y12*1000000/S12/Economy!Q12,0)</f>
        <v/>
      </c>
      <c r="AA12" s="45" t="n">
        <v>0</v>
      </c>
      <c r="AB12" s="45" t="n">
        <v>0</v>
      </c>
      <c r="AC12" s="68" t="n">
        <v>0</v>
      </c>
      <c r="AD12" s="47">
        <f>IF(AA12&gt;0,AB12*1000000/AA12,0)</f>
        <v/>
      </c>
      <c r="AE12" s="64">
        <f>IF(AND(AC12&gt;0,AD11&gt;0,B12&gt;0),MIN(conv_cap,conv_beta*1*AC12*MAX(0,LN(B12/(AD11*AF11)))),0)</f>
        <v/>
      </c>
      <c r="AF12" s="65">
        <f>AF11*(1+AE12)</f>
        <v/>
      </c>
      <c r="AG12" s="47">
        <f>AB12*AF12</f>
        <v/>
      </c>
      <c r="AH12" s="67">
        <f>IF(AA12&gt;0,AG12*1000000/AA12/Economy!Q12,0)</f>
        <v/>
      </c>
      <c r="AI12" s="45" t="n">
        <v>0</v>
      </c>
      <c r="AJ12" s="45" t="n">
        <v>0</v>
      </c>
      <c r="AK12" s="68" t="n">
        <v>0</v>
      </c>
      <c r="AL12" s="47">
        <f>IF(AI12&gt;0,AJ12*1000000/AI12,0)</f>
        <v/>
      </c>
      <c r="AM12" s="64">
        <f>IF(AND(AK12&gt;0,AL11&gt;0,B12&gt;0),MIN(conv_cap,conv_beta*1*AK12*MAX(0,LN(B12/(AL11*AN11)))),0)</f>
        <v/>
      </c>
      <c r="AN12" s="65">
        <f>AN11*(1+AM12)</f>
        <v/>
      </c>
      <c r="AO12" s="47">
        <f>AJ12*AN12</f>
        <v/>
      </c>
      <c r="AP12" s="67">
        <f>IF(AI12&gt;0,AO12*1000000/AI12/Economy!Q12,0)</f>
        <v/>
      </c>
      <c r="AQ12" s="45" t="n">
        <v>0</v>
      </c>
      <c r="AR12" s="45" t="n">
        <v>0</v>
      </c>
      <c r="AS12" s="68" t="n">
        <v>0</v>
      </c>
      <c r="AT12" s="47">
        <f>IF(AQ12&gt;0,AR12*1000000/AQ12,0)</f>
        <v/>
      </c>
      <c r="AU12" s="64">
        <f>IF(AND(AS12&gt;0,AT11&gt;0,B12&gt;0),MIN(conv_cap,conv_beta*1*AS12*MAX(0,LN(B12/(AT11*AV11)))),0)</f>
        <v/>
      </c>
      <c r="AV12" s="65">
        <f>AV11*(1+AU12)</f>
        <v/>
      </c>
      <c r="AW12" s="47">
        <f>AR12*AV12</f>
        <v/>
      </c>
      <c r="AX12" s="67">
        <f>IF(AQ12&gt;0,AW12*1000000/AQ12/Economy!Q12,0)</f>
        <v/>
      </c>
      <c r="AY12" s="45" t="n">
        <v>0</v>
      </c>
      <c r="AZ12" s="45" t="n">
        <v>0</v>
      </c>
      <c r="BA12" s="68" t="n">
        <v>0</v>
      </c>
      <c r="BB12" s="47">
        <f>IF(AY12&gt;0,AZ12*1000000/AY12,0)</f>
        <v/>
      </c>
      <c r="BC12" s="64">
        <f>IF(AND(BA12&gt;0,BB11&gt;0,B12&gt;0),MIN(conv_cap,conv_beta*1*BA12*MAX(0,LN(B12/(BB11*BD11)))),0)</f>
        <v/>
      </c>
      <c r="BD12" s="65">
        <f>BD11*(1+BC12)</f>
        <v/>
      </c>
      <c r="BE12" s="47">
        <f>AZ12*BD12</f>
        <v/>
      </c>
      <c r="BF12" s="67">
        <f>IF(AY12&gt;0,BE12*1000000/AY12/Economy!Q12,0)</f>
        <v/>
      </c>
      <c r="BG12" s="45" t="n">
        <v>0</v>
      </c>
      <c r="BH12" s="45" t="n">
        <v>0</v>
      </c>
      <c r="BI12" s="68" t="n">
        <v>0</v>
      </c>
      <c r="BJ12" s="47">
        <f>IF(BG12&gt;0,BH12*1000000/BG12,0)</f>
        <v/>
      </c>
      <c r="BK12" s="64">
        <f>IF(AND(BI12&gt;0,BJ11&gt;0,B12&gt;0),MIN(conv_cap,conv_beta*1*BI12*MAX(0,LN(B12/(BJ11*BL11)))),0)</f>
        <v/>
      </c>
      <c r="BL12" s="65">
        <f>BL11*(1+BK12)</f>
        <v/>
      </c>
      <c r="BM12" s="47">
        <f>BH12*BL12</f>
        <v/>
      </c>
      <c r="BN12" s="67">
        <f>IF(BG12&gt;0,BM12*1000000/BG12/Economy!Q12,0)</f>
        <v/>
      </c>
      <c r="BO12" s="45" t="n">
        <v>0</v>
      </c>
      <c r="BP12" s="45" t="n">
        <v>0</v>
      </c>
      <c r="BQ12" s="68" t="n">
        <v>0</v>
      </c>
      <c r="BR12" s="47">
        <f>IF(BO12&gt;0,BP12*1000000/BO12,0)</f>
        <v/>
      </c>
      <c r="BS12" s="64">
        <f>IF(AND(BQ12&gt;0,BR11&gt;0,B12&gt;0),MIN(conv_cap,conv_beta*1*BQ12*MAX(0,LN(B12/(BR11*BT11)))),0)</f>
        <v/>
      </c>
      <c r="BT12" s="65">
        <f>BT11*(1+BS12)</f>
        <v/>
      </c>
      <c r="BU12" s="47">
        <f>BP12*BT12</f>
        <v/>
      </c>
      <c r="BV12" s="67">
        <f>IF(BO12&gt;0,BU12*1000000/BO12/Economy!Q12,0)</f>
        <v/>
      </c>
      <c r="BW12" s="65">
        <f>0.25*IF(D12&gt;0,H12,1)+0.15*IF(AJ12&gt;0,AN12,1)+0.03*IF(AR12&gt;0,AV12,1)+0.08*IF(AZ12&gt;0,BD12,1)+0.12*IF(BH12&gt;0,BL12,1)+0.1*IF(L12&gt;0,P12,1)+0.07*IF(T12&gt;0,X12,1)+0.05*IF(AB12&gt;0,AF12,1)+0.05*IF(BP12&gt;0,BT12,1)+0.1</f>
        <v/>
      </c>
      <c r="BX12" s="63">
        <f>MIN(mkt_cap,mkt_elast*MAX(0,BW12-1))</f>
        <v/>
      </c>
      <c r="BY12" s="47">
        <f>I12+Q12+Y12+AG12</f>
        <v/>
      </c>
      <c r="BZ12" s="47">
        <f>D12+L12+T12+AB12</f>
        <v/>
      </c>
      <c r="CA12" s="65">
        <f>IF(BZ12&gt;0,BY12/BZ12,0)</f>
        <v/>
      </c>
    </row>
    <row r="13">
      <c r="A13" s="58" t="n">
        <v>1853</v>
      </c>
      <c r="B13" s="47">
        <f>Economy!P12</f>
        <v/>
      </c>
      <c r="C13" s="45" t="n">
        <v>0</v>
      </c>
      <c r="D13" s="62">
        <f>Japan!B13</f>
        <v/>
      </c>
      <c r="E13" s="68" t="n">
        <v>0</v>
      </c>
      <c r="F13" s="47">
        <f>IF(C13&gt;0,D13*1000000/C13,0)</f>
        <v/>
      </c>
      <c r="G13" s="64">
        <f>IF(AND(E13&gt;0,F12&gt;0,B13&gt;0),MIN(conv_cap,conv_beta*jp_uplift*E13*MAX(0,LN(B13/(F12*H12)))),0)</f>
        <v/>
      </c>
      <c r="H13" s="65">
        <f>H12*(1+G13)</f>
        <v/>
      </c>
      <c r="I13" s="47">
        <f>D13*H13</f>
        <v/>
      </c>
      <c r="J13" s="67">
        <f>IF(C13&gt;0,I13*1000000/C13/Economy!Q13,0)</f>
        <v/>
      </c>
      <c r="K13" s="62">
        <f>Gulf!B13</f>
        <v/>
      </c>
      <c r="L13" s="47">
        <f>Gulf!B13*Gulf!C13*Economy!Q13/1000000</f>
        <v/>
      </c>
      <c r="M13" s="68" t="n">
        <v>0</v>
      </c>
      <c r="N13" s="47">
        <f>IF(K13&gt;0,L13*1000000/K13,0)</f>
        <v/>
      </c>
      <c r="O13" s="64">
        <f>IF(AND(M13&gt;0,N12&gt;0,B13&gt;0),MIN(conv_cap,conv_beta*1*M13*MAX(0,LN(B13/(N12*P12)))),0)</f>
        <v/>
      </c>
      <c r="P13" s="65">
        <f>P12*(1+O13)</f>
        <v/>
      </c>
      <c r="Q13" s="47">
        <f>L13*P13</f>
        <v/>
      </c>
      <c r="R13" s="67">
        <f>IF(K13&gt;0,Q13*1000000/K13/Economy!Q13,0)</f>
        <v/>
      </c>
      <c r="S13" s="62">
        <f>People!U13</f>
        <v/>
      </c>
      <c r="T13" s="45" t="n">
        <v>0</v>
      </c>
      <c r="U13" s="68" t="n">
        <v>0</v>
      </c>
      <c r="V13" s="47">
        <f>IF(S13&gt;0,T13*1000000/S13,0)</f>
        <v/>
      </c>
      <c r="W13" s="64">
        <f>IF(AND(U13&gt;0,V12&gt;0,B13&gt;0),MIN(conv_cap,conv_beta*1*U13*MAX(0,LN(B13/(V12*X12)))),0)</f>
        <v/>
      </c>
      <c r="X13" s="65">
        <f>X12*(1+W13)</f>
        <v/>
      </c>
      <c r="Y13" s="47">
        <f>T13*X13</f>
        <v/>
      </c>
      <c r="Z13" s="67">
        <f>IF(S13&gt;0,Y13*1000000/S13/Economy!Q13,0)</f>
        <v/>
      </c>
      <c r="AA13" s="45" t="n">
        <v>0</v>
      </c>
      <c r="AB13" s="45" t="n">
        <v>0</v>
      </c>
      <c r="AC13" s="68" t="n">
        <v>0</v>
      </c>
      <c r="AD13" s="47">
        <f>IF(AA13&gt;0,AB13*1000000/AA13,0)</f>
        <v/>
      </c>
      <c r="AE13" s="64">
        <f>IF(AND(AC13&gt;0,AD12&gt;0,B13&gt;0),MIN(conv_cap,conv_beta*1*AC13*MAX(0,LN(B13/(AD12*AF12)))),0)</f>
        <v/>
      </c>
      <c r="AF13" s="65">
        <f>AF12*(1+AE13)</f>
        <v/>
      </c>
      <c r="AG13" s="47">
        <f>AB13*AF13</f>
        <v/>
      </c>
      <c r="AH13" s="67">
        <f>IF(AA13&gt;0,AG13*1000000/AA13/Economy!Q13,0)</f>
        <v/>
      </c>
      <c r="AI13" s="45" t="n">
        <v>0</v>
      </c>
      <c r="AJ13" s="45" t="n">
        <v>0</v>
      </c>
      <c r="AK13" s="68" t="n">
        <v>0</v>
      </c>
      <c r="AL13" s="47">
        <f>IF(AI13&gt;0,AJ13*1000000/AI13,0)</f>
        <v/>
      </c>
      <c r="AM13" s="64">
        <f>IF(AND(AK13&gt;0,AL12&gt;0,B13&gt;0),MIN(conv_cap,conv_beta*1*AK13*MAX(0,LN(B13/(AL12*AN12)))),0)</f>
        <v/>
      </c>
      <c r="AN13" s="65">
        <f>AN12*(1+AM13)</f>
        <v/>
      </c>
      <c r="AO13" s="47">
        <f>AJ13*AN13</f>
        <v/>
      </c>
      <c r="AP13" s="67">
        <f>IF(AI13&gt;0,AO13*1000000/AI13/Economy!Q13,0)</f>
        <v/>
      </c>
      <c r="AQ13" s="45" t="n">
        <v>0</v>
      </c>
      <c r="AR13" s="45" t="n">
        <v>0</v>
      </c>
      <c r="AS13" s="68" t="n">
        <v>0</v>
      </c>
      <c r="AT13" s="47">
        <f>IF(AQ13&gt;0,AR13*1000000/AQ13,0)</f>
        <v/>
      </c>
      <c r="AU13" s="64">
        <f>IF(AND(AS13&gt;0,AT12&gt;0,B13&gt;0),MIN(conv_cap,conv_beta*1*AS13*MAX(0,LN(B13/(AT12*AV12)))),0)</f>
        <v/>
      </c>
      <c r="AV13" s="65">
        <f>AV12*(1+AU13)</f>
        <v/>
      </c>
      <c r="AW13" s="47">
        <f>AR13*AV13</f>
        <v/>
      </c>
      <c r="AX13" s="67">
        <f>IF(AQ13&gt;0,AW13*1000000/AQ13/Economy!Q13,0)</f>
        <v/>
      </c>
      <c r="AY13" s="45" t="n">
        <v>0</v>
      </c>
      <c r="AZ13" s="45" t="n">
        <v>0</v>
      </c>
      <c r="BA13" s="68" t="n">
        <v>0</v>
      </c>
      <c r="BB13" s="47">
        <f>IF(AY13&gt;0,AZ13*1000000/AY13,0)</f>
        <v/>
      </c>
      <c r="BC13" s="64">
        <f>IF(AND(BA13&gt;0,BB12&gt;0,B13&gt;0),MIN(conv_cap,conv_beta*1*BA13*MAX(0,LN(B13/(BB12*BD12)))),0)</f>
        <v/>
      </c>
      <c r="BD13" s="65">
        <f>BD12*(1+BC13)</f>
        <v/>
      </c>
      <c r="BE13" s="47">
        <f>AZ13*BD13</f>
        <v/>
      </c>
      <c r="BF13" s="67">
        <f>IF(AY13&gt;0,BE13*1000000/AY13/Economy!Q13,0)</f>
        <v/>
      </c>
      <c r="BG13" s="45" t="n">
        <v>0</v>
      </c>
      <c r="BH13" s="45" t="n">
        <v>0</v>
      </c>
      <c r="BI13" s="68" t="n">
        <v>0</v>
      </c>
      <c r="BJ13" s="47">
        <f>IF(BG13&gt;0,BH13*1000000/BG13,0)</f>
        <v/>
      </c>
      <c r="BK13" s="64">
        <f>IF(AND(BI13&gt;0,BJ12&gt;0,B13&gt;0),MIN(conv_cap,conv_beta*1*BI13*MAX(0,LN(B13/(BJ12*BL12)))),0)</f>
        <v/>
      </c>
      <c r="BL13" s="65">
        <f>BL12*(1+BK13)</f>
        <v/>
      </c>
      <c r="BM13" s="47">
        <f>BH13*BL13</f>
        <v/>
      </c>
      <c r="BN13" s="67">
        <f>IF(BG13&gt;0,BM13*1000000/BG13/Economy!Q13,0)</f>
        <v/>
      </c>
      <c r="BO13" s="45" t="n">
        <v>0</v>
      </c>
      <c r="BP13" s="45" t="n">
        <v>0</v>
      </c>
      <c r="BQ13" s="68" t="n">
        <v>0</v>
      </c>
      <c r="BR13" s="47">
        <f>IF(BO13&gt;0,BP13*1000000/BO13,0)</f>
        <v/>
      </c>
      <c r="BS13" s="64">
        <f>IF(AND(BQ13&gt;0,BR12&gt;0,B13&gt;0),MIN(conv_cap,conv_beta*1*BQ13*MAX(0,LN(B13/(BR12*BT12)))),0)</f>
        <v/>
      </c>
      <c r="BT13" s="65">
        <f>BT12*(1+BS13)</f>
        <v/>
      </c>
      <c r="BU13" s="47">
        <f>BP13*BT13</f>
        <v/>
      </c>
      <c r="BV13" s="67">
        <f>IF(BO13&gt;0,BU13*1000000/BO13/Economy!Q13,0)</f>
        <v/>
      </c>
      <c r="BW13" s="65">
        <f>0.25*IF(D13&gt;0,H13,1)+0.15*IF(AJ13&gt;0,AN13,1)+0.03*IF(AR13&gt;0,AV13,1)+0.08*IF(AZ13&gt;0,BD13,1)+0.12*IF(BH13&gt;0,BL13,1)+0.1*IF(L13&gt;0,P13,1)+0.07*IF(T13&gt;0,X13,1)+0.05*IF(AB13&gt;0,AF13,1)+0.05*IF(BP13&gt;0,BT13,1)+0.1</f>
        <v/>
      </c>
      <c r="BX13" s="63">
        <f>MIN(mkt_cap,mkt_elast*MAX(0,BW13-1))</f>
        <v/>
      </c>
      <c r="BY13" s="47">
        <f>I13+Q13+Y13+AG13</f>
        <v/>
      </c>
      <c r="BZ13" s="47">
        <f>D13+L13+T13+AB13</f>
        <v/>
      </c>
      <c r="CA13" s="65">
        <f>IF(BZ13&gt;0,BY13/BZ13,0)</f>
        <v/>
      </c>
    </row>
    <row r="14">
      <c r="A14" s="58" t="n">
        <v>1854</v>
      </c>
      <c r="B14" s="47">
        <f>Economy!P13</f>
        <v/>
      </c>
      <c r="C14" s="45" t="n">
        <v>0</v>
      </c>
      <c r="D14" s="62">
        <f>Japan!B14</f>
        <v/>
      </c>
      <c r="E14" s="68" t="n">
        <v>0</v>
      </c>
      <c r="F14" s="47">
        <f>IF(C14&gt;0,D14*1000000/C14,0)</f>
        <v/>
      </c>
      <c r="G14" s="64">
        <f>IF(AND(E14&gt;0,F13&gt;0,B14&gt;0),MIN(conv_cap,conv_beta*jp_uplift*E14*MAX(0,LN(B14/(F13*H13)))),0)</f>
        <v/>
      </c>
      <c r="H14" s="65">
        <f>H13*(1+G14)</f>
        <v/>
      </c>
      <c r="I14" s="47">
        <f>D14*H14</f>
        <v/>
      </c>
      <c r="J14" s="67">
        <f>IF(C14&gt;0,I14*1000000/C14/Economy!Q14,0)</f>
        <v/>
      </c>
      <c r="K14" s="62">
        <f>Gulf!B14</f>
        <v/>
      </c>
      <c r="L14" s="47">
        <f>Gulf!B14*Gulf!C14*Economy!Q14/1000000</f>
        <v/>
      </c>
      <c r="M14" s="68" t="n">
        <v>0</v>
      </c>
      <c r="N14" s="47">
        <f>IF(K14&gt;0,L14*1000000/K14,0)</f>
        <v/>
      </c>
      <c r="O14" s="64">
        <f>IF(AND(M14&gt;0,N13&gt;0,B14&gt;0),MIN(conv_cap,conv_beta*1*M14*MAX(0,LN(B14/(N13*P13)))),0)</f>
        <v/>
      </c>
      <c r="P14" s="65">
        <f>P13*(1+O14)</f>
        <v/>
      </c>
      <c r="Q14" s="47">
        <f>L14*P14</f>
        <v/>
      </c>
      <c r="R14" s="67">
        <f>IF(K14&gt;0,Q14*1000000/K14/Economy!Q14,0)</f>
        <v/>
      </c>
      <c r="S14" s="62">
        <f>People!U14</f>
        <v/>
      </c>
      <c r="T14" s="45" t="n">
        <v>0</v>
      </c>
      <c r="U14" s="68" t="n">
        <v>0</v>
      </c>
      <c r="V14" s="47">
        <f>IF(S14&gt;0,T14*1000000/S14,0)</f>
        <v/>
      </c>
      <c r="W14" s="64">
        <f>IF(AND(U14&gt;0,V13&gt;0,B14&gt;0),MIN(conv_cap,conv_beta*1*U14*MAX(0,LN(B14/(V13*X13)))),0)</f>
        <v/>
      </c>
      <c r="X14" s="65">
        <f>X13*(1+W14)</f>
        <v/>
      </c>
      <c r="Y14" s="47">
        <f>T14*X14</f>
        <v/>
      </c>
      <c r="Z14" s="67">
        <f>IF(S14&gt;0,Y14*1000000/S14/Economy!Q14,0)</f>
        <v/>
      </c>
      <c r="AA14" s="45" t="n">
        <v>0</v>
      </c>
      <c r="AB14" s="45" t="n">
        <v>0</v>
      </c>
      <c r="AC14" s="68" t="n">
        <v>0</v>
      </c>
      <c r="AD14" s="47">
        <f>IF(AA14&gt;0,AB14*1000000/AA14,0)</f>
        <v/>
      </c>
      <c r="AE14" s="64">
        <f>IF(AND(AC14&gt;0,AD13&gt;0,B14&gt;0),MIN(conv_cap,conv_beta*1*AC14*MAX(0,LN(B14/(AD13*AF13)))),0)</f>
        <v/>
      </c>
      <c r="AF14" s="65">
        <f>AF13*(1+AE14)</f>
        <v/>
      </c>
      <c r="AG14" s="47">
        <f>AB14*AF14</f>
        <v/>
      </c>
      <c r="AH14" s="67">
        <f>IF(AA14&gt;0,AG14*1000000/AA14/Economy!Q14,0)</f>
        <v/>
      </c>
      <c r="AI14" s="45" t="n">
        <v>0</v>
      </c>
      <c r="AJ14" s="45" t="n">
        <v>0</v>
      </c>
      <c r="AK14" s="68" t="n">
        <v>0</v>
      </c>
      <c r="AL14" s="47">
        <f>IF(AI14&gt;0,AJ14*1000000/AI14,0)</f>
        <v/>
      </c>
      <c r="AM14" s="64">
        <f>IF(AND(AK14&gt;0,AL13&gt;0,B14&gt;0),MIN(conv_cap,conv_beta*1*AK14*MAX(0,LN(B14/(AL13*AN13)))),0)</f>
        <v/>
      </c>
      <c r="AN14" s="65">
        <f>AN13*(1+AM14)</f>
        <v/>
      </c>
      <c r="AO14" s="47">
        <f>AJ14*AN14</f>
        <v/>
      </c>
      <c r="AP14" s="67">
        <f>IF(AI14&gt;0,AO14*1000000/AI14/Economy!Q14,0)</f>
        <v/>
      </c>
      <c r="AQ14" s="45" t="n">
        <v>0</v>
      </c>
      <c r="AR14" s="45" t="n">
        <v>0</v>
      </c>
      <c r="AS14" s="68" t="n">
        <v>0</v>
      </c>
      <c r="AT14" s="47">
        <f>IF(AQ14&gt;0,AR14*1000000/AQ14,0)</f>
        <v/>
      </c>
      <c r="AU14" s="64">
        <f>IF(AND(AS14&gt;0,AT13&gt;0,B14&gt;0),MIN(conv_cap,conv_beta*1*AS14*MAX(0,LN(B14/(AT13*AV13)))),0)</f>
        <v/>
      </c>
      <c r="AV14" s="65">
        <f>AV13*(1+AU14)</f>
        <v/>
      </c>
      <c r="AW14" s="47">
        <f>AR14*AV14</f>
        <v/>
      </c>
      <c r="AX14" s="67">
        <f>IF(AQ14&gt;0,AW14*1000000/AQ14/Economy!Q14,0)</f>
        <v/>
      </c>
      <c r="AY14" s="45" t="n">
        <v>0</v>
      </c>
      <c r="AZ14" s="45" t="n">
        <v>0</v>
      </c>
      <c r="BA14" s="68" t="n">
        <v>0</v>
      </c>
      <c r="BB14" s="47">
        <f>IF(AY14&gt;0,AZ14*1000000/AY14,0)</f>
        <v/>
      </c>
      <c r="BC14" s="64">
        <f>IF(AND(BA14&gt;0,BB13&gt;0,B14&gt;0),MIN(conv_cap,conv_beta*1*BA14*MAX(0,LN(B14/(BB13*BD13)))),0)</f>
        <v/>
      </c>
      <c r="BD14" s="65">
        <f>BD13*(1+BC14)</f>
        <v/>
      </c>
      <c r="BE14" s="47">
        <f>AZ14*BD14</f>
        <v/>
      </c>
      <c r="BF14" s="67">
        <f>IF(AY14&gt;0,BE14*1000000/AY14/Economy!Q14,0)</f>
        <v/>
      </c>
      <c r="BG14" s="45" t="n">
        <v>0</v>
      </c>
      <c r="BH14" s="45" t="n">
        <v>0</v>
      </c>
      <c r="BI14" s="68" t="n">
        <v>0</v>
      </c>
      <c r="BJ14" s="47">
        <f>IF(BG14&gt;0,BH14*1000000/BG14,0)</f>
        <v/>
      </c>
      <c r="BK14" s="64">
        <f>IF(AND(BI14&gt;0,BJ13&gt;0,B14&gt;0),MIN(conv_cap,conv_beta*1*BI14*MAX(0,LN(B14/(BJ13*BL13)))),0)</f>
        <v/>
      </c>
      <c r="BL14" s="65">
        <f>BL13*(1+BK14)</f>
        <v/>
      </c>
      <c r="BM14" s="47">
        <f>BH14*BL14</f>
        <v/>
      </c>
      <c r="BN14" s="67">
        <f>IF(BG14&gt;0,BM14*1000000/BG14/Economy!Q14,0)</f>
        <v/>
      </c>
      <c r="BO14" s="45" t="n">
        <v>0</v>
      </c>
      <c r="BP14" s="45" t="n">
        <v>0</v>
      </c>
      <c r="BQ14" s="68" t="n">
        <v>0</v>
      </c>
      <c r="BR14" s="47">
        <f>IF(BO14&gt;0,BP14*1000000/BO14,0)</f>
        <v/>
      </c>
      <c r="BS14" s="64">
        <f>IF(AND(BQ14&gt;0,BR13&gt;0,B14&gt;0),MIN(conv_cap,conv_beta*1*BQ14*MAX(0,LN(B14/(BR13*BT13)))),0)</f>
        <v/>
      </c>
      <c r="BT14" s="65">
        <f>BT13*(1+BS14)</f>
        <v/>
      </c>
      <c r="BU14" s="47">
        <f>BP14*BT14</f>
        <v/>
      </c>
      <c r="BV14" s="67">
        <f>IF(BO14&gt;0,BU14*1000000/BO14/Economy!Q14,0)</f>
        <v/>
      </c>
      <c r="BW14" s="65">
        <f>0.25*IF(D14&gt;0,H14,1)+0.15*IF(AJ14&gt;0,AN14,1)+0.03*IF(AR14&gt;0,AV14,1)+0.08*IF(AZ14&gt;0,BD14,1)+0.12*IF(BH14&gt;0,BL14,1)+0.1*IF(L14&gt;0,P14,1)+0.07*IF(T14&gt;0,X14,1)+0.05*IF(AB14&gt;0,AF14,1)+0.05*IF(BP14&gt;0,BT14,1)+0.1</f>
        <v/>
      </c>
      <c r="BX14" s="63">
        <f>MIN(mkt_cap,mkt_elast*MAX(0,BW14-1))</f>
        <v/>
      </c>
      <c r="BY14" s="47">
        <f>I14+Q14+Y14+AG14</f>
        <v/>
      </c>
      <c r="BZ14" s="47">
        <f>D14+L14+T14+AB14</f>
        <v/>
      </c>
      <c r="CA14" s="65">
        <f>IF(BZ14&gt;0,BY14/BZ14,0)</f>
        <v/>
      </c>
    </row>
    <row r="15">
      <c r="A15" s="58" t="n">
        <v>1855</v>
      </c>
      <c r="B15" s="47">
        <f>Economy!P14</f>
        <v/>
      </c>
      <c r="C15" s="45" t="n">
        <v>0</v>
      </c>
      <c r="D15" s="62">
        <f>Japan!B15</f>
        <v/>
      </c>
      <c r="E15" s="68" t="n">
        <v>0</v>
      </c>
      <c r="F15" s="47">
        <f>IF(C15&gt;0,D15*1000000/C15,0)</f>
        <v/>
      </c>
      <c r="G15" s="64">
        <f>IF(AND(E15&gt;0,F14&gt;0,B15&gt;0),MIN(conv_cap,conv_beta*jp_uplift*E15*MAX(0,LN(B15/(F14*H14)))),0)</f>
        <v/>
      </c>
      <c r="H15" s="65">
        <f>H14*(1+G15)</f>
        <v/>
      </c>
      <c r="I15" s="47">
        <f>D15*H15</f>
        <v/>
      </c>
      <c r="J15" s="67">
        <f>IF(C15&gt;0,I15*1000000/C15/Economy!Q15,0)</f>
        <v/>
      </c>
      <c r="K15" s="62">
        <f>Gulf!B15</f>
        <v/>
      </c>
      <c r="L15" s="47">
        <f>Gulf!B15*Gulf!C15*Economy!Q15/1000000</f>
        <v/>
      </c>
      <c r="M15" s="68" t="n">
        <v>0</v>
      </c>
      <c r="N15" s="47">
        <f>IF(K15&gt;0,L15*1000000/K15,0)</f>
        <v/>
      </c>
      <c r="O15" s="64">
        <f>IF(AND(M15&gt;0,N14&gt;0,B15&gt;0),MIN(conv_cap,conv_beta*1*M15*MAX(0,LN(B15/(N14*P14)))),0)</f>
        <v/>
      </c>
      <c r="P15" s="65">
        <f>P14*(1+O15)</f>
        <v/>
      </c>
      <c r="Q15" s="47">
        <f>L15*P15</f>
        <v/>
      </c>
      <c r="R15" s="67">
        <f>IF(K15&gt;0,Q15*1000000/K15/Economy!Q15,0)</f>
        <v/>
      </c>
      <c r="S15" s="62">
        <f>People!U15</f>
        <v/>
      </c>
      <c r="T15" s="45" t="n">
        <v>0</v>
      </c>
      <c r="U15" s="68" t="n">
        <v>0</v>
      </c>
      <c r="V15" s="47">
        <f>IF(S15&gt;0,T15*1000000/S15,0)</f>
        <v/>
      </c>
      <c r="W15" s="64">
        <f>IF(AND(U15&gt;0,V14&gt;0,B15&gt;0),MIN(conv_cap,conv_beta*1*U15*MAX(0,LN(B15/(V14*X14)))),0)</f>
        <v/>
      </c>
      <c r="X15" s="65">
        <f>X14*(1+W15)</f>
        <v/>
      </c>
      <c r="Y15" s="47">
        <f>T15*X15</f>
        <v/>
      </c>
      <c r="Z15" s="67">
        <f>IF(S15&gt;0,Y15*1000000/S15/Economy!Q15,0)</f>
        <v/>
      </c>
      <c r="AA15" s="45" t="n">
        <v>0</v>
      </c>
      <c r="AB15" s="45" t="n">
        <v>0</v>
      </c>
      <c r="AC15" s="68" t="n">
        <v>0</v>
      </c>
      <c r="AD15" s="47">
        <f>IF(AA15&gt;0,AB15*1000000/AA15,0)</f>
        <v/>
      </c>
      <c r="AE15" s="64">
        <f>IF(AND(AC15&gt;0,AD14&gt;0,B15&gt;0),MIN(conv_cap,conv_beta*1*AC15*MAX(0,LN(B15/(AD14*AF14)))),0)</f>
        <v/>
      </c>
      <c r="AF15" s="65">
        <f>AF14*(1+AE15)</f>
        <v/>
      </c>
      <c r="AG15" s="47">
        <f>AB15*AF15</f>
        <v/>
      </c>
      <c r="AH15" s="67">
        <f>IF(AA15&gt;0,AG15*1000000/AA15/Economy!Q15,0)</f>
        <v/>
      </c>
      <c r="AI15" s="45" t="n">
        <v>0</v>
      </c>
      <c r="AJ15" s="45" t="n">
        <v>0</v>
      </c>
      <c r="AK15" s="68" t="n">
        <v>0</v>
      </c>
      <c r="AL15" s="47">
        <f>IF(AI15&gt;0,AJ15*1000000/AI15,0)</f>
        <v/>
      </c>
      <c r="AM15" s="64">
        <f>IF(AND(AK15&gt;0,AL14&gt;0,B15&gt;0),MIN(conv_cap,conv_beta*1*AK15*MAX(0,LN(B15/(AL14*AN14)))),0)</f>
        <v/>
      </c>
      <c r="AN15" s="65">
        <f>AN14*(1+AM15)</f>
        <v/>
      </c>
      <c r="AO15" s="47">
        <f>AJ15*AN15</f>
        <v/>
      </c>
      <c r="AP15" s="67">
        <f>IF(AI15&gt;0,AO15*1000000/AI15/Economy!Q15,0)</f>
        <v/>
      </c>
      <c r="AQ15" s="45" t="n">
        <v>0</v>
      </c>
      <c r="AR15" s="45" t="n">
        <v>0</v>
      </c>
      <c r="AS15" s="68" t="n">
        <v>0</v>
      </c>
      <c r="AT15" s="47">
        <f>IF(AQ15&gt;0,AR15*1000000/AQ15,0)</f>
        <v/>
      </c>
      <c r="AU15" s="64">
        <f>IF(AND(AS15&gt;0,AT14&gt;0,B15&gt;0),MIN(conv_cap,conv_beta*1*AS15*MAX(0,LN(B15/(AT14*AV14)))),0)</f>
        <v/>
      </c>
      <c r="AV15" s="65">
        <f>AV14*(1+AU15)</f>
        <v/>
      </c>
      <c r="AW15" s="47">
        <f>AR15*AV15</f>
        <v/>
      </c>
      <c r="AX15" s="67">
        <f>IF(AQ15&gt;0,AW15*1000000/AQ15/Economy!Q15,0)</f>
        <v/>
      </c>
      <c r="AY15" s="45" t="n">
        <v>0</v>
      </c>
      <c r="AZ15" s="45" t="n">
        <v>0</v>
      </c>
      <c r="BA15" s="68" t="n">
        <v>0</v>
      </c>
      <c r="BB15" s="47">
        <f>IF(AY15&gt;0,AZ15*1000000/AY15,0)</f>
        <v/>
      </c>
      <c r="BC15" s="64">
        <f>IF(AND(BA15&gt;0,BB14&gt;0,B15&gt;0),MIN(conv_cap,conv_beta*1*BA15*MAX(0,LN(B15/(BB14*BD14)))),0)</f>
        <v/>
      </c>
      <c r="BD15" s="65">
        <f>BD14*(1+BC15)</f>
        <v/>
      </c>
      <c r="BE15" s="47">
        <f>AZ15*BD15</f>
        <v/>
      </c>
      <c r="BF15" s="67">
        <f>IF(AY15&gt;0,BE15*1000000/AY15/Economy!Q15,0)</f>
        <v/>
      </c>
      <c r="BG15" s="45" t="n">
        <v>0</v>
      </c>
      <c r="BH15" s="45" t="n">
        <v>0</v>
      </c>
      <c r="BI15" s="68" t="n">
        <v>0</v>
      </c>
      <c r="BJ15" s="47">
        <f>IF(BG15&gt;0,BH15*1000000/BG15,0)</f>
        <v/>
      </c>
      <c r="BK15" s="64">
        <f>IF(AND(BI15&gt;0,BJ14&gt;0,B15&gt;0),MIN(conv_cap,conv_beta*1*BI15*MAX(0,LN(B15/(BJ14*BL14)))),0)</f>
        <v/>
      </c>
      <c r="BL15" s="65">
        <f>BL14*(1+BK15)</f>
        <v/>
      </c>
      <c r="BM15" s="47">
        <f>BH15*BL15</f>
        <v/>
      </c>
      <c r="BN15" s="67">
        <f>IF(BG15&gt;0,BM15*1000000/BG15/Economy!Q15,0)</f>
        <v/>
      </c>
      <c r="BO15" s="45" t="n">
        <v>0</v>
      </c>
      <c r="BP15" s="45" t="n">
        <v>0</v>
      </c>
      <c r="BQ15" s="68" t="n">
        <v>0</v>
      </c>
      <c r="BR15" s="47">
        <f>IF(BO15&gt;0,BP15*1000000/BO15,0)</f>
        <v/>
      </c>
      <c r="BS15" s="64">
        <f>IF(AND(BQ15&gt;0,BR14&gt;0,B15&gt;0),MIN(conv_cap,conv_beta*1*BQ15*MAX(0,LN(B15/(BR14*BT14)))),0)</f>
        <v/>
      </c>
      <c r="BT15" s="65">
        <f>BT14*(1+BS15)</f>
        <v/>
      </c>
      <c r="BU15" s="47">
        <f>BP15*BT15</f>
        <v/>
      </c>
      <c r="BV15" s="67">
        <f>IF(BO15&gt;0,BU15*1000000/BO15/Economy!Q15,0)</f>
        <v/>
      </c>
      <c r="BW15" s="65">
        <f>0.25*IF(D15&gt;0,H15,1)+0.15*IF(AJ15&gt;0,AN15,1)+0.03*IF(AR15&gt;0,AV15,1)+0.08*IF(AZ15&gt;0,BD15,1)+0.12*IF(BH15&gt;0,BL15,1)+0.1*IF(L15&gt;0,P15,1)+0.07*IF(T15&gt;0,X15,1)+0.05*IF(AB15&gt;0,AF15,1)+0.05*IF(BP15&gt;0,BT15,1)+0.1</f>
        <v/>
      </c>
      <c r="BX15" s="63">
        <f>MIN(mkt_cap,mkt_elast*MAX(0,BW15-1))</f>
        <v/>
      </c>
      <c r="BY15" s="47">
        <f>I15+Q15+Y15+AG15</f>
        <v/>
      </c>
      <c r="BZ15" s="47">
        <f>D15+L15+T15+AB15</f>
        <v/>
      </c>
      <c r="CA15" s="65">
        <f>IF(BZ15&gt;0,BY15/BZ15,0)</f>
        <v/>
      </c>
    </row>
    <row r="16">
      <c r="A16" s="58" t="n">
        <v>1856</v>
      </c>
      <c r="B16" s="47">
        <f>Economy!P15</f>
        <v/>
      </c>
      <c r="C16" s="45" t="n">
        <v>0</v>
      </c>
      <c r="D16" s="62">
        <f>Japan!B16</f>
        <v/>
      </c>
      <c r="E16" s="68" t="n">
        <v>0</v>
      </c>
      <c r="F16" s="47">
        <f>IF(C16&gt;0,D16*1000000/C16,0)</f>
        <v/>
      </c>
      <c r="G16" s="64">
        <f>IF(AND(E16&gt;0,F15&gt;0,B16&gt;0),MIN(conv_cap,conv_beta*jp_uplift*E16*MAX(0,LN(B16/(F15*H15)))),0)</f>
        <v/>
      </c>
      <c r="H16" s="65">
        <f>H15*(1+G16)</f>
        <v/>
      </c>
      <c r="I16" s="47">
        <f>D16*H16</f>
        <v/>
      </c>
      <c r="J16" s="67">
        <f>IF(C16&gt;0,I16*1000000/C16/Economy!Q16,0)</f>
        <v/>
      </c>
      <c r="K16" s="62">
        <f>Gulf!B16</f>
        <v/>
      </c>
      <c r="L16" s="47">
        <f>Gulf!B16*Gulf!C16*Economy!Q16/1000000</f>
        <v/>
      </c>
      <c r="M16" s="68" t="n">
        <v>0</v>
      </c>
      <c r="N16" s="47">
        <f>IF(K16&gt;0,L16*1000000/K16,0)</f>
        <v/>
      </c>
      <c r="O16" s="64">
        <f>IF(AND(M16&gt;0,N15&gt;0,B16&gt;0),MIN(conv_cap,conv_beta*1*M16*MAX(0,LN(B16/(N15*P15)))),0)</f>
        <v/>
      </c>
      <c r="P16" s="65">
        <f>P15*(1+O16)</f>
        <v/>
      </c>
      <c r="Q16" s="47">
        <f>L16*P16</f>
        <v/>
      </c>
      <c r="R16" s="67">
        <f>IF(K16&gt;0,Q16*1000000/K16/Economy!Q16,0)</f>
        <v/>
      </c>
      <c r="S16" s="62">
        <f>People!U16</f>
        <v/>
      </c>
      <c r="T16" s="45" t="n">
        <v>0</v>
      </c>
      <c r="U16" s="68" t="n">
        <v>0</v>
      </c>
      <c r="V16" s="47">
        <f>IF(S16&gt;0,T16*1000000/S16,0)</f>
        <v/>
      </c>
      <c r="W16" s="64">
        <f>IF(AND(U16&gt;0,V15&gt;0,B16&gt;0),MIN(conv_cap,conv_beta*1*U16*MAX(0,LN(B16/(V15*X15)))),0)</f>
        <v/>
      </c>
      <c r="X16" s="65">
        <f>X15*(1+W16)</f>
        <v/>
      </c>
      <c r="Y16" s="47">
        <f>T16*X16</f>
        <v/>
      </c>
      <c r="Z16" s="67">
        <f>IF(S16&gt;0,Y16*1000000/S16/Economy!Q16,0)</f>
        <v/>
      </c>
      <c r="AA16" s="45" t="n">
        <v>0</v>
      </c>
      <c r="AB16" s="45" t="n">
        <v>0</v>
      </c>
      <c r="AC16" s="68" t="n">
        <v>0</v>
      </c>
      <c r="AD16" s="47">
        <f>IF(AA16&gt;0,AB16*1000000/AA16,0)</f>
        <v/>
      </c>
      <c r="AE16" s="64">
        <f>IF(AND(AC16&gt;0,AD15&gt;0,B16&gt;0),MIN(conv_cap,conv_beta*1*AC16*MAX(0,LN(B16/(AD15*AF15)))),0)</f>
        <v/>
      </c>
      <c r="AF16" s="65">
        <f>AF15*(1+AE16)</f>
        <v/>
      </c>
      <c r="AG16" s="47">
        <f>AB16*AF16</f>
        <v/>
      </c>
      <c r="AH16" s="67">
        <f>IF(AA16&gt;0,AG16*1000000/AA16/Economy!Q16,0)</f>
        <v/>
      </c>
      <c r="AI16" s="45" t="n">
        <v>0</v>
      </c>
      <c r="AJ16" s="45" t="n">
        <v>0</v>
      </c>
      <c r="AK16" s="68" t="n">
        <v>0</v>
      </c>
      <c r="AL16" s="47">
        <f>IF(AI16&gt;0,AJ16*1000000/AI16,0)</f>
        <v/>
      </c>
      <c r="AM16" s="64">
        <f>IF(AND(AK16&gt;0,AL15&gt;0,B16&gt;0),MIN(conv_cap,conv_beta*1*AK16*MAX(0,LN(B16/(AL15*AN15)))),0)</f>
        <v/>
      </c>
      <c r="AN16" s="65">
        <f>AN15*(1+AM16)</f>
        <v/>
      </c>
      <c r="AO16" s="47">
        <f>AJ16*AN16</f>
        <v/>
      </c>
      <c r="AP16" s="67">
        <f>IF(AI16&gt;0,AO16*1000000/AI16/Economy!Q16,0)</f>
        <v/>
      </c>
      <c r="AQ16" s="45" t="n">
        <v>0</v>
      </c>
      <c r="AR16" s="45" t="n">
        <v>0</v>
      </c>
      <c r="AS16" s="68" t="n">
        <v>0</v>
      </c>
      <c r="AT16" s="47">
        <f>IF(AQ16&gt;0,AR16*1000000/AQ16,0)</f>
        <v/>
      </c>
      <c r="AU16" s="64">
        <f>IF(AND(AS16&gt;0,AT15&gt;0,B16&gt;0),MIN(conv_cap,conv_beta*1*AS16*MAX(0,LN(B16/(AT15*AV15)))),0)</f>
        <v/>
      </c>
      <c r="AV16" s="65">
        <f>AV15*(1+AU16)</f>
        <v/>
      </c>
      <c r="AW16" s="47">
        <f>AR16*AV16</f>
        <v/>
      </c>
      <c r="AX16" s="67">
        <f>IF(AQ16&gt;0,AW16*1000000/AQ16/Economy!Q16,0)</f>
        <v/>
      </c>
      <c r="AY16" s="45" t="n">
        <v>0</v>
      </c>
      <c r="AZ16" s="45" t="n">
        <v>0</v>
      </c>
      <c r="BA16" s="68" t="n">
        <v>0</v>
      </c>
      <c r="BB16" s="47">
        <f>IF(AY16&gt;0,AZ16*1000000/AY16,0)</f>
        <v/>
      </c>
      <c r="BC16" s="64">
        <f>IF(AND(BA16&gt;0,BB15&gt;0,B16&gt;0),MIN(conv_cap,conv_beta*1*BA16*MAX(0,LN(B16/(BB15*BD15)))),0)</f>
        <v/>
      </c>
      <c r="BD16" s="65">
        <f>BD15*(1+BC16)</f>
        <v/>
      </c>
      <c r="BE16" s="47">
        <f>AZ16*BD16</f>
        <v/>
      </c>
      <c r="BF16" s="67">
        <f>IF(AY16&gt;0,BE16*1000000/AY16/Economy!Q16,0)</f>
        <v/>
      </c>
      <c r="BG16" s="45" t="n">
        <v>0</v>
      </c>
      <c r="BH16" s="45" t="n">
        <v>0</v>
      </c>
      <c r="BI16" s="68" t="n">
        <v>0</v>
      </c>
      <c r="BJ16" s="47">
        <f>IF(BG16&gt;0,BH16*1000000/BG16,0)</f>
        <v/>
      </c>
      <c r="BK16" s="64">
        <f>IF(AND(BI16&gt;0,BJ15&gt;0,B16&gt;0),MIN(conv_cap,conv_beta*1*BI16*MAX(0,LN(B16/(BJ15*BL15)))),0)</f>
        <v/>
      </c>
      <c r="BL16" s="65">
        <f>BL15*(1+BK16)</f>
        <v/>
      </c>
      <c r="BM16" s="47">
        <f>BH16*BL16</f>
        <v/>
      </c>
      <c r="BN16" s="67">
        <f>IF(BG16&gt;0,BM16*1000000/BG16/Economy!Q16,0)</f>
        <v/>
      </c>
      <c r="BO16" s="45" t="n">
        <v>0</v>
      </c>
      <c r="BP16" s="45" t="n">
        <v>0</v>
      </c>
      <c r="BQ16" s="68" t="n">
        <v>0</v>
      </c>
      <c r="BR16" s="47">
        <f>IF(BO16&gt;0,BP16*1000000/BO16,0)</f>
        <v/>
      </c>
      <c r="BS16" s="64">
        <f>IF(AND(BQ16&gt;0,BR15&gt;0,B16&gt;0),MIN(conv_cap,conv_beta*1*BQ16*MAX(0,LN(B16/(BR15*BT15)))),0)</f>
        <v/>
      </c>
      <c r="BT16" s="65">
        <f>BT15*(1+BS16)</f>
        <v/>
      </c>
      <c r="BU16" s="47">
        <f>BP16*BT16</f>
        <v/>
      </c>
      <c r="BV16" s="67">
        <f>IF(BO16&gt;0,BU16*1000000/BO16/Economy!Q16,0)</f>
        <v/>
      </c>
      <c r="BW16" s="65">
        <f>0.25*IF(D16&gt;0,H16,1)+0.15*IF(AJ16&gt;0,AN16,1)+0.03*IF(AR16&gt;0,AV16,1)+0.08*IF(AZ16&gt;0,BD16,1)+0.12*IF(BH16&gt;0,BL16,1)+0.1*IF(L16&gt;0,P16,1)+0.07*IF(T16&gt;0,X16,1)+0.05*IF(AB16&gt;0,AF16,1)+0.05*IF(BP16&gt;0,BT16,1)+0.1</f>
        <v/>
      </c>
      <c r="BX16" s="63">
        <f>MIN(mkt_cap,mkt_elast*MAX(0,BW16-1))</f>
        <v/>
      </c>
      <c r="BY16" s="47">
        <f>I16+Q16+Y16+AG16</f>
        <v/>
      </c>
      <c r="BZ16" s="47">
        <f>D16+L16+T16+AB16</f>
        <v/>
      </c>
      <c r="CA16" s="65">
        <f>IF(BZ16&gt;0,BY16/BZ16,0)</f>
        <v/>
      </c>
    </row>
    <row r="17">
      <c r="A17" s="58" t="n">
        <v>1857</v>
      </c>
      <c r="B17" s="47">
        <f>Economy!P16</f>
        <v/>
      </c>
      <c r="C17" s="45" t="n">
        <v>0</v>
      </c>
      <c r="D17" s="62">
        <f>Japan!B17</f>
        <v/>
      </c>
      <c r="E17" s="68" t="n">
        <v>0</v>
      </c>
      <c r="F17" s="47">
        <f>IF(C17&gt;0,D17*1000000/C17,0)</f>
        <v/>
      </c>
      <c r="G17" s="64">
        <f>IF(AND(E17&gt;0,F16&gt;0,B17&gt;0),MIN(conv_cap,conv_beta*jp_uplift*E17*MAX(0,LN(B17/(F16*H16)))),0)</f>
        <v/>
      </c>
      <c r="H17" s="65">
        <f>H16*(1+G17)</f>
        <v/>
      </c>
      <c r="I17" s="47">
        <f>D17*H17</f>
        <v/>
      </c>
      <c r="J17" s="67">
        <f>IF(C17&gt;0,I17*1000000/C17/Economy!Q17,0)</f>
        <v/>
      </c>
      <c r="K17" s="62">
        <f>Gulf!B17</f>
        <v/>
      </c>
      <c r="L17" s="47">
        <f>Gulf!B17*Gulf!C17*Economy!Q17/1000000</f>
        <v/>
      </c>
      <c r="M17" s="68" t="n">
        <v>0</v>
      </c>
      <c r="N17" s="47">
        <f>IF(K17&gt;0,L17*1000000/K17,0)</f>
        <v/>
      </c>
      <c r="O17" s="64">
        <f>IF(AND(M17&gt;0,N16&gt;0,B17&gt;0),MIN(conv_cap,conv_beta*1*M17*MAX(0,LN(B17/(N16*P16)))),0)</f>
        <v/>
      </c>
      <c r="P17" s="65">
        <f>P16*(1+O17)</f>
        <v/>
      </c>
      <c r="Q17" s="47">
        <f>L17*P17</f>
        <v/>
      </c>
      <c r="R17" s="67">
        <f>IF(K17&gt;0,Q17*1000000/K17/Economy!Q17,0)</f>
        <v/>
      </c>
      <c r="S17" s="62">
        <f>People!U17</f>
        <v/>
      </c>
      <c r="T17" s="45" t="n">
        <v>0</v>
      </c>
      <c r="U17" s="68" t="n">
        <v>0</v>
      </c>
      <c r="V17" s="47">
        <f>IF(S17&gt;0,T17*1000000/S17,0)</f>
        <v/>
      </c>
      <c r="W17" s="64">
        <f>IF(AND(U17&gt;0,V16&gt;0,B17&gt;0),MIN(conv_cap,conv_beta*1*U17*MAX(0,LN(B17/(V16*X16)))),0)</f>
        <v/>
      </c>
      <c r="X17" s="65">
        <f>X16*(1+W17)</f>
        <v/>
      </c>
      <c r="Y17" s="47">
        <f>T17*X17</f>
        <v/>
      </c>
      <c r="Z17" s="67">
        <f>IF(S17&gt;0,Y17*1000000/S17/Economy!Q17,0)</f>
        <v/>
      </c>
      <c r="AA17" s="45" t="n">
        <v>0</v>
      </c>
      <c r="AB17" s="45" t="n">
        <v>0</v>
      </c>
      <c r="AC17" s="68" t="n">
        <v>0</v>
      </c>
      <c r="AD17" s="47">
        <f>IF(AA17&gt;0,AB17*1000000/AA17,0)</f>
        <v/>
      </c>
      <c r="AE17" s="64">
        <f>IF(AND(AC17&gt;0,AD16&gt;0,B17&gt;0),MIN(conv_cap,conv_beta*1*AC17*MAX(0,LN(B17/(AD16*AF16)))),0)</f>
        <v/>
      </c>
      <c r="AF17" s="65">
        <f>AF16*(1+AE17)</f>
        <v/>
      </c>
      <c r="AG17" s="47">
        <f>AB17*AF17</f>
        <v/>
      </c>
      <c r="AH17" s="67">
        <f>IF(AA17&gt;0,AG17*1000000/AA17/Economy!Q17,0)</f>
        <v/>
      </c>
      <c r="AI17" s="45" t="n">
        <v>0</v>
      </c>
      <c r="AJ17" s="45" t="n">
        <v>0</v>
      </c>
      <c r="AK17" s="68" t="n">
        <v>0</v>
      </c>
      <c r="AL17" s="47">
        <f>IF(AI17&gt;0,AJ17*1000000/AI17,0)</f>
        <v/>
      </c>
      <c r="AM17" s="64">
        <f>IF(AND(AK17&gt;0,AL16&gt;0,B17&gt;0),MIN(conv_cap,conv_beta*1*AK17*MAX(0,LN(B17/(AL16*AN16)))),0)</f>
        <v/>
      </c>
      <c r="AN17" s="65">
        <f>AN16*(1+AM17)</f>
        <v/>
      </c>
      <c r="AO17" s="47">
        <f>AJ17*AN17</f>
        <v/>
      </c>
      <c r="AP17" s="67">
        <f>IF(AI17&gt;0,AO17*1000000/AI17/Economy!Q17,0)</f>
        <v/>
      </c>
      <c r="AQ17" s="45" t="n">
        <v>0</v>
      </c>
      <c r="AR17" s="45" t="n">
        <v>0</v>
      </c>
      <c r="AS17" s="68" t="n">
        <v>0</v>
      </c>
      <c r="AT17" s="47">
        <f>IF(AQ17&gt;0,AR17*1000000/AQ17,0)</f>
        <v/>
      </c>
      <c r="AU17" s="64">
        <f>IF(AND(AS17&gt;0,AT16&gt;0,B17&gt;0),MIN(conv_cap,conv_beta*1*AS17*MAX(0,LN(B17/(AT16*AV16)))),0)</f>
        <v/>
      </c>
      <c r="AV17" s="65">
        <f>AV16*(1+AU17)</f>
        <v/>
      </c>
      <c r="AW17" s="47">
        <f>AR17*AV17</f>
        <v/>
      </c>
      <c r="AX17" s="67">
        <f>IF(AQ17&gt;0,AW17*1000000/AQ17/Economy!Q17,0)</f>
        <v/>
      </c>
      <c r="AY17" s="45" t="n">
        <v>0</v>
      </c>
      <c r="AZ17" s="45" t="n">
        <v>0</v>
      </c>
      <c r="BA17" s="68" t="n">
        <v>0</v>
      </c>
      <c r="BB17" s="47">
        <f>IF(AY17&gt;0,AZ17*1000000/AY17,0)</f>
        <v/>
      </c>
      <c r="BC17" s="64">
        <f>IF(AND(BA17&gt;0,BB16&gt;0,B17&gt;0),MIN(conv_cap,conv_beta*1*BA17*MAX(0,LN(B17/(BB16*BD16)))),0)</f>
        <v/>
      </c>
      <c r="BD17" s="65">
        <f>BD16*(1+BC17)</f>
        <v/>
      </c>
      <c r="BE17" s="47">
        <f>AZ17*BD17</f>
        <v/>
      </c>
      <c r="BF17" s="67">
        <f>IF(AY17&gt;0,BE17*1000000/AY17/Economy!Q17,0)</f>
        <v/>
      </c>
      <c r="BG17" s="45" t="n">
        <v>0</v>
      </c>
      <c r="BH17" s="45" t="n">
        <v>0</v>
      </c>
      <c r="BI17" s="68" t="n">
        <v>0</v>
      </c>
      <c r="BJ17" s="47">
        <f>IF(BG17&gt;0,BH17*1000000/BG17,0)</f>
        <v/>
      </c>
      <c r="BK17" s="64">
        <f>IF(AND(BI17&gt;0,BJ16&gt;0,B17&gt;0),MIN(conv_cap,conv_beta*1*BI17*MAX(0,LN(B17/(BJ16*BL16)))),0)</f>
        <v/>
      </c>
      <c r="BL17" s="65">
        <f>BL16*(1+BK17)</f>
        <v/>
      </c>
      <c r="BM17" s="47">
        <f>BH17*BL17</f>
        <v/>
      </c>
      <c r="BN17" s="67">
        <f>IF(BG17&gt;0,BM17*1000000/BG17/Economy!Q17,0)</f>
        <v/>
      </c>
      <c r="BO17" s="45" t="n">
        <v>0</v>
      </c>
      <c r="BP17" s="45" t="n">
        <v>0</v>
      </c>
      <c r="BQ17" s="68" t="n">
        <v>0</v>
      </c>
      <c r="BR17" s="47">
        <f>IF(BO17&gt;0,BP17*1000000/BO17,0)</f>
        <v/>
      </c>
      <c r="BS17" s="64">
        <f>IF(AND(BQ17&gt;0,BR16&gt;0,B17&gt;0),MIN(conv_cap,conv_beta*1*BQ17*MAX(0,LN(B17/(BR16*BT16)))),0)</f>
        <v/>
      </c>
      <c r="BT17" s="65">
        <f>BT16*(1+BS17)</f>
        <v/>
      </c>
      <c r="BU17" s="47">
        <f>BP17*BT17</f>
        <v/>
      </c>
      <c r="BV17" s="67">
        <f>IF(BO17&gt;0,BU17*1000000/BO17/Economy!Q17,0)</f>
        <v/>
      </c>
      <c r="BW17" s="65">
        <f>0.25*IF(D17&gt;0,H17,1)+0.15*IF(AJ17&gt;0,AN17,1)+0.03*IF(AR17&gt;0,AV17,1)+0.08*IF(AZ17&gt;0,BD17,1)+0.12*IF(BH17&gt;0,BL17,1)+0.1*IF(L17&gt;0,P17,1)+0.07*IF(T17&gt;0,X17,1)+0.05*IF(AB17&gt;0,AF17,1)+0.05*IF(BP17&gt;0,BT17,1)+0.1</f>
        <v/>
      </c>
      <c r="BX17" s="63">
        <f>MIN(mkt_cap,mkt_elast*MAX(0,BW17-1))</f>
        <v/>
      </c>
      <c r="BY17" s="47">
        <f>I17+Q17+Y17+AG17</f>
        <v/>
      </c>
      <c r="BZ17" s="47">
        <f>D17+L17+T17+AB17</f>
        <v/>
      </c>
      <c r="CA17" s="65">
        <f>IF(BZ17&gt;0,BY17/BZ17,0)</f>
        <v/>
      </c>
    </row>
    <row r="18">
      <c r="A18" s="58" t="n">
        <v>1858</v>
      </c>
      <c r="B18" s="47">
        <f>Economy!P17</f>
        <v/>
      </c>
      <c r="C18" s="45" t="n">
        <v>0</v>
      </c>
      <c r="D18" s="62">
        <f>Japan!B18</f>
        <v/>
      </c>
      <c r="E18" s="68" t="n">
        <v>0.1</v>
      </c>
      <c r="F18" s="47">
        <f>IF(C18&gt;0,D18*1000000/C18,0)</f>
        <v/>
      </c>
      <c r="G18" s="64">
        <f>IF(AND(E18&gt;0,F17&gt;0,B18&gt;0),MIN(conv_cap,conv_beta*jp_uplift*E18*MAX(0,LN(B18/(F17*H17)))),0)</f>
        <v/>
      </c>
      <c r="H18" s="65">
        <f>H17*(1+G18)</f>
        <v/>
      </c>
      <c r="I18" s="47">
        <f>D18*H18</f>
        <v/>
      </c>
      <c r="J18" s="67">
        <f>IF(C18&gt;0,I18*1000000/C18/Economy!Q18,0)</f>
        <v/>
      </c>
      <c r="K18" s="62">
        <f>Gulf!B18</f>
        <v/>
      </c>
      <c r="L18" s="47">
        <f>Gulf!B18*Gulf!C18*Economy!Q18/1000000</f>
        <v/>
      </c>
      <c r="M18" s="68" t="n">
        <v>0</v>
      </c>
      <c r="N18" s="47">
        <f>IF(K18&gt;0,L18*1000000/K18,0)</f>
        <v/>
      </c>
      <c r="O18" s="64">
        <f>IF(AND(M18&gt;0,N17&gt;0,B18&gt;0),MIN(conv_cap,conv_beta*1*M18*MAX(0,LN(B18/(N17*P17)))),0)</f>
        <v/>
      </c>
      <c r="P18" s="65">
        <f>P17*(1+O18)</f>
        <v/>
      </c>
      <c r="Q18" s="47">
        <f>L18*P18</f>
        <v/>
      </c>
      <c r="R18" s="67">
        <f>IF(K18&gt;0,Q18*1000000/K18/Economy!Q18,0)</f>
        <v/>
      </c>
      <c r="S18" s="62">
        <f>People!U18</f>
        <v/>
      </c>
      <c r="T18" s="45" t="n">
        <v>0</v>
      </c>
      <c r="U18" s="68" t="n">
        <v>0</v>
      </c>
      <c r="V18" s="47">
        <f>IF(S18&gt;0,T18*1000000/S18,0)</f>
        <v/>
      </c>
      <c r="W18" s="64">
        <f>IF(AND(U18&gt;0,V17&gt;0,B18&gt;0),MIN(conv_cap,conv_beta*1*U18*MAX(0,LN(B18/(V17*X17)))),0)</f>
        <v/>
      </c>
      <c r="X18" s="65">
        <f>X17*(1+W18)</f>
        <v/>
      </c>
      <c r="Y18" s="47">
        <f>T18*X18</f>
        <v/>
      </c>
      <c r="Z18" s="67">
        <f>IF(S18&gt;0,Y18*1000000/S18/Economy!Q18,0)</f>
        <v/>
      </c>
      <c r="AA18" s="45" t="n">
        <v>0</v>
      </c>
      <c r="AB18" s="45" t="n">
        <v>0</v>
      </c>
      <c r="AC18" s="68" t="n">
        <v>0</v>
      </c>
      <c r="AD18" s="47">
        <f>IF(AA18&gt;0,AB18*1000000/AA18,0)</f>
        <v/>
      </c>
      <c r="AE18" s="64">
        <f>IF(AND(AC18&gt;0,AD17&gt;0,B18&gt;0),MIN(conv_cap,conv_beta*1*AC18*MAX(0,LN(B18/(AD17*AF17)))),0)</f>
        <v/>
      </c>
      <c r="AF18" s="65">
        <f>AF17*(1+AE18)</f>
        <v/>
      </c>
      <c r="AG18" s="47">
        <f>AB18*AF18</f>
        <v/>
      </c>
      <c r="AH18" s="67">
        <f>IF(AA18&gt;0,AG18*1000000/AA18/Economy!Q18,0)</f>
        <v/>
      </c>
      <c r="AI18" s="45" t="n">
        <v>0</v>
      </c>
      <c r="AJ18" s="45" t="n">
        <v>0</v>
      </c>
      <c r="AK18" s="68" t="n">
        <v>0</v>
      </c>
      <c r="AL18" s="47">
        <f>IF(AI18&gt;0,AJ18*1000000/AI18,0)</f>
        <v/>
      </c>
      <c r="AM18" s="64">
        <f>IF(AND(AK18&gt;0,AL17&gt;0,B18&gt;0),MIN(conv_cap,conv_beta*1*AK18*MAX(0,LN(B18/(AL17*AN17)))),0)</f>
        <v/>
      </c>
      <c r="AN18" s="65">
        <f>AN17*(1+AM18)</f>
        <v/>
      </c>
      <c r="AO18" s="47">
        <f>AJ18*AN18</f>
        <v/>
      </c>
      <c r="AP18" s="67">
        <f>IF(AI18&gt;0,AO18*1000000/AI18/Economy!Q18,0)</f>
        <v/>
      </c>
      <c r="AQ18" s="45" t="n">
        <v>0</v>
      </c>
      <c r="AR18" s="45" t="n">
        <v>0</v>
      </c>
      <c r="AS18" s="68" t="n">
        <v>0</v>
      </c>
      <c r="AT18" s="47">
        <f>IF(AQ18&gt;0,AR18*1000000/AQ18,0)</f>
        <v/>
      </c>
      <c r="AU18" s="64">
        <f>IF(AND(AS18&gt;0,AT17&gt;0,B18&gt;0),MIN(conv_cap,conv_beta*1*AS18*MAX(0,LN(B18/(AT17*AV17)))),0)</f>
        <v/>
      </c>
      <c r="AV18" s="65">
        <f>AV17*(1+AU18)</f>
        <v/>
      </c>
      <c r="AW18" s="47">
        <f>AR18*AV18</f>
        <v/>
      </c>
      <c r="AX18" s="67">
        <f>IF(AQ18&gt;0,AW18*1000000/AQ18/Economy!Q18,0)</f>
        <v/>
      </c>
      <c r="AY18" s="45" t="n">
        <v>0</v>
      </c>
      <c r="AZ18" s="45" t="n">
        <v>0</v>
      </c>
      <c r="BA18" s="68" t="n">
        <v>0</v>
      </c>
      <c r="BB18" s="47">
        <f>IF(AY18&gt;0,AZ18*1000000/AY18,0)</f>
        <v/>
      </c>
      <c r="BC18" s="64">
        <f>IF(AND(BA18&gt;0,BB17&gt;0,B18&gt;0),MIN(conv_cap,conv_beta*1*BA18*MAX(0,LN(B18/(BB17*BD17)))),0)</f>
        <v/>
      </c>
      <c r="BD18" s="65">
        <f>BD17*(1+BC18)</f>
        <v/>
      </c>
      <c r="BE18" s="47">
        <f>AZ18*BD18</f>
        <v/>
      </c>
      <c r="BF18" s="67">
        <f>IF(AY18&gt;0,BE18*1000000/AY18/Economy!Q18,0)</f>
        <v/>
      </c>
      <c r="BG18" s="45" t="n">
        <v>0</v>
      </c>
      <c r="BH18" s="45" t="n">
        <v>0</v>
      </c>
      <c r="BI18" s="68" t="n">
        <v>0</v>
      </c>
      <c r="BJ18" s="47">
        <f>IF(BG18&gt;0,BH18*1000000/BG18,0)</f>
        <v/>
      </c>
      <c r="BK18" s="64">
        <f>IF(AND(BI18&gt;0,BJ17&gt;0,B18&gt;0),MIN(conv_cap,conv_beta*1*BI18*MAX(0,LN(B18/(BJ17*BL17)))),0)</f>
        <v/>
      </c>
      <c r="BL18" s="65">
        <f>BL17*(1+BK18)</f>
        <v/>
      </c>
      <c r="BM18" s="47">
        <f>BH18*BL18</f>
        <v/>
      </c>
      <c r="BN18" s="67">
        <f>IF(BG18&gt;0,BM18*1000000/BG18/Economy!Q18,0)</f>
        <v/>
      </c>
      <c r="BO18" s="45" t="n">
        <v>0</v>
      </c>
      <c r="BP18" s="45" t="n">
        <v>0</v>
      </c>
      <c r="BQ18" s="68" t="n">
        <v>0</v>
      </c>
      <c r="BR18" s="47">
        <f>IF(BO18&gt;0,BP18*1000000/BO18,0)</f>
        <v/>
      </c>
      <c r="BS18" s="64">
        <f>IF(AND(BQ18&gt;0,BR17&gt;0,B18&gt;0),MIN(conv_cap,conv_beta*1*BQ18*MAX(0,LN(B18/(BR17*BT17)))),0)</f>
        <v/>
      </c>
      <c r="BT18" s="65">
        <f>BT17*(1+BS18)</f>
        <v/>
      </c>
      <c r="BU18" s="47">
        <f>BP18*BT18</f>
        <v/>
      </c>
      <c r="BV18" s="67">
        <f>IF(BO18&gt;0,BU18*1000000/BO18/Economy!Q18,0)</f>
        <v/>
      </c>
      <c r="BW18" s="65">
        <f>0.25*IF(D18&gt;0,H18,1)+0.15*IF(AJ18&gt;0,AN18,1)+0.03*IF(AR18&gt;0,AV18,1)+0.08*IF(AZ18&gt;0,BD18,1)+0.12*IF(BH18&gt;0,BL18,1)+0.1*IF(L18&gt;0,P18,1)+0.07*IF(T18&gt;0,X18,1)+0.05*IF(AB18&gt;0,AF18,1)+0.05*IF(BP18&gt;0,BT18,1)+0.1</f>
        <v/>
      </c>
      <c r="BX18" s="63">
        <f>MIN(mkt_cap,mkt_elast*MAX(0,BW18-1))</f>
        <v/>
      </c>
      <c r="BY18" s="47">
        <f>I18+Q18+Y18+AG18</f>
        <v/>
      </c>
      <c r="BZ18" s="47">
        <f>D18+L18+T18+AB18</f>
        <v/>
      </c>
      <c r="CA18" s="65">
        <f>IF(BZ18&gt;0,BY18/BZ18,0)</f>
        <v/>
      </c>
    </row>
    <row r="19">
      <c r="A19" s="58" t="n">
        <v>1859</v>
      </c>
      <c r="B19" s="47">
        <f>Economy!P18</f>
        <v/>
      </c>
      <c r="C19" s="45" t="n">
        <v>0</v>
      </c>
      <c r="D19" s="62">
        <f>Japan!B19</f>
        <v/>
      </c>
      <c r="E19" s="68" t="n">
        <v>0.12</v>
      </c>
      <c r="F19" s="47">
        <f>IF(C19&gt;0,D19*1000000/C19,0)</f>
        <v/>
      </c>
      <c r="G19" s="64">
        <f>IF(AND(E19&gt;0,F18&gt;0,B19&gt;0),MIN(conv_cap,conv_beta*jp_uplift*E19*MAX(0,LN(B19/(F18*H18)))),0)</f>
        <v/>
      </c>
      <c r="H19" s="65">
        <f>H18*(1+G19)</f>
        <v/>
      </c>
      <c r="I19" s="47">
        <f>D19*H19</f>
        <v/>
      </c>
      <c r="J19" s="67">
        <f>IF(C19&gt;0,I19*1000000/C19/Economy!Q19,0)</f>
        <v/>
      </c>
      <c r="K19" s="62">
        <f>Gulf!B19</f>
        <v/>
      </c>
      <c r="L19" s="47">
        <f>Gulf!B19*Gulf!C19*Economy!Q19/1000000</f>
        <v/>
      </c>
      <c r="M19" s="68" t="n">
        <v>0</v>
      </c>
      <c r="N19" s="47">
        <f>IF(K19&gt;0,L19*1000000/K19,0)</f>
        <v/>
      </c>
      <c r="O19" s="64">
        <f>IF(AND(M19&gt;0,N18&gt;0,B19&gt;0),MIN(conv_cap,conv_beta*1*M19*MAX(0,LN(B19/(N18*P18)))),0)</f>
        <v/>
      </c>
      <c r="P19" s="65">
        <f>P18*(1+O19)</f>
        <v/>
      </c>
      <c r="Q19" s="47">
        <f>L19*P19</f>
        <v/>
      </c>
      <c r="R19" s="67">
        <f>IF(K19&gt;0,Q19*1000000/K19/Economy!Q19,0)</f>
        <v/>
      </c>
      <c r="S19" s="62">
        <f>People!U19</f>
        <v/>
      </c>
      <c r="T19" s="45" t="n">
        <v>0</v>
      </c>
      <c r="U19" s="68" t="n">
        <v>0</v>
      </c>
      <c r="V19" s="47">
        <f>IF(S19&gt;0,T19*1000000/S19,0)</f>
        <v/>
      </c>
      <c r="W19" s="64">
        <f>IF(AND(U19&gt;0,V18&gt;0,B19&gt;0),MIN(conv_cap,conv_beta*1*U19*MAX(0,LN(B19/(V18*X18)))),0)</f>
        <v/>
      </c>
      <c r="X19" s="65">
        <f>X18*(1+W19)</f>
        <v/>
      </c>
      <c r="Y19" s="47">
        <f>T19*X19</f>
        <v/>
      </c>
      <c r="Z19" s="67">
        <f>IF(S19&gt;0,Y19*1000000/S19/Economy!Q19,0)</f>
        <v/>
      </c>
      <c r="AA19" s="45" t="n">
        <v>0</v>
      </c>
      <c r="AB19" s="45" t="n">
        <v>0</v>
      </c>
      <c r="AC19" s="68" t="n">
        <v>0</v>
      </c>
      <c r="AD19" s="47">
        <f>IF(AA19&gt;0,AB19*1000000/AA19,0)</f>
        <v/>
      </c>
      <c r="AE19" s="64">
        <f>IF(AND(AC19&gt;0,AD18&gt;0,B19&gt;0),MIN(conv_cap,conv_beta*1*AC19*MAX(0,LN(B19/(AD18*AF18)))),0)</f>
        <v/>
      </c>
      <c r="AF19" s="65">
        <f>AF18*(1+AE19)</f>
        <v/>
      </c>
      <c r="AG19" s="47">
        <f>AB19*AF19</f>
        <v/>
      </c>
      <c r="AH19" s="67">
        <f>IF(AA19&gt;0,AG19*1000000/AA19/Economy!Q19,0)</f>
        <v/>
      </c>
      <c r="AI19" s="45" t="n">
        <v>0</v>
      </c>
      <c r="AJ19" s="45" t="n">
        <v>0</v>
      </c>
      <c r="AK19" s="68" t="n">
        <v>0</v>
      </c>
      <c r="AL19" s="47">
        <f>IF(AI19&gt;0,AJ19*1000000/AI19,0)</f>
        <v/>
      </c>
      <c r="AM19" s="64">
        <f>IF(AND(AK19&gt;0,AL18&gt;0,B19&gt;0),MIN(conv_cap,conv_beta*1*AK19*MAX(0,LN(B19/(AL18*AN18)))),0)</f>
        <v/>
      </c>
      <c r="AN19" s="65">
        <f>AN18*(1+AM19)</f>
        <v/>
      </c>
      <c r="AO19" s="47">
        <f>AJ19*AN19</f>
        <v/>
      </c>
      <c r="AP19" s="67">
        <f>IF(AI19&gt;0,AO19*1000000/AI19/Economy!Q19,0)</f>
        <v/>
      </c>
      <c r="AQ19" s="45" t="n">
        <v>0</v>
      </c>
      <c r="AR19" s="45" t="n">
        <v>0</v>
      </c>
      <c r="AS19" s="68" t="n">
        <v>0</v>
      </c>
      <c r="AT19" s="47">
        <f>IF(AQ19&gt;0,AR19*1000000/AQ19,0)</f>
        <v/>
      </c>
      <c r="AU19" s="64">
        <f>IF(AND(AS19&gt;0,AT18&gt;0,B19&gt;0),MIN(conv_cap,conv_beta*1*AS19*MAX(0,LN(B19/(AT18*AV18)))),0)</f>
        <v/>
      </c>
      <c r="AV19" s="65">
        <f>AV18*(1+AU19)</f>
        <v/>
      </c>
      <c r="AW19" s="47">
        <f>AR19*AV19</f>
        <v/>
      </c>
      <c r="AX19" s="67">
        <f>IF(AQ19&gt;0,AW19*1000000/AQ19/Economy!Q19,0)</f>
        <v/>
      </c>
      <c r="AY19" s="45" t="n">
        <v>0</v>
      </c>
      <c r="AZ19" s="45" t="n">
        <v>0</v>
      </c>
      <c r="BA19" s="68" t="n">
        <v>0</v>
      </c>
      <c r="BB19" s="47">
        <f>IF(AY19&gt;0,AZ19*1000000/AY19,0)</f>
        <v/>
      </c>
      <c r="BC19" s="64">
        <f>IF(AND(BA19&gt;0,BB18&gt;0,B19&gt;0),MIN(conv_cap,conv_beta*1*BA19*MAX(0,LN(B19/(BB18*BD18)))),0)</f>
        <v/>
      </c>
      <c r="BD19" s="65">
        <f>BD18*(1+BC19)</f>
        <v/>
      </c>
      <c r="BE19" s="47">
        <f>AZ19*BD19</f>
        <v/>
      </c>
      <c r="BF19" s="67">
        <f>IF(AY19&gt;0,BE19*1000000/AY19/Economy!Q19,0)</f>
        <v/>
      </c>
      <c r="BG19" s="45" t="n">
        <v>0</v>
      </c>
      <c r="BH19" s="45" t="n">
        <v>0</v>
      </c>
      <c r="BI19" s="68" t="n">
        <v>0</v>
      </c>
      <c r="BJ19" s="47">
        <f>IF(BG19&gt;0,BH19*1000000/BG19,0)</f>
        <v/>
      </c>
      <c r="BK19" s="64">
        <f>IF(AND(BI19&gt;0,BJ18&gt;0,B19&gt;0),MIN(conv_cap,conv_beta*1*BI19*MAX(0,LN(B19/(BJ18*BL18)))),0)</f>
        <v/>
      </c>
      <c r="BL19" s="65">
        <f>BL18*(1+BK19)</f>
        <v/>
      </c>
      <c r="BM19" s="47">
        <f>BH19*BL19</f>
        <v/>
      </c>
      <c r="BN19" s="67">
        <f>IF(BG19&gt;0,BM19*1000000/BG19/Economy!Q19,0)</f>
        <v/>
      </c>
      <c r="BO19" s="45" t="n">
        <v>0</v>
      </c>
      <c r="BP19" s="45" t="n">
        <v>0</v>
      </c>
      <c r="BQ19" s="68" t="n">
        <v>0</v>
      </c>
      <c r="BR19" s="47">
        <f>IF(BO19&gt;0,BP19*1000000/BO19,0)</f>
        <v/>
      </c>
      <c r="BS19" s="64">
        <f>IF(AND(BQ19&gt;0,BR18&gt;0,B19&gt;0),MIN(conv_cap,conv_beta*1*BQ19*MAX(0,LN(B19/(BR18*BT18)))),0)</f>
        <v/>
      </c>
      <c r="BT19" s="65">
        <f>BT18*(1+BS19)</f>
        <v/>
      </c>
      <c r="BU19" s="47">
        <f>BP19*BT19</f>
        <v/>
      </c>
      <c r="BV19" s="67">
        <f>IF(BO19&gt;0,BU19*1000000/BO19/Economy!Q19,0)</f>
        <v/>
      </c>
      <c r="BW19" s="65">
        <f>0.25*IF(D19&gt;0,H19,1)+0.15*IF(AJ19&gt;0,AN19,1)+0.03*IF(AR19&gt;0,AV19,1)+0.08*IF(AZ19&gt;0,BD19,1)+0.12*IF(BH19&gt;0,BL19,1)+0.1*IF(L19&gt;0,P19,1)+0.07*IF(T19&gt;0,X19,1)+0.05*IF(AB19&gt;0,AF19,1)+0.05*IF(BP19&gt;0,BT19,1)+0.1</f>
        <v/>
      </c>
      <c r="BX19" s="63">
        <f>MIN(mkt_cap,mkt_elast*MAX(0,BW19-1))</f>
        <v/>
      </c>
      <c r="BY19" s="47">
        <f>I19+Q19+Y19+AG19</f>
        <v/>
      </c>
      <c r="BZ19" s="47">
        <f>D19+L19+T19+AB19</f>
        <v/>
      </c>
      <c r="CA19" s="65">
        <f>IF(BZ19&gt;0,BY19/BZ19,0)</f>
        <v/>
      </c>
    </row>
    <row r="20">
      <c r="A20" s="58" t="n">
        <v>1860</v>
      </c>
      <c r="B20" s="47">
        <f>Economy!P19</f>
        <v/>
      </c>
      <c r="C20" s="45" t="n">
        <v>0</v>
      </c>
      <c r="D20" s="62">
        <f>Japan!B20</f>
        <v/>
      </c>
      <c r="E20" s="68" t="n">
        <v>0.14</v>
      </c>
      <c r="F20" s="47">
        <f>IF(C20&gt;0,D20*1000000/C20,0)</f>
        <v/>
      </c>
      <c r="G20" s="64">
        <f>IF(AND(E20&gt;0,F19&gt;0,B20&gt;0),MIN(conv_cap,conv_beta*jp_uplift*E20*MAX(0,LN(B20/(F19*H19)))),0)</f>
        <v/>
      </c>
      <c r="H20" s="65">
        <f>H19*(1+G20)</f>
        <v/>
      </c>
      <c r="I20" s="47">
        <f>D20*H20</f>
        <v/>
      </c>
      <c r="J20" s="67">
        <f>IF(C20&gt;0,I20*1000000/C20/Economy!Q20,0)</f>
        <v/>
      </c>
      <c r="K20" s="62">
        <f>Gulf!B20</f>
        <v/>
      </c>
      <c r="L20" s="47">
        <f>Gulf!B20*Gulf!C20*Economy!Q20/1000000</f>
        <v/>
      </c>
      <c r="M20" s="68" t="n">
        <v>0</v>
      </c>
      <c r="N20" s="47">
        <f>IF(K20&gt;0,L20*1000000/K20,0)</f>
        <v/>
      </c>
      <c r="O20" s="64">
        <f>IF(AND(M20&gt;0,N19&gt;0,B20&gt;0),MIN(conv_cap,conv_beta*1*M20*MAX(0,LN(B20/(N19*P19)))),0)</f>
        <v/>
      </c>
      <c r="P20" s="65">
        <f>P19*(1+O20)</f>
        <v/>
      </c>
      <c r="Q20" s="47">
        <f>L20*P20</f>
        <v/>
      </c>
      <c r="R20" s="67">
        <f>IF(K20&gt;0,Q20*1000000/K20/Economy!Q20,0)</f>
        <v/>
      </c>
      <c r="S20" s="62">
        <f>People!U20</f>
        <v/>
      </c>
      <c r="T20" s="45" t="n">
        <v>0</v>
      </c>
      <c r="U20" s="68" t="n">
        <v>0</v>
      </c>
      <c r="V20" s="47">
        <f>IF(S20&gt;0,T20*1000000/S20,0)</f>
        <v/>
      </c>
      <c r="W20" s="64">
        <f>IF(AND(U20&gt;0,V19&gt;0,B20&gt;0),MIN(conv_cap,conv_beta*1*U20*MAX(0,LN(B20/(V19*X19)))),0)</f>
        <v/>
      </c>
      <c r="X20" s="65">
        <f>X19*(1+W20)</f>
        <v/>
      </c>
      <c r="Y20" s="47">
        <f>T20*X20</f>
        <v/>
      </c>
      <c r="Z20" s="67">
        <f>IF(S20&gt;0,Y20*1000000/S20/Economy!Q20,0)</f>
        <v/>
      </c>
      <c r="AA20" s="45" t="n">
        <v>0</v>
      </c>
      <c r="AB20" s="45" t="n">
        <v>0</v>
      </c>
      <c r="AC20" s="68" t="n">
        <v>0</v>
      </c>
      <c r="AD20" s="47">
        <f>IF(AA20&gt;0,AB20*1000000/AA20,0)</f>
        <v/>
      </c>
      <c r="AE20" s="64">
        <f>IF(AND(AC20&gt;0,AD19&gt;0,B20&gt;0),MIN(conv_cap,conv_beta*1*AC20*MAX(0,LN(B20/(AD19*AF19)))),0)</f>
        <v/>
      </c>
      <c r="AF20" s="65">
        <f>AF19*(1+AE20)</f>
        <v/>
      </c>
      <c r="AG20" s="47">
        <f>AB20*AF20</f>
        <v/>
      </c>
      <c r="AH20" s="67">
        <f>IF(AA20&gt;0,AG20*1000000/AA20/Economy!Q20,0)</f>
        <v/>
      </c>
      <c r="AI20" s="45" t="n">
        <v>0</v>
      </c>
      <c r="AJ20" s="45" t="n">
        <v>0</v>
      </c>
      <c r="AK20" s="68" t="n">
        <v>0</v>
      </c>
      <c r="AL20" s="47">
        <f>IF(AI20&gt;0,AJ20*1000000/AI20,0)</f>
        <v/>
      </c>
      <c r="AM20" s="64">
        <f>IF(AND(AK20&gt;0,AL19&gt;0,B20&gt;0),MIN(conv_cap,conv_beta*1*AK20*MAX(0,LN(B20/(AL19*AN19)))),0)</f>
        <v/>
      </c>
      <c r="AN20" s="65">
        <f>AN19*(1+AM20)</f>
        <v/>
      </c>
      <c r="AO20" s="47">
        <f>AJ20*AN20</f>
        <v/>
      </c>
      <c r="AP20" s="67">
        <f>IF(AI20&gt;0,AO20*1000000/AI20/Economy!Q20,0)</f>
        <v/>
      </c>
      <c r="AQ20" s="45" t="n">
        <v>0</v>
      </c>
      <c r="AR20" s="45" t="n">
        <v>0</v>
      </c>
      <c r="AS20" s="68" t="n">
        <v>0</v>
      </c>
      <c r="AT20" s="47">
        <f>IF(AQ20&gt;0,AR20*1000000/AQ20,0)</f>
        <v/>
      </c>
      <c r="AU20" s="64">
        <f>IF(AND(AS20&gt;0,AT19&gt;0,B20&gt;0),MIN(conv_cap,conv_beta*1*AS20*MAX(0,LN(B20/(AT19*AV19)))),0)</f>
        <v/>
      </c>
      <c r="AV20" s="65">
        <f>AV19*(1+AU20)</f>
        <v/>
      </c>
      <c r="AW20" s="47">
        <f>AR20*AV20</f>
        <v/>
      </c>
      <c r="AX20" s="67">
        <f>IF(AQ20&gt;0,AW20*1000000/AQ20/Economy!Q20,0)</f>
        <v/>
      </c>
      <c r="AY20" s="45" t="n">
        <v>0</v>
      </c>
      <c r="AZ20" s="45" t="n">
        <v>0</v>
      </c>
      <c r="BA20" s="68" t="n">
        <v>0</v>
      </c>
      <c r="BB20" s="47">
        <f>IF(AY20&gt;0,AZ20*1000000/AY20,0)</f>
        <v/>
      </c>
      <c r="BC20" s="64">
        <f>IF(AND(BA20&gt;0,BB19&gt;0,B20&gt;0),MIN(conv_cap,conv_beta*1*BA20*MAX(0,LN(B20/(BB19*BD19)))),0)</f>
        <v/>
      </c>
      <c r="BD20" s="65">
        <f>BD19*(1+BC20)</f>
        <v/>
      </c>
      <c r="BE20" s="47">
        <f>AZ20*BD20</f>
        <v/>
      </c>
      <c r="BF20" s="67">
        <f>IF(AY20&gt;0,BE20*1000000/AY20/Economy!Q20,0)</f>
        <v/>
      </c>
      <c r="BG20" s="45" t="n">
        <v>0</v>
      </c>
      <c r="BH20" s="45" t="n">
        <v>0</v>
      </c>
      <c r="BI20" s="68" t="n">
        <v>0</v>
      </c>
      <c r="BJ20" s="47">
        <f>IF(BG20&gt;0,BH20*1000000/BG20,0)</f>
        <v/>
      </c>
      <c r="BK20" s="64">
        <f>IF(AND(BI20&gt;0,BJ19&gt;0,B20&gt;0),MIN(conv_cap,conv_beta*1*BI20*MAX(0,LN(B20/(BJ19*BL19)))),0)</f>
        <v/>
      </c>
      <c r="BL20" s="65">
        <f>BL19*(1+BK20)</f>
        <v/>
      </c>
      <c r="BM20" s="47">
        <f>BH20*BL20</f>
        <v/>
      </c>
      <c r="BN20" s="67">
        <f>IF(BG20&gt;0,BM20*1000000/BG20/Economy!Q20,0)</f>
        <v/>
      </c>
      <c r="BO20" s="45" t="n">
        <v>0</v>
      </c>
      <c r="BP20" s="45" t="n">
        <v>0</v>
      </c>
      <c r="BQ20" s="68" t="n">
        <v>0</v>
      </c>
      <c r="BR20" s="47">
        <f>IF(BO20&gt;0,BP20*1000000/BO20,0)</f>
        <v/>
      </c>
      <c r="BS20" s="64">
        <f>IF(AND(BQ20&gt;0,BR19&gt;0,B20&gt;0),MIN(conv_cap,conv_beta*1*BQ20*MAX(0,LN(B20/(BR19*BT19)))),0)</f>
        <v/>
      </c>
      <c r="BT20" s="65">
        <f>BT19*(1+BS20)</f>
        <v/>
      </c>
      <c r="BU20" s="47">
        <f>BP20*BT20</f>
        <v/>
      </c>
      <c r="BV20" s="67">
        <f>IF(BO20&gt;0,BU20*1000000/BO20/Economy!Q20,0)</f>
        <v/>
      </c>
      <c r="BW20" s="65">
        <f>0.25*IF(D20&gt;0,H20,1)+0.15*IF(AJ20&gt;0,AN20,1)+0.03*IF(AR20&gt;0,AV20,1)+0.08*IF(AZ20&gt;0,BD20,1)+0.12*IF(BH20&gt;0,BL20,1)+0.1*IF(L20&gt;0,P20,1)+0.07*IF(T20&gt;0,X20,1)+0.05*IF(AB20&gt;0,AF20,1)+0.05*IF(BP20&gt;0,BT20,1)+0.1</f>
        <v/>
      </c>
      <c r="BX20" s="63">
        <f>MIN(mkt_cap,mkt_elast*MAX(0,BW20-1))</f>
        <v/>
      </c>
      <c r="BY20" s="47">
        <f>I20+Q20+Y20+AG20</f>
        <v/>
      </c>
      <c r="BZ20" s="47">
        <f>D20+L20+T20+AB20</f>
        <v/>
      </c>
      <c r="CA20" s="65">
        <f>IF(BZ20&gt;0,BY20/BZ20,0)</f>
        <v/>
      </c>
    </row>
    <row r="21">
      <c r="A21" s="61" t="n">
        <v>1861</v>
      </c>
      <c r="B21" s="47">
        <f>Economy!P20</f>
        <v/>
      </c>
      <c r="C21" s="45" t="n">
        <v>0</v>
      </c>
      <c r="D21" s="62">
        <f>Japan!B21</f>
        <v/>
      </c>
      <c r="E21" s="68" t="n">
        <v>0.16</v>
      </c>
      <c r="F21" s="47">
        <f>IF(C21&gt;0,D21*1000000/C21,0)</f>
        <v/>
      </c>
      <c r="G21" s="64">
        <f>IF(AND(E21&gt;0,F20&gt;0,B21&gt;0),MIN(conv_cap,conv_beta*jp_uplift*E21*MAX(0,LN(B21/(F20*H20)))),0)</f>
        <v/>
      </c>
      <c r="H21" s="65">
        <f>H20*(1+G21)</f>
        <v/>
      </c>
      <c r="I21" s="47">
        <f>D21*H21</f>
        <v/>
      </c>
      <c r="J21" s="67">
        <f>IF(C21&gt;0,I21*1000000/C21/Economy!Q21,0)</f>
        <v/>
      </c>
      <c r="K21" s="62">
        <f>Gulf!B21</f>
        <v/>
      </c>
      <c r="L21" s="47">
        <f>Gulf!B21*Gulf!C21*Economy!Q21/1000000</f>
        <v/>
      </c>
      <c r="M21" s="68" t="n">
        <v>0</v>
      </c>
      <c r="N21" s="47">
        <f>IF(K21&gt;0,L21*1000000/K21,0)</f>
        <v/>
      </c>
      <c r="O21" s="64">
        <f>IF(AND(M21&gt;0,N20&gt;0,B21&gt;0),MIN(conv_cap,conv_beta*1*M21*MAX(0,LN(B21/(N20*P20)))),0)</f>
        <v/>
      </c>
      <c r="P21" s="65">
        <f>P20*(1+O21)</f>
        <v/>
      </c>
      <c r="Q21" s="47">
        <f>L21*P21</f>
        <v/>
      </c>
      <c r="R21" s="67">
        <f>IF(K21&gt;0,Q21*1000000/K21/Economy!Q21,0)</f>
        <v/>
      </c>
      <c r="S21" s="62">
        <f>People!U21</f>
        <v/>
      </c>
      <c r="T21" s="45" t="n">
        <v>0</v>
      </c>
      <c r="U21" s="68" t="n">
        <v>0</v>
      </c>
      <c r="V21" s="47">
        <f>IF(S21&gt;0,T21*1000000/S21,0)</f>
        <v/>
      </c>
      <c r="W21" s="64">
        <f>IF(AND(U21&gt;0,V20&gt;0,B21&gt;0),MIN(conv_cap,conv_beta*1*U21*MAX(0,LN(B21/(V20*X20)))),0)</f>
        <v/>
      </c>
      <c r="X21" s="65">
        <f>X20*(1+W21)</f>
        <v/>
      </c>
      <c r="Y21" s="47">
        <f>T21*X21</f>
        <v/>
      </c>
      <c r="Z21" s="67">
        <f>IF(S21&gt;0,Y21*1000000/S21/Economy!Q21,0)</f>
        <v/>
      </c>
      <c r="AA21" s="45" t="n">
        <v>0</v>
      </c>
      <c r="AB21" s="45" t="n">
        <v>0</v>
      </c>
      <c r="AC21" s="68" t="n">
        <v>0</v>
      </c>
      <c r="AD21" s="47">
        <f>IF(AA21&gt;0,AB21*1000000/AA21,0)</f>
        <v/>
      </c>
      <c r="AE21" s="64">
        <f>IF(AND(AC21&gt;0,AD20&gt;0,B21&gt;0),MIN(conv_cap,conv_beta*1*AC21*MAX(0,LN(B21/(AD20*AF20)))),0)</f>
        <v/>
      </c>
      <c r="AF21" s="65">
        <f>AF20*(1+AE21)</f>
        <v/>
      </c>
      <c r="AG21" s="47">
        <f>AB21*AF21</f>
        <v/>
      </c>
      <c r="AH21" s="67">
        <f>IF(AA21&gt;0,AG21*1000000/AA21/Economy!Q21,0)</f>
        <v/>
      </c>
      <c r="AI21" s="45" t="n">
        <v>0</v>
      </c>
      <c r="AJ21" s="45" t="n">
        <v>0</v>
      </c>
      <c r="AK21" s="68" t="n">
        <v>0</v>
      </c>
      <c r="AL21" s="47">
        <f>IF(AI21&gt;0,AJ21*1000000/AI21,0)</f>
        <v/>
      </c>
      <c r="AM21" s="64">
        <f>IF(AND(AK21&gt;0,AL20&gt;0,B21&gt;0),MIN(conv_cap,conv_beta*1*AK21*MAX(0,LN(B21/(AL20*AN20)))),0)</f>
        <v/>
      </c>
      <c r="AN21" s="65">
        <f>AN20*(1+AM21)</f>
        <v/>
      </c>
      <c r="AO21" s="47">
        <f>AJ21*AN21</f>
        <v/>
      </c>
      <c r="AP21" s="67">
        <f>IF(AI21&gt;0,AO21*1000000/AI21/Economy!Q21,0)</f>
        <v/>
      </c>
      <c r="AQ21" s="45" t="n">
        <v>0</v>
      </c>
      <c r="AR21" s="45" t="n">
        <v>0</v>
      </c>
      <c r="AS21" s="68" t="n">
        <v>0</v>
      </c>
      <c r="AT21" s="47">
        <f>IF(AQ21&gt;0,AR21*1000000/AQ21,0)</f>
        <v/>
      </c>
      <c r="AU21" s="64">
        <f>IF(AND(AS21&gt;0,AT20&gt;0,B21&gt;0),MIN(conv_cap,conv_beta*1*AS21*MAX(0,LN(B21/(AT20*AV20)))),0)</f>
        <v/>
      </c>
      <c r="AV21" s="65">
        <f>AV20*(1+AU21)</f>
        <v/>
      </c>
      <c r="AW21" s="47">
        <f>AR21*AV21</f>
        <v/>
      </c>
      <c r="AX21" s="67">
        <f>IF(AQ21&gt;0,AW21*1000000/AQ21/Economy!Q21,0)</f>
        <v/>
      </c>
      <c r="AY21" s="45" t="n">
        <v>0</v>
      </c>
      <c r="AZ21" s="45" t="n">
        <v>0</v>
      </c>
      <c r="BA21" s="68" t="n">
        <v>0</v>
      </c>
      <c r="BB21" s="47">
        <f>IF(AY21&gt;0,AZ21*1000000/AY21,0)</f>
        <v/>
      </c>
      <c r="BC21" s="64">
        <f>IF(AND(BA21&gt;0,BB20&gt;0,B21&gt;0),MIN(conv_cap,conv_beta*1*BA21*MAX(0,LN(B21/(BB20*BD20)))),0)</f>
        <v/>
      </c>
      <c r="BD21" s="65">
        <f>BD20*(1+BC21)</f>
        <v/>
      </c>
      <c r="BE21" s="47">
        <f>AZ21*BD21</f>
        <v/>
      </c>
      <c r="BF21" s="67">
        <f>IF(AY21&gt;0,BE21*1000000/AY21/Economy!Q21,0)</f>
        <v/>
      </c>
      <c r="BG21" s="45" t="n">
        <v>0</v>
      </c>
      <c r="BH21" s="45" t="n">
        <v>0</v>
      </c>
      <c r="BI21" s="68" t="n">
        <v>0</v>
      </c>
      <c r="BJ21" s="47">
        <f>IF(BG21&gt;0,BH21*1000000/BG21,0)</f>
        <v/>
      </c>
      <c r="BK21" s="64">
        <f>IF(AND(BI21&gt;0,BJ20&gt;0,B21&gt;0),MIN(conv_cap,conv_beta*1*BI21*MAX(0,LN(B21/(BJ20*BL20)))),0)</f>
        <v/>
      </c>
      <c r="BL21" s="65">
        <f>BL20*(1+BK21)</f>
        <v/>
      </c>
      <c r="BM21" s="47">
        <f>BH21*BL21</f>
        <v/>
      </c>
      <c r="BN21" s="67">
        <f>IF(BG21&gt;0,BM21*1000000/BG21/Economy!Q21,0)</f>
        <v/>
      </c>
      <c r="BO21" s="45" t="n">
        <v>0</v>
      </c>
      <c r="BP21" s="45" t="n">
        <v>0</v>
      </c>
      <c r="BQ21" s="68" t="n">
        <v>0</v>
      </c>
      <c r="BR21" s="47">
        <f>IF(BO21&gt;0,BP21*1000000/BO21,0)</f>
        <v/>
      </c>
      <c r="BS21" s="64">
        <f>IF(AND(BQ21&gt;0,BR20&gt;0,B21&gt;0),MIN(conv_cap,conv_beta*1*BQ21*MAX(0,LN(B21/(BR20*BT20)))),0)</f>
        <v/>
      </c>
      <c r="BT21" s="65">
        <f>BT20*(1+BS21)</f>
        <v/>
      </c>
      <c r="BU21" s="47">
        <f>BP21*BT21</f>
        <v/>
      </c>
      <c r="BV21" s="67">
        <f>IF(BO21&gt;0,BU21*1000000/BO21/Economy!Q21,0)</f>
        <v/>
      </c>
      <c r="BW21" s="65">
        <f>0.25*IF(D21&gt;0,H21,1)+0.15*IF(AJ21&gt;0,AN21,1)+0.03*IF(AR21&gt;0,AV21,1)+0.08*IF(AZ21&gt;0,BD21,1)+0.12*IF(BH21&gt;0,BL21,1)+0.1*IF(L21&gt;0,P21,1)+0.07*IF(T21&gt;0,X21,1)+0.05*IF(AB21&gt;0,AF21,1)+0.05*IF(BP21&gt;0,BT21,1)+0.1</f>
        <v/>
      </c>
      <c r="BX21" s="63">
        <f>MIN(mkt_cap,mkt_elast*MAX(0,BW21-1))</f>
        <v/>
      </c>
      <c r="BY21" s="47">
        <f>I21+Q21+Y21+AG21</f>
        <v/>
      </c>
      <c r="BZ21" s="47">
        <f>D21+L21+T21+AB21</f>
        <v/>
      </c>
      <c r="CA21" s="65">
        <f>IF(BZ21&gt;0,BY21/BZ21,0)</f>
        <v/>
      </c>
    </row>
    <row r="22">
      <c r="A22" s="61" t="n">
        <v>1862</v>
      </c>
      <c r="B22" s="47">
        <f>Economy!P21</f>
        <v/>
      </c>
      <c r="C22" s="45" t="n">
        <v>0</v>
      </c>
      <c r="D22" s="62">
        <f>Japan!B22</f>
        <v/>
      </c>
      <c r="E22" s="68" t="n">
        <v>0.18</v>
      </c>
      <c r="F22" s="47">
        <f>IF(C22&gt;0,D22*1000000/C22,0)</f>
        <v/>
      </c>
      <c r="G22" s="64">
        <f>IF(AND(E22&gt;0,F21&gt;0,B22&gt;0),MIN(conv_cap,conv_beta*jp_uplift*E22*MAX(0,LN(B22/(F21*H21)))),0)</f>
        <v/>
      </c>
      <c r="H22" s="65">
        <f>H21*(1+G22)</f>
        <v/>
      </c>
      <c r="I22" s="47">
        <f>D22*H22</f>
        <v/>
      </c>
      <c r="J22" s="67">
        <f>IF(C22&gt;0,I22*1000000/C22/Economy!Q22,0)</f>
        <v/>
      </c>
      <c r="K22" s="62">
        <f>Gulf!B22</f>
        <v/>
      </c>
      <c r="L22" s="47">
        <f>Gulf!B22*Gulf!C22*Economy!Q22/1000000</f>
        <v/>
      </c>
      <c r="M22" s="68" t="n">
        <v>0</v>
      </c>
      <c r="N22" s="47">
        <f>IF(K22&gt;0,L22*1000000/K22,0)</f>
        <v/>
      </c>
      <c r="O22" s="64">
        <f>IF(AND(M22&gt;0,N21&gt;0,B22&gt;0),MIN(conv_cap,conv_beta*1*M22*MAX(0,LN(B22/(N21*P21)))),0)</f>
        <v/>
      </c>
      <c r="P22" s="65">
        <f>P21*(1+O22)</f>
        <v/>
      </c>
      <c r="Q22" s="47">
        <f>L22*P22</f>
        <v/>
      </c>
      <c r="R22" s="67">
        <f>IF(K22&gt;0,Q22*1000000/K22/Economy!Q22,0)</f>
        <v/>
      </c>
      <c r="S22" s="62">
        <f>People!U22</f>
        <v/>
      </c>
      <c r="T22" s="45" t="n">
        <v>0</v>
      </c>
      <c r="U22" s="68" t="n">
        <v>0</v>
      </c>
      <c r="V22" s="47">
        <f>IF(S22&gt;0,T22*1000000/S22,0)</f>
        <v/>
      </c>
      <c r="W22" s="64">
        <f>IF(AND(U22&gt;0,V21&gt;0,B22&gt;0),MIN(conv_cap,conv_beta*1*U22*MAX(0,LN(B22/(V21*X21)))),0)</f>
        <v/>
      </c>
      <c r="X22" s="65">
        <f>X21*(1+W22)</f>
        <v/>
      </c>
      <c r="Y22" s="47">
        <f>T22*X22</f>
        <v/>
      </c>
      <c r="Z22" s="67">
        <f>IF(S22&gt;0,Y22*1000000/S22/Economy!Q22,0)</f>
        <v/>
      </c>
      <c r="AA22" s="45" t="n">
        <v>0</v>
      </c>
      <c r="AB22" s="45" t="n">
        <v>0</v>
      </c>
      <c r="AC22" s="68" t="n">
        <v>0</v>
      </c>
      <c r="AD22" s="47">
        <f>IF(AA22&gt;0,AB22*1000000/AA22,0)</f>
        <v/>
      </c>
      <c r="AE22" s="64">
        <f>IF(AND(AC22&gt;0,AD21&gt;0,B22&gt;0),MIN(conv_cap,conv_beta*1*AC22*MAX(0,LN(B22/(AD21*AF21)))),0)</f>
        <v/>
      </c>
      <c r="AF22" s="65">
        <f>AF21*(1+AE22)</f>
        <v/>
      </c>
      <c r="AG22" s="47">
        <f>AB22*AF22</f>
        <v/>
      </c>
      <c r="AH22" s="67">
        <f>IF(AA22&gt;0,AG22*1000000/AA22/Economy!Q22,0)</f>
        <v/>
      </c>
      <c r="AI22" s="45" t="n">
        <v>350000000</v>
      </c>
      <c r="AJ22" s="45" t="n">
        <v>3300</v>
      </c>
      <c r="AK22" s="68" t="n">
        <v>0.05</v>
      </c>
      <c r="AL22" s="47">
        <f>IF(AI22&gt;0,AJ22*1000000/AI22,0)</f>
        <v/>
      </c>
      <c r="AM22" s="64">
        <f>IF(AND(AK22&gt;0,AL21&gt;0,B22&gt;0),MIN(conv_cap,conv_beta*1*AK22*MAX(0,LN(B22/(AL21*AN21)))),0)</f>
        <v/>
      </c>
      <c r="AN22" s="65">
        <f>AN21*(1+AM22)</f>
        <v/>
      </c>
      <c r="AO22" s="47">
        <f>AJ22*AN22</f>
        <v/>
      </c>
      <c r="AP22" s="67">
        <f>IF(AI22&gt;0,AO22*1000000/AI22/Economy!Q22,0)</f>
        <v/>
      </c>
      <c r="AQ22" s="45" t="n">
        <v>0</v>
      </c>
      <c r="AR22" s="45" t="n">
        <v>0</v>
      </c>
      <c r="AS22" s="68" t="n">
        <v>0</v>
      </c>
      <c r="AT22" s="47">
        <f>IF(AQ22&gt;0,AR22*1000000/AQ22,0)</f>
        <v/>
      </c>
      <c r="AU22" s="64">
        <f>IF(AND(AS22&gt;0,AT21&gt;0,B22&gt;0),MIN(conv_cap,conv_beta*1*AS22*MAX(0,LN(B22/(AT21*AV21)))),0)</f>
        <v/>
      </c>
      <c r="AV22" s="65">
        <f>AV21*(1+AU22)</f>
        <v/>
      </c>
      <c r="AW22" s="47">
        <f>AR22*AV22</f>
        <v/>
      </c>
      <c r="AX22" s="67">
        <f>IF(AQ22&gt;0,AW22*1000000/AQ22/Economy!Q22,0)</f>
        <v/>
      </c>
      <c r="AY22" s="45" t="n">
        <v>0</v>
      </c>
      <c r="AZ22" s="45" t="n">
        <v>0</v>
      </c>
      <c r="BA22" s="68" t="n">
        <v>0</v>
      </c>
      <c r="BB22" s="47">
        <f>IF(AY22&gt;0,AZ22*1000000/AY22,0)</f>
        <v/>
      </c>
      <c r="BC22" s="64">
        <f>IF(AND(BA22&gt;0,BB21&gt;0,B22&gt;0),MIN(conv_cap,conv_beta*1*BA22*MAX(0,LN(B22/(BB21*BD21)))),0)</f>
        <v/>
      </c>
      <c r="BD22" s="65">
        <f>BD21*(1+BC22)</f>
        <v/>
      </c>
      <c r="BE22" s="47">
        <f>AZ22*BD22</f>
        <v/>
      </c>
      <c r="BF22" s="67">
        <f>IF(AY22&gt;0,BE22*1000000/AY22/Economy!Q22,0)</f>
        <v/>
      </c>
      <c r="BG22" s="45" t="n">
        <v>0</v>
      </c>
      <c r="BH22" s="45" t="n">
        <v>0</v>
      </c>
      <c r="BI22" s="68" t="n">
        <v>0</v>
      </c>
      <c r="BJ22" s="47">
        <f>IF(BG22&gt;0,BH22*1000000/BG22,0)</f>
        <v/>
      </c>
      <c r="BK22" s="64">
        <f>IF(AND(BI22&gt;0,BJ21&gt;0,B22&gt;0),MIN(conv_cap,conv_beta*1*BI22*MAX(0,LN(B22/(BJ21*BL21)))),0)</f>
        <v/>
      </c>
      <c r="BL22" s="65">
        <f>BL21*(1+BK22)</f>
        <v/>
      </c>
      <c r="BM22" s="47">
        <f>BH22*BL22</f>
        <v/>
      </c>
      <c r="BN22" s="67">
        <f>IF(BG22&gt;0,BM22*1000000/BG22/Economy!Q22,0)</f>
        <v/>
      </c>
      <c r="BO22" s="45" t="n">
        <v>0</v>
      </c>
      <c r="BP22" s="45" t="n">
        <v>0</v>
      </c>
      <c r="BQ22" s="68" t="n">
        <v>0</v>
      </c>
      <c r="BR22" s="47">
        <f>IF(BO22&gt;0,BP22*1000000/BO22,0)</f>
        <v/>
      </c>
      <c r="BS22" s="64">
        <f>IF(AND(BQ22&gt;0,BR21&gt;0,B22&gt;0),MIN(conv_cap,conv_beta*1*BQ22*MAX(0,LN(B22/(BR21*BT21)))),0)</f>
        <v/>
      </c>
      <c r="BT22" s="65">
        <f>BT21*(1+BS22)</f>
        <v/>
      </c>
      <c r="BU22" s="47">
        <f>BP22*BT22</f>
        <v/>
      </c>
      <c r="BV22" s="67">
        <f>IF(BO22&gt;0,BU22*1000000/BO22/Economy!Q22,0)</f>
        <v/>
      </c>
      <c r="BW22" s="65">
        <f>0.25*IF(D22&gt;0,H22,1)+0.15*IF(AJ22&gt;0,AN22,1)+0.03*IF(AR22&gt;0,AV22,1)+0.08*IF(AZ22&gt;0,BD22,1)+0.12*IF(BH22&gt;0,BL22,1)+0.1*IF(L22&gt;0,P22,1)+0.07*IF(T22&gt;0,X22,1)+0.05*IF(AB22&gt;0,AF22,1)+0.05*IF(BP22&gt;0,BT22,1)+0.1</f>
        <v/>
      </c>
      <c r="BX22" s="63">
        <f>MIN(mkt_cap,mkt_elast*MAX(0,BW22-1))</f>
        <v/>
      </c>
      <c r="BY22" s="47">
        <f>I22+Q22+Y22+AG22</f>
        <v/>
      </c>
      <c r="BZ22" s="47">
        <f>D22+L22+T22+AB22</f>
        <v/>
      </c>
      <c r="CA22" s="65">
        <f>IF(BZ22&gt;0,BY22/BZ22,0)</f>
        <v/>
      </c>
    </row>
    <row r="23">
      <c r="A23" s="61" t="n">
        <v>1863</v>
      </c>
      <c r="B23" s="47">
        <f>Economy!P22</f>
        <v/>
      </c>
      <c r="C23" s="45" t="n">
        <v>0</v>
      </c>
      <c r="D23" s="62">
        <f>Japan!B23</f>
        <v/>
      </c>
      <c r="E23" s="68" t="n">
        <v>0.2</v>
      </c>
      <c r="F23" s="47">
        <f>IF(C23&gt;0,D23*1000000/C23,0)</f>
        <v/>
      </c>
      <c r="G23" s="64">
        <f>IF(AND(E23&gt;0,F22&gt;0,B23&gt;0),MIN(conv_cap,conv_beta*jp_uplift*E23*MAX(0,LN(B23/(F22*H22)))),0)</f>
        <v/>
      </c>
      <c r="H23" s="65">
        <f>H22*(1+G23)</f>
        <v/>
      </c>
      <c r="I23" s="47">
        <f>D23*H23</f>
        <v/>
      </c>
      <c r="J23" s="67">
        <f>IF(C23&gt;0,I23*1000000/C23/Economy!Q23,0)</f>
        <v/>
      </c>
      <c r="K23" s="62">
        <f>Gulf!B23</f>
        <v/>
      </c>
      <c r="L23" s="47">
        <f>Gulf!B23*Gulf!C23*Economy!Q23/1000000</f>
        <v/>
      </c>
      <c r="M23" s="68" t="n">
        <v>0</v>
      </c>
      <c r="N23" s="47">
        <f>IF(K23&gt;0,L23*1000000/K23,0)</f>
        <v/>
      </c>
      <c r="O23" s="64">
        <f>IF(AND(M23&gt;0,N22&gt;0,B23&gt;0),MIN(conv_cap,conv_beta*1*M23*MAX(0,LN(B23/(N22*P22)))),0)</f>
        <v/>
      </c>
      <c r="P23" s="65">
        <f>P22*(1+O23)</f>
        <v/>
      </c>
      <c r="Q23" s="47">
        <f>L23*P23</f>
        <v/>
      </c>
      <c r="R23" s="67">
        <f>IF(K23&gt;0,Q23*1000000/K23/Economy!Q23,0)</f>
        <v/>
      </c>
      <c r="S23" s="62">
        <f>People!U23</f>
        <v/>
      </c>
      <c r="T23" s="45" t="n">
        <v>0</v>
      </c>
      <c r="U23" s="68" t="n">
        <v>0</v>
      </c>
      <c r="V23" s="47">
        <f>IF(S23&gt;0,T23*1000000/S23,0)</f>
        <v/>
      </c>
      <c r="W23" s="64">
        <f>IF(AND(U23&gt;0,V22&gt;0,B23&gt;0),MIN(conv_cap,conv_beta*1*U23*MAX(0,LN(B23/(V22*X22)))),0)</f>
        <v/>
      </c>
      <c r="X23" s="65">
        <f>X22*(1+W23)</f>
        <v/>
      </c>
      <c r="Y23" s="47">
        <f>T23*X23</f>
        <v/>
      </c>
      <c r="Z23" s="67">
        <f>IF(S23&gt;0,Y23*1000000/S23/Economy!Q23,0)</f>
        <v/>
      </c>
      <c r="AA23" s="45" t="n">
        <v>0</v>
      </c>
      <c r="AB23" s="45" t="n">
        <v>0</v>
      </c>
      <c r="AC23" s="68" t="n">
        <v>0</v>
      </c>
      <c r="AD23" s="47">
        <f>IF(AA23&gt;0,AB23*1000000/AA23,0)</f>
        <v/>
      </c>
      <c r="AE23" s="64">
        <f>IF(AND(AC23&gt;0,AD22&gt;0,B23&gt;0),MIN(conv_cap,conv_beta*1*AC23*MAX(0,LN(B23/(AD22*AF22)))),0)</f>
        <v/>
      </c>
      <c r="AF23" s="65">
        <f>AF22*(1+AE23)</f>
        <v/>
      </c>
      <c r="AG23" s="47">
        <f>AB23*AF23</f>
        <v/>
      </c>
      <c r="AH23" s="67">
        <f>IF(AA23&gt;0,AG23*1000000/AA23/Economy!Q23,0)</f>
        <v/>
      </c>
      <c r="AI23" s="45" t="n">
        <v>351000000</v>
      </c>
      <c r="AJ23" s="45" t="n">
        <v>3325</v>
      </c>
      <c r="AK23" s="68" t="n">
        <v>0.054</v>
      </c>
      <c r="AL23" s="47">
        <f>IF(AI23&gt;0,AJ23*1000000/AI23,0)</f>
        <v/>
      </c>
      <c r="AM23" s="64">
        <f>IF(AND(AK23&gt;0,AL22&gt;0,B23&gt;0),MIN(conv_cap,conv_beta*1*AK23*MAX(0,LN(B23/(AL22*AN22)))),0)</f>
        <v/>
      </c>
      <c r="AN23" s="65">
        <f>AN22*(1+AM23)</f>
        <v/>
      </c>
      <c r="AO23" s="47">
        <f>AJ23*AN23</f>
        <v/>
      </c>
      <c r="AP23" s="67">
        <f>IF(AI23&gt;0,AO23*1000000/AI23/Economy!Q23,0)</f>
        <v/>
      </c>
      <c r="AQ23" s="45" t="n">
        <v>0</v>
      </c>
      <c r="AR23" s="45" t="n">
        <v>0</v>
      </c>
      <c r="AS23" s="68" t="n">
        <v>0</v>
      </c>
      <c r="AT23" s="47">
        <f>IF(AQ23&gt;0,AR23*1000000/AQ23,0)</f>
        <v/>
      </c>
      <c r="AU23" s="64">
        <f>IF(AND(AS23&gt;0,AT22&gt;0,B23&gt;0),MIN(conv_cap,conv_beta*1*AS23*MAX(0,LN(B23/(AT22*AV22)))),0)</f>
        <v/>
      </c>
      <c r="AV23" s="65">
        <f>AV22*(1+AU23)</f>
        <v/>
      </c>
      <c r="AW23" s="47">
        <f>AR23*AV23</f>
        <v/>
      </c>
      <c r="AX23" s="67">
        <f>IF(AQ23&gt;0,AW23*1000000/AQ23/Economy!Q23,0)</f>
        <v/>
      </c>
      <c r="AY23" s="45" t="n">
        <v>0</v>
      </c>
      <c r="AZ23" s="45" t="n">
        <v>0</v>
      </c>
      <c r="BA23" s="68" t="n">
        <v>0</v>
      </c>
      <c r="BB23" s="47">
        <f>IF(AY23&gt;0,AZ23*1000000/AY23,0)</f>
        <v/>
      </c>
      <c r="BC23" s="64">
        <f>IF(AND(BA23&gt;0,BB22&gt;0,B23&gt;0),MIN(conv_cap,conv_beta*1*BA23*MAX(0,LN(B23/(BB22*BD22)))),0)</f>
        <v/>
      </c>
      <c r="BD23" s="65">
        <f>BD22*(1+BC23)</f>
        <v/>
      </c>
      <c r="BE23" s="47">
        <f>AZ23*BD23</f>
        <v/>
      </c>
      <c r="BF23" s="67">
        <f>IF(AY23&gt;0,BE23*1000000/AY23/Economy!Q23,0)</f>
        <v/>
      </c>
      <c r="BG23" s="45" t="n">
        <v>0</v>
      </c>
      <c r="BH23" s="45" t="n">
        <v>0</v>
      </c>
      <c r="BI23" s="68" t="n">
        <v>0</v>
      </c>
      <c r="BJ23" s="47">
        <f>IF(BG23&gt;0,BH23*1000000/BG23,0)</f>
        <v/>
      </c>
      <c r="BK23" s="64">
        <f>IF(AND(BI23&gt;0,BJ22&gt;0,B23&gt;0),MIN(conv_cap,conv_beta*1*BI23*MAX(0,LN(B23/(BJ22*BL22)))),0)</f>
        <v/>
      </c>
      <c r="BL23" s="65">
        <f>BL22*(1+BK23)</f>
        <v/>
      </c>
      <c r="BM23" s="47">
        <f>BH23*BL23</f>
        <v/>
      </c>
      <c r="BN23" s="67">
        <f>IF(BG23&gt;0,BM23*1000000/BG23/Economy!Q23,0)</f>
        <v/>
      </c>
      <c r="BO23" s="45" t="n">
        <v>0</v>
      </c>
      <c r="BP23" s="45" t="n">
        <v>0</v>
      </c>
      <c r="BQ23" s="68" t="n">
        <v>0</v>
      </c>
      <c r="BR23" s="47">
        <f>IF(BO23&gt;0,BP23*1000000/BO23,0)</f>
        <v/>
      </c>
      <c r="BS23" s="64">
        <f>IF(AND(BQ23&gt;0,BR22&gt;0,B23&gt;0),MIN(conv_cap,conv_beta*1*BQ23*MAX(0,LN(B23/(BR22*BT22)))),0)</f>
        <v/>
      </c>
      <c r="BT23" s="65">
        <f>BT22*(1+BS23)</f>
        <v/>
      </c>
      <c r="BU23" s="47">
        <f>BP23*BT23</f>
        <v/>
      </c>
      <c r="BV23" s="67">
        <f>IF(BO23&gt;0,BU23*1000000/BO23/Economy!Q23,0)</f>
        <v/>
      </c>
      <c r="BW23" s="65">
        <f>0.25*IF(D23&gt;0,H23,1)+0.15*IF(AJ23&gt;0,AN23,1)+0.03*IF(AR23&gt;0,AV23,1)+0.08*IF(AZ23&gt;0,BD23,1)+0.12*IF(BH23&gt;0,BL23,1)+0.1*IF(L23&gt;0,P23,1)+0.07*IF(T23&gt;0,X23,1)+0.05*IF(AB23&gt;0,AF23,1)+0.05*IF(BP23&gt;0,BT23,1)+0.1</f>
        <v/>
      </c>
      <c r="BX23" s="63">
        <f>MIN(mkt_cap,mkt_elast*MAX(0,BW23-1))</f>
        <v/>
      </c>
      <c r="BY23" s="47">
        <f>I23+Q23+Y23+AG23</f>
        <v/>
      </c>
      <c r="BZ23" s="47">
        <f>D23+L23+T23+AB23</f>
        <v/>
      </c>
      <c r="CA23" s="65">
        <f>IF(BZ23&gt;0,BY23/BZ23,0)</f>
        <v/>
      </c>
    </row>
    <row r="24">
      <c r="A24" s="61" t="n">
        <v>1864</v>
      </c>
      <c r="B24" s="47">
        <f>Economy!P23</f>
        <v/>
      </c>
      <c r="C24" s="45" t="n">
        <v>0</v>
      </c>
      <c r="D24" s="62">
        <f>Japan!B24</f>
        <v/>
      </c>
      <c r="E24" s="68" t="n">
        <v>0.22</v>
      </c>
      <c r="F24" s="47">
        <f>IF(C24&gt;0,D24*1000000/C24,0)</f>
        <v/>
      </c>
      <c r="G24" s="64">
        <f>IF(AND(E24&gt;0,F23&gt;0,B24&gt;0),MIN(conv_cap,conv_beta*jp_uplift*E24*MAX(0,LN(B24/(F23*H23)))),0)</f>
        <v/>
      </c>
      <c r="H24" s="65">
        <f>H23*(1+G24)</f>
        <v/>
      </c>
      <c r="I24" s="47">
        <f>D24*H24</f>
        <v/>
      </c>
      <c r="J24" s="67">
        <f>IF(C24&gt;0,I24*1000000/C24/Economy!Q24,0)</f>
        <v/>
      </c>
      <c r="K24" s="62">
        <f>Gulf!B24</f>
        <v/>
      </c>
      <c r="L24" s="47">
        <f>Gulf!B24*Gulf!C24*Economy!Q24/1000000</f>
        <v/>
      </c>
      <c r="M24" s="68" t="n">
        <v>0</v>
      </c>
      <c r="N24" s="47">
        <f>IF(K24&gt;0,L24*1000000/K24,0)</f>
        <v/>
      </c>
      <c r="O24" s="64">
        <f>IF(AND(M24&gt;0,N23&gt;0,B24&gt;0),MIN(conv_cap,conv_beta*1*M24*MAX(0,LN(B24/(N23*P23)))),0)</f>
        <v/>
      </c>
      <c r="P24" s="65">
        <f>P23*(1+O24)</f>
        <v/>
      </c>
      <c r="Q24" s="47">
        <f>L24*P24</f>
        <v/>
      </c>
      <c r="R24" s="67">
        <f>IF(K24&gt;0,Q24*1000000/K24/Economy!Q24,0)</f>
        <v/>
      </c>
      <c r="S24" s="62">
        <f>People!U24</f>
        <v/>
      </c>
      <c r="T24" s="45" t="n">
        <v>0</v>
      </c>
      <c r="U24" s="68" t="n">
        <v>0</v>
      </c>
      <c r="V24" s="47">
        <f>IF(S24&gt;0,T24*1000000/S24,0)</f>
        <v/>
      </c>
      <c r="W24" s="64">
        <f>IF(AND(U24&gt;0,V23&gt;0,B24&gt;0),MIN(conv_cap,conv_beta*1*U24*MAX(0,LN(B24/(V23*X23)))),0)</f>
        <v/>
      </c>
      <c r="X24" s="65">
        <f>X23*(1+W24)</f>
        <v/>
      </c>
      <c r="Y24" s="47">
        <f>T24*X24</f>
        <v/>
      </c>
      <c r="Z24" s="67">
        <f>IF(S24&gt;0,Y24*1000000/S24/Economy!Q24,0)</f>
        <v/>
      </c>
      <c r="AA24" s="45" t="n">
        <v>0</v>
      </c>
      <c r="AB24" s="45" t="n">
        <v>0</v>
      </c>
      <c r="AC24" s="68" t="n">
        <v>0</v>
      </c>
      <c r="AD24" s="47">
        <f>IF(AA24&gt;0,AB24*1000000/AA24,0)</f>
        <v/>
      </c>
      <c r="AE24" s="64">
        <f>IF(AND(AC24&gt;0,AD23&gt;0,B24&gt;0),MIN(conv_cap,conv_beta*1*AC24*MAX(0,LN(B24/(AD23*AF23)))),0)</f>
        <v/>
      </c>
      <c r="AF24" s="65">
        <f>AF23*(1+AE24)</f>
        <v/>
      </c>
      <c r="AG24" s="47">
        <f>AB24*AF24</f>
        <v/>
      </c>
      <c r="AH24" s="67">
        <f>IF(AA24&gt;0,AG24*1000000/AA24/Economy!Q24,0)</f>
        <v/>
      </c>
      <c r="AI24" s="45" t="n">
        <v>352000000</v>
      </c>
      <c r="AJ24" s="45" t="n">
        <v>3350</v>
      </c>
      <c r="AK24" s="68" t="n">
        <v>0.058</v>
      </c>
      <c r="AL24" s="47">
        <f>IF(AI24&gt;0,AJ24*1000000/AI24,0)</f>
        <v/>
      </c>
      <c r="AM24" s="64">
        <f>IF(AND(AK24&gt;0,AL23&gt;0,B24&gt;0),MIN(conv_cap,conv_beta*1*AK24*MAX(0,LN(B24/(AL23*AN23)))),0)</f>
        <v/>
      </c>
      <c r="AN24" s="65">
        <f>AN23*(1+AM24)</f>
        <v/>
      </c>
      <c r="AO24" s="47">
        <f>AJ24*AN24</f>
        <v/>
      </c>
      <c r="AP24" s="67">
        <f>IF(AI24&gt;0,AO24*1000000/AI24/Economy!Q24,0)</f>
        <v/>
      </c>
      <c r="AQ24" s="45" t="n">
        <v>0</v>
      </c>
      <c r="AR24" s="45" t="n">
        <v>0</v>
      </c>
      <c r="AS24" s="68" t="n">
        <v>0</v>
      </c>
      <c r="AT24" s="47">
        <f>IF(AQ24&gt;0,AR24*1000000/AQ24,0)</f>
        <v/>
      </c>
      <c r="AU24" s="64">
        <f>IF(AND(AS24&gt;0,AT23&gt;0,B24&gt;0),MIN(conv_cap,conv_beta*1*AS24*MAX(0,LN(B24/(AT23*AV23)))),0)</f>
        <v/>
      </c>
      <c r="AV24" s="65">
        <f>AV23*(1+AU24)</f>
        <v/>
      </c>
      <c r="AW24" s="47">
        <f>AR24*AV24</f>
        <v/>
      </c>
      <c r="AX24" s="67">
        <f>IF(AQ24&gt;0,AW24*1000000/AQ24/Economy!Q24,0)</f>
        <v/>
      </c>
      <c r="AY24" s="45" t="n">
        <v>0</v>
      </c>
      <c r="AZ24" s="45" t="n">
        <v>0</v>
      </c>
      <c r="BA24" s="68" t="n">
        <v>0</v>
      </c>
      <c r="BB24" s="47">
        <f>IF(AY24&gt;0,AZ24*1000000/AY24,0)</f>
        <v/>
      </c>
      <c r="BC24" s="64">
        <f>IF(AND(BA24&gt;0,BB23&gt;0,B24&gt;0),MIN(conv_cap,conv_beta*1*BA24*MAX(0,LN(B24/(BB23*BD23)))),0)</f>
        <v/>
      </c>
      <c r="BD24" s="65">
        <f>BD23*(1+BC24)</f>
        <v/>
      </c>
      <c r="BE24" s="47">
        <f>AZ24*BD24</f>
        <v/>
      </c>
      <c r="BF24" s="67">
        <f>IF(AY24&gt;0,BE24*1000000/AY24/Economy!Q24,0)</f>
        <v/>
      </c>
      <c r="BG24" s="45" t="n">
        <v>0</v>
      </c>
      <c r="BH24" s="45" t="n">
        <v>0</v>
      </c>
      <c r="BI24" s="68" t="n">
        <v>0</v>
      </c>
      <c r="BJ24" s="47">
        <f>IF(BG24&gt;0,BH24*1000000/BG24,0)</f>
        <v/>
      </c>
      <c r="BK24" s="64">
        <f>IF(AND(BI24&gt;0,BJ23&gt;0,B24&gt;0),MIN(conv_cap,conv_beta*1*BI24*MAX(0,LN(B24/(BJ23*BL23)))),0)</f>
        <v/>
      </c>
      <c r="BL24" s="65">
        <f>BL23*(1+BK24)</f>
        <v/>
      </c>
      <c r="BM24" s="47">
        <f>BH24*BL24</f>
        <v/>
      </c>
      <c r="BN24" s="67">
        <f>IF(BG24&gt;0,BM24*1000000/BG24/Economy!Q24,0)</f>
        <v/>
      </c>
      <c r="BO24" s="45" t="n">
        <v>0</v>
      </c>
      <c r="BP24" s="45" t="n">
        <v>0</v>
      </c>
      <c r="BQ24" s="68" t="n">
        <v>0</v>
      </c>
      <c r="BR24" s="47">
        <f>IF(BO24&gt;0,BP24*1000000/BO24,0)</f>
        <v/>
      </c>
      <c r="BS24" s="64">
        <f>IF(AND(BQ24&gt;0,BR23&gt;0,B24&gt;0),MIN(conv_cap,conv_beta*1*BQ24*MAX(0,LN(B24/(BR23*BT23)))),0)</f>
        <v/>
      </c>
      <c r="BT24" s="65">
        <f>BT23*(1+BS24)</f>
        <v/>
      </c>
      <c r="BU24" s="47">
        <f>BP24*BT24</f>
        <v/>
      </c>
      <c r="BV24" s="67">
        <f>IF(BO24&gt;0,BU24*1000000/BO24/Economy!Q24,0)</f>
        <v/>
      </c>
      <c r="BW24" s="65">
        <f>0.25*IF(D24&gt;0,H24,1)+0.15*IF(AJ24&gt;0,AN24,1)+0.03*IF(AR24&gt;0,AV24,1)+0.08*IF(AZ24&gt;0,BD24,1)+0.12*IF(BH24&gt;0,BL24,1)+0.1*IF(L24&gt;0,P24,1)+0.07*IF(T24&gt;0,X24,1)+0.05*IF(AB24&gt;0,AF24,1)+0.05*IF(BP24&gt;0,BT24,1)+0.1</f>
        <v/>
      </c>
      <c r="BX24" s="63">
        <f>MIN(mkt_cap,mkt_elast*MAX(0,BW24-1))</f>
        <v/>
      </c>
      <c r="BY24" s="47">
        <f>I24+Q24+Y24+AG24</f>
        <v/>
      </c>
      <c r="BZ24" s="47">
        <f>D24+L24+T24+AB24</f>
        <v/>
      </c>
      <c r="CA24" s="65">
        <f>IF(BZ24&gt;0,BY24/BZ24,0)</f>
        <v/>
      </c>
    </row>
    <row r="25">
      <c r="A25" s="61" t="n">
        <v>1865</v>
      </c>
      <c r="B25" s="47">
        <f>Economy!P24</f>
        <v/>
      </c>
      <c r="C25" s="45" t="n">
        <v>0</v>
      </c>
      <c r="D25" s="62">
        <f>Japan!B25</f>
        <v/>
      </c>
      <c r="E25" s="68" t="n">
        <v>0.24</v>
      </c>
      <c r="F25" s="47">
        <f>IF(C25&gt;0,D25*1000000/C25,0)</f>
        <v/>
      </c>
      <c r="G25" s="64">
        <f>IF(AND(E25&gt;0,F24&gt;0,B25&gt;0),MIN(conv_cap,conv_beta*jp_uplift*E25*MAX(0,LN(B25/(F24*H24)))),0)</f>
        <v/>
      </c>
      <c r="H25" s="65">
        <f>H24*(1+G25)</f>
        <v/>
      </c>
      <c r="I25" s="47">
        <f>D25*H25</f>
        <v/>
      </c>
      <c r="J25" s="67">
        <f>IF(C25&gt;0,I25*1000000/C25/Economy!Q25,0)</f>
        <v/>
      </c>
      <c r="K25" s="62">
        <f>Gulf!B25</f>
        <v/>
      </c>
      <c r="L25" s="47">
        <f>Gulf!B25*Gulf!C25*Economy!Q25/1000000</f>
        <v/>
      </c>
      <c r="M25" s="68" t="n">
        <v>0</v>
      </c>
      <c r="N25" s="47">
        <f>IF(K25&gt;0,L25*1000000/K25,0)</f>
        <v/>
      </c>
      <c r="O25" s="64">
        <f>IF(AND(M25&gt;0,N24&gt;0,B25&gt;0),MIN(conv_cap,conv_beta*1*M25*MAX(0,LN(B25/(N24*P24)))),0)</f>
        <v/>
      </c>
      <c r="P25" s="65">
        <f>P24*(1+O25)</f>
        <v/>
      </c>
      <c r="Q25" s="47">
        <f>L25*P25</f>
        <v/>
      </c>
      <c r="R25" s="67">
        <f>IF(K25&gt;0,Q25*1000000/K25/Economy!Q25,0)</f>
        <v/>
      </c>
      <c r="S25" s="62">
        <f>People!U25</f>
        <v/>
      </c>
      <c r="T25" s="45" t="n">
        <v>0</v>
      </c>
      <c r="U25" s="68" t="n">
        <v>0</v>
      </c>
      <c r="V25" s="47">
        <f>IF(S25&gt;0,T25*1000000/S25,0)</f>
        <v/>
      </c>
      <c r="W25" s="64">
        <f>IF(AND(U25&gt;0,V24&gt;0,B25&gt;0),MIN(conv_cap,conv_beta*1*U25*MAX(0,LN(B25/(V24*X24)))),0)</f>
        <v/>
      </c>
      <c r="X25" s="65">
        <f>X24*(1+W25)</f>
        <v/>
      </c>
      <c r="Y25" s="47">
        <f>T25*X25</f>
        <v/>
      </c>
      <c r="Z25" s="67">
        <f>IF(S25&gt;0,Y25*1000000/S25/Economy!Q25,0)</f>
        <v/>
      </c>
      <c r="AA25" s="45" t="n">
        <v>0</v>
      </c>
      <c r="AB25" s="45" t="n">
        <v>0</v>
      </c>
      <c r="AC25" s="68" t="n">
        <v>0</v>
      </c>
      <c r="AD25" s="47">
        <f>IF(AA25&gt;0,AB25*1000000/AA25,0)</f>
        <v/>
      </c>
      <c r="AE25" s="64">
        <f>IF(AND(AC25&gt;0,AD24&gt;0,B25&gt;0),MIN(conv_cap,conv_beta*1*AC25*MAX(0,LN(B25/(AD24*AF24)))),0)</f>
        <v/>
      </c>
      <c r="AF25" s="65">
        <f>AF24*(1+AE25)</f>
        <v/>
      </c>
      <c r="AG25" s="47">
        <f>AB25*AF25</f>
        <v/>
      </c>
      <c r="AH25" s="67">
        <f>IF(AA25&gt;0,AG25*1000000/AA25/Economy!Q25,0)</f>
        <v/>
      </c>
      <c r="AI25" s="45" t="n">
        <v>353000000</v>
      </c>
      <c r="AJ25" s="45" t="n">
        <v>3375</v>
      </c>
      <c r="AK25" s="68" t="n">
        <v>0.062</v>
      </c>
      <c r="AL25" s="47">
        <f>IF(AI25&gt;0,AJ25*1000000/AI25,0)</f>
        <v/>
      </c>
      <c r="AM25" s="64">
        <f>IF(AND(AK25&gt;0,AL24&gt;0,B25&gt;0),MIN(conv_cap,conv_beta*1*AK25*MAX(0,LN(B25/(AL24*AN24)))),0)</f>
        <v/>
      </c>
      <c r="AN25" s="65">
        <f>AN24*(1+AM25)</f>
        <v/>
      </c>
      <c r="AO25" s="47">
        <f>AJ25*AN25</f>
        <v/>
      </c>
      <c r="AP25" s="67">
        <f>IF(AI25&gt;0,AO25*1000000/AI25/Economy!Q25,0)</f>
        <v/>
      </c>
      <c r="AQ25" s="45" t="n">
        <v>0</v>
      </c>
      <c r="AR25" s="45" t="n">
        <v>0</v>
      </c>
      <c r="AS25" s="68" t="n">
        <v>0</v>
      </c>
      <c r="AT25" s="47">
        <f>IF(AQ25&gt;0,AR25*1000000/AQ25,0)</f>
        <v/>
      </c>
      <c r="AU25" s="64">
        <f>IF(AND(AS25&gt;0,AT24&gt;0,B25&gt;0),MIN(conv_cap,conv_beta*1*AS25*MAX(0,LN(B25/(AT24*AV24)))),0)</f>
        <v/>
      </c>
      <c r="AV25" s="65">
        <f>AV24*(1+AU25)</f>
        <v/>
      </c>
      <c r="AW25" s="47">
        <f>AR25*AV25</f>
        <v/>
      </c>
      <c r="AX25" s="67">
        <f>IF(AQ25&gt;0,AW25*1000000/AQ25/Economy!Q25,0)</f>
        <v/>
      </c>
      <c r="AY25" s="45" t="n">
        <v>0</v>
      </c>
      <c r="AZ25" s="45" t="n">
        <v>0</v>
      </c>
      <c r="BA25" s="68" t="n">
        <v>0</v>
      </c>
      <c r="BB25" s="47">
        <f>IF(AY25&gt;0,AZ25*1000000/AY25,0)</f>
        <v/>
      </c>
      <c r="BC25" s="64">
        <f>IF(AND(BA25&gt;0,BB24&gt;0,B25&gt;0),MIN(conv_cap,conv_beta*1*BA25*MAX(0,LN(B25/(BB24*BD24)))),0)</f>
        <v/>
      </c>
      <c r="BD25" s="65">
        <f>BD24*(1+BC25)</f>
        <v/>
      </c>
      <c r="BE25" s="47">
        <f>AZ25*BD25</f>
        <v/>
      </c>
      <c r="BF25" s="67">
        <f>IF(AY25&gt;0,BE25*1000000/AY25/Economy!Q25,0)</f>
        <v/>
      </c>
      <c r="BG25" s="45" t="n">
        <v>0</v>
      </c>
      <c r="BH25" s="45" t="n">
        <v>0</v>
      </c>
      <c r="BI25" s="68" t="n">
        <v>0</v>
      </c>
      <c r="BJ25" s="47">
        <f>IF(BG25&gt;0,BH25*1000000/BG25,0)</f>
        <v/>
      </c>
      <c r="BK25" s="64">
        <f>IF(AND(BI25&gt;0,BJ24&gt;0,B25&gt;0),MIN(conv_cap,conv_beta*1*BI25*MAX(0,LN(B25/(BJ24*BL24)))),0)</f>
        <v/>
      </c>
      <c r="BL25" s="65">
        <f>BL24*(1+BK25)</f>
        <v/>
      </c>
      <c r="BM25" s="47">
        <f>BH25*BL25</f>
        <v/>
      </c>
      <c r="BN25" s="67">
        <f>IF(BG25&gt;0,BM25*1000000/BG25/Economy!Q25,0)</f>
        <v/>
      </c>
      <c r="BO25" s="45" t="n">
        <v>0</v>
      </c>
      <c r="BP25" s="45" t="n">
        <v>0</v>
      </c>
      <c r="BQ25" s="68" t="n">
        <v>0</v>
      </c>
      <c r="BR25" s="47">
        <f>IF(BO25&gt;0,BP25*1000000/BO25,0)</f>
        <v/>
      </c>
      <c r="BS25" s="64">
        <f>IF(AND(BQ25&gt;0,BR24&gt;0,B25&gt;0),MIN(conv_cap,conv_beta*1*BQ25*MAX(0,LN(B25/(BR24*BT24)))),0)</f>
        <v/>
      </c>
      <c r="BT25" s="65">
        <f>BT24*(1+BS25)</f>
        <v/>
      </c>
      <c r="BU25" s="47">
        <f>BP25*BT25</f>
        <v/>
      </c>
      <c r="BV25" s="67">
        <f>IF(BO25&gt;0,BU25*1000000/BO25/Economy!Q25,0)</f>
        <v/>
      </c>
      <c r="BW25" s="65">
        <f>0.25*IF(D25&gt;0,H25,1)+0.15*IF(AJ25&gt;0,AN25,1)+0.03*IF(AR25&gt;0,AV25,1)+0.08*IF(AZ25&gt;0,BD25,1)+0.12*IF(BH25&gt;0,BL25,1)+0.1*IF(L25&gt;0,P25,1)+0.07*IF(T25&gt;0,X25,1)+0.05*IF(AB25&gt;0,AF25,1)+0.05*IF(BP25&gt;0,BT25,1)+0.1</f>
        <v/>
      </c>
      <c r="BX25" s="63">
        <f>MIN(mkt_cap,mkt_elast*MAX(0,BW25-1))</f>
        <v/>
      </c>
      <c r="BY25" s="47">
        <f>I25+Q25+Y25+AG25</f>
        <v/>
      </c>
      <c r="BZ25" s="47">
        <f>D25+L25+T25+AB25</f>
        <v/>
      </c>
      <c r="CA25" s="65">
        <f>IF(BZ25&gt;0,BY25/BZ25,0)</f>
        <v/>
      </c>
    </row>
    <row r="26">
      <c r="A26" s="58" t="n">
        <v>1866</v>
      </c>
      <c r="B26" s="47">
        <f>Economy!P25</f>
        <v/>
      </c>
      <c r="C26" s="45" t="n">
        <v>0</v>
      </c>
      <c r="D26" s="62">
        <f>Japan!B26</f>
        <v/>
      </c>
      <c r="E26" s="68" t="n">
        <v>0.26</v>
      </c>
      <c r="F26" s="47">
        <f>IF(C26&gt;0,D26*1000000/C26,0)</f>
        <v/>
      </c>
      <c r="G26" s="64">
        <f>IF(AND(E26&gt;0,F25&gt;0,B26&gt;0),MIN(conv_cap,conv_beta*jp_uplift*E26*MAX(0,LN(B26/(F25*H25)))),0)</f>
        <v/>
      </c>
      <c r="H26" s="65">
        <f>H25*(1+G26)</f>
        <v/>
      </c>
      <c r="I26" s="47">
        <f>D26*H26</f>
        <v/>
      </c>
      <c r="J26" s="67">
        <f>IF(C26&gt;0,I26*1000000/C26/Economy!Q26,0)</f>
        <v/>
      </c>
      <c r="K26" s="62">
        <f>Gulf!B26</f>
        <v/>
      </c>
      <c r="L26" s="47">
        <f>Gulf!B26*Gulf!C26*Economy!Q26/1000000</f>
        <v/>
      </c>
      <c r="M26" s="68" t="n">
        <v>0</v>
      </c>
      <c r="N26" s="47">
        <f>IF(K26&gt;0,L26*1000000/K26,0)</f>
        <v/>
      </c>
      <c r="O26" s="64">
        <f>IF(AND(M26&gt;0,N25&gt;0,B26&gt;0),MIN(conv_cap,conv_beta*1*M26*MAX(0,LN(B26/(N25*P25)))),0)</f>
        <v/>
      </c>
      <c r="P26" s="65">
        <f>P25*(1+O26)</f>
        <v/>
      </c>
      <c r="Q26" s="47">
        <f>L26*P26</f>
        <v/>
      </c>
      <c r="R26" s="67">
        <f>IF(K26&gt;0,Q26*1000000/K26/Economy!Q26,0)</f>
        <v/>
      </c>
      <c r="S26" s="62">
        <f>People!U26</f>
        <v/>
      </c>
      <c r="T26" s="45" t="n">
        <v>0</v>
      </c>
      <c r="U26" s="68" t="n">
        <v>0</v>
      </c>
      <c r="V26" s="47">
        <f>IF(S26&gt;0,T26*1000000/S26,0)</f>
        <v/>
      </c>
      <c r="W26" s="64">
        <f>IF(AND(U26&gt;0,V25&gt;0,B26&gt;0),MIN(conv_cap,conv_beta*1*U26*MAX(0,LN(B26/(V25*X25)))),0)</f>
        <v/>
      </c>
      <c r="X26" s="65">
        <f>X25*(1+W26)</f>
        <v/>
      </c>
      <c r="Y26" s="47">
        <f>T26*X26</f>
        <v/>
      </c>
      <c r="Z26" s="67">
        <f>IF(S26&gt;0,Y26*1000000/S26/Economy!Q26,0)</f>
        <v/>
      </c>
      <c r="AA26" s="45" t="n">
        <v>0</v>
      </c>
      <c r="AB26" s="45" t="n">
        <v>0</v>
      </c>
      <c r="AC26" s="68" t="n">
        <v>0</v>
      </c>
      <c r="AD26" s="47">
        <f>IF(AA26&gt;0,AB26*1000000/AA26,0)</f>
        <v/>
      </c>
      <c r="AE26" s="64">
        <f>IF(AND(AC26&gt;0,AD25&gt;0,B26&gt;0),MIN(conv_cap,conv_beta*1*AC26*MAX(0,LN(B26/(AD25*AF25)))),0)</f>
        <v/>
      </c>
      <c r="AF26" s="65">
        <f>AF25*(1+AE26)</f>
        <v/>
      </c>
      <c r="AG26" s="47">
        <f>AB26*AF26</f>
        <v/>
      </c>
      <c r="AH26" s="67">
        <f>IF(AA26&gt;0,AG26*1000000/AA26/Economy!Q26,0)</f>
        <v/>
      </c>
      <c r="AI26" s="45" t="n">
        <v>354000000</v>
      </c>
      <c r="AJ26" s="45" t="n">
        <v>3400</v>
      </c>
      <c r="AK26" s="68" t="n">
        <v>0.065</v>
      </c>
      <c r="AL26" s="47">
        <f>IF(AI26&gt;0,AJ26*1000000/AI26,0)</f>
        <v/>
      </c>
      <c r="AM26" s="64">
        <f>IF(AND(AK26&gt;0,AL25&gt;0,B26&gt;0),MIN(conv_cap,conv_beta*1*AK26*MAX(0,LN(B26/(AL25*AN25)))),0)</f>
        <v/>
      </c>
      <c r="AN26" s="65">
        <f>AN25*(1+AM26)</f>
        <v/>
      </c>
      <c r="AO26" s="47">
        <f>AJ26*AN26</f>
        <v/>
      </c>
      <c r="AP26" s="67">
        <f>IF(AI26&gt;0,AO26*1000000/AI26/Economy!Q26,0)</f>
        <v/>
      </c>
      <c r="AQ26" s="45" t="n">
        <v>0</v>
      </c>
      <c r="AR26" s="45" t="n">
        <v>0</v>
      </c>
      <c r="AS26" s="68" t="n">
        <v>0</v>
      </c>
      <c r="AT26" s="47">
        <f>IF(AQ26&gt;0,AR26*1000000/AQ26,0)</f>
        <v/>
      </c>
      <c r="AU26" s="64">
        <f>IF(AND(AS26&gt;0,AT25&gt;0,B26&gt;0),MIN(conv_cap,conv_beta*1*AS26*MAX(0,LN(B26/(AT25*AV25)))),0)</f>
        <v/>
      </c>
      <c r="AV26" s="65">
        <f>AV25*(1+AU26)</f>
        <v/>
      </c>
      <c r="AW26" s="47">
        <f>AR26*AV26</f>
        <v/>
      </c>
      <c r="AX26" s="67">
        <f>IF(AQ26&gt;0,AW26*1000000/AQ26/Economy!Q26,0)</f>
        <v/>
      </c>
      <c r="AY26" s="45" t="n">
        <v>0</v>
      </c>
      <c r="AZ26" s="45" t="n">
        <v>0</v>
      </c>
      <c r="BA26" s="68" t="n">
        <v>0</v>
      </c>
      <c r="BB26" s="47">
        <f>IF(AY26&gt;0,AZ26*1000000/AY26,0)</f>
        <v/>
      </c>
      <c r="BC26" s="64">
        <f>IF(AND(BA26&gt;0,BB25&gt;0,B26&gt;0),MIN(conv_cap,conv_beta*1*BA26*MAX(0,LN(B26/(BB25*BD25)))),0)</f>
        <v/>
      </c>
      <c r="BD26" s="65">
        <f>BD25*(1+BC26)</f>
        <v/>
      </c>
      <c r="BE26" s="47">
        <f>AZ26*BD26</f>
        <v/>
      </c>
      <c r="BF26" s="67">
        <f>IF(AY26&gt;0,BE26*1000000/AY26/Economy!Q26,0)</f>
        <v/>
      </c>
      <c r="BG26" s="45" t="n">
        <v>0</v>
      </c>
      <c r="BH26" s="45" t="n">
        <v>0</v>
      </c>
      <c r="BI26" s="68" t="n">
        <v>0</v>
      </c>
      <c r="BJ26" s="47">
        <f>IF(BG26&gt;0,BH26*1000000/BG26,0)</f>
        <v/>
      </c>
      <c r="BK26" s="64">
        <f>IF(AND(BI26&gt;0,BJ25&gt;0,B26&gt;0),MIN(conv_cap,conv_beta*1*BI26*MAX(0,LN(B26/(BJ25*BL25)))),0)</f>
        <v/>
      </c>
      <c r="BL26" s="65">
        <f>BL25*(1+BK26)</f>
        <v/>
      </c>
      <c r="BM26" s="47">
        <f>BH26*BL26</f>
        <v/>
      </c>
      <c r="BN26" s="67">
        <f>IF(BG26&gt;0,BM26*1000000/BG26/Economy!Q26,0)</f>
        <v/>
      </c>
      <c r="BO26" s="45" t="n">
        <v>0</v>
      </c>
      <c r="BP26" s="45" t="n">
        <v>0</v>
      </c>
      <c r="BQ26" s="68" t="n">
        <v>0</v>
      </c>
      <c r="BR26" s="47">
        <f>IF(BO26&gt;0,BP26*1000000/BO26,0)</f>
        <v/>
      </c>
      <c r="BS26" s="64">
        <f>IF(AND(BQ26&gt;0,BR25&gt;0,B26&gt;0),MIN(conv_cap,conv_beta*1*BQ26*MAX(0,LN(B26/(BR25*BT25)))),0)</f>
        <v/>
      </c>
      <c r="BT26" s="65">
        <f>BT25*(1+BS26)</f>
        <v/>
      </c>
      <c r="BU26" s="47">
        <f>BP26*BT26</f>
        <v/>
      </c>
      <c r="BV26" s="67">
        <f>IF(BO26&gt;0,BU26*1000000/BO26/Economy!Q26,0)</f>
        <v/>
      </c>
      <c r="BW26" s="65">
        <f>0.25*IF(D26&gt;0,H26,1)+0.15*IF(AJ26&gt;0,AN26,1)+0.03*IF(AR26&gt;0,AV26,1)+0.08*IF(AZ26&gt;0,BD26,1)+0.12*IF(BH26&gt;0,BL26,1)+0.1*IF(L26&gt;0,P26,1)+0.07*IF(T26&gt;0,X26,1)+0.05*IF(AB26&gt;0,AF26,1)+0.05*IF(BP26&gt;0,BT26,1)+0.1</f>
        <v/>
      </c>
      <c r="BX26" s="63">
        <f>MIN(mkt_cap,mkt_elast*MAX(0,BW26-1))</f>
        <v/>
      </c>
      <c r="BY26" s="47">
        <f>I26+Q26+Y26+AG26</f>
        <v/>
      </c>
      <c r="BZ26" s="47">
        <f>D26+L26+T26+AB26</f>
        <v/>
      </c>
      <c r="CA26" s="65">
        <f>IF(BZ26&gt;0,BY26/BZ26,0)</f>
        <v/>
      </c>
    </row>
    <row r="27">
      <c r="A27" s="58" t="n">
        <v>1867</v>
      </c>
      <c r="B27" s="47">
        <f>Economy!P26</f>
        <v/>
      </c>
      <c r="C27" s="45" t="n">
        <v>0</v>
      </c>
      <c r="D27" s="62">
        <f>Japan!B27</f>
        <v/>
      </c>
      <c r="E27" s="68" t="n">
        <v>0.28</v>
      </c>
      <c r="F27" s="47">
        <f>IF(C27&gt;0,D27*1000000/C27,0)</f>
        <v/>
      </c>
      <c r="G27" s="64">
        <f>IF(AND(E27&gt;0,F26&gt;0,B27&gt;0),MIN(conv_cap,conv_beta*jp_uplift*E27*MAX(0,LN(B27/(F26*H26)))),0)</f>
        <v/>
      </c>
      <c r="H27" s="65">
        <f>H26*(1+G27)</f>
        <v/>
      </c>
      <c r="I27" s="47">
        <f>D27*H27</f>
        <v/>
      </c>
      <c r="J27" s="67">
        <f>IF(C27&gt;0,I27*1000000/C27/Economy!Q27,0)</f>
        <v/>
      </c>
      <c r="K27" s="62">
        <f>Gulf!B27</f>
        <v/>
      </c>
      <c r="L27" s="47">
        <f>Gulf!B27*Gulf!C27*Economy!Q27/1000000</f>
        <v/>
      </c>
      <c r="M27" s="68" t="n">
        <v>0</v>
      </c>
      <c r="N27" s="47">
        <f>IF(K27&gt;0,L27*1000000/K27,0)</f>
        <v/>
      </c>
      <c r="O27" s="64">
        <f>IF(AND(M27&gt;0,N26&gt;0,B27&gt;0),MIN(conv_cap,conv_beta*1*M27*MAX(0,LN(B27/(N26*P26)))),0)</f>
        <v/>
      </c>
      <c r="P27" s="65">
        <f>P26*(1+O27)</f>
        <v/>
      </c>
      <c r="Q27" s="47">
        <f>L27*P27</f>
        <v/>
      </c>
      <c r="R27" s="67">
        <f>IF(K27&gt;0,Q27*1000000/K27/Economy!Q27,0)</f>
        <v/>
      </c>
      <c r="S27" s="62">
        <f>People!U27</f>
        <v/>
      </c>
      <c r="T27" s="45" t="n">
        <v>0</v>
      </c>
      <c r="U27" s="68" t="n">
        <v>0</v>
      </c>
      <c r="V27" s="47">
        <f>IF(S27&gt;0,T27*1000000/S27,0)</f>
        <v/>
      </c>
      <c r="W27" s="64">
        <f>IF(AND(U27&gt;0,V26&gt;0,B27&gt;0),MIN(conv_cap,conv_beta*1*U27*MAX(0,LN(B27/(V26*X26)))),0)</f>
        <v/>
      </c>
      <c r="X27" s="65">
        <f>X26*(1+W27)</f>
        <v/>
      </c>
      <c r="Y27" s="47">
        <f>T27*X27</f>
        <v/>
      </c>
      <c r="Z27" s="67">
        <f>IF(S27&gt;0,Y27*1000000/S27/Economy!Q27,0)</f>
        <v/>
      </c>
      <c r="AA27" s="45" t="n">
        <v>0</v>
      </c>
      <c r="AB27" s="45" t="n">
        <v>0</v>
      </c>
      <c r="AC27" s="68" t="n">
        <v>0</v>
      </c>
      <c r="AD27" s="47">
        <f>IF(AA27&gt;0,AB27*1000000/AA27,0)</f>
        <v/>
      </c>
      <c r="AE27" s="64">
        <f>IF(AND(AC27&gt;0,AD26&gt;0,B27&gt;0),MIN(conv_cap,conv_beta*1*AC27*MAX(0,LN(B27/(AD26*AF26)))),0)</f>
        <v/>
      </c>
      <c r="AF27" s="65">
        <f>AF26*(1+AE27)</f>
        <v/>
      </c>
      <c r="AG27" s="47">
        <f>AB27*AF27</f>
        <v/>
      </c>
      <c r="AH27" s="67">
        <f>IF(AA27&gt;0,AG27*1000000/AA27/Economy!Q27,0)</f>
        <v/>
      </c>
      <c r="AI27" s="45" t="n">
        <v>355000000</v>
      </c>
      <c r="AJ27" s="45" t="n">
        <v>3425</v>
      </c>
      <c r="AK27" s="68" t="n">
        <v>0.06900000000000001</v>
      </c>
      <c r="AL27" s="47">
        <f>IF(AI27&gt;0,AJ27*1000000/AI27,0)</f>
        <v/>
      </c>
      <c r="AM27" s="64">
        <f>IF(AND(AK27&gt;0,AL26&gt;0,B27&gt;0),MIN(conv_cap,conv_beta*1*AK27*MAX(0,LN(B27/(AL26*AN26)))),0)</f>
        <v/>
      </c>
      <c r="AN27" s="65">
        <f>AN26*(1+AM27)</f>
        <v/>
      </c>
      <c r="AO27" s="47">
        <f>AJ27*AN27</f>
        <v/>
      </c>
      <c r="AP27" s="67">
        <f>IF(AI27&gt;0,AO27*1000000/AI27/Economy!Q27,0)</f>
        <v/>
      </c>
      <c r="AQ27" s="45" t="n">
        <v>0</v>
      </c>
      <c r="AR27" s="45" t="n">
        <v>0</v>
      </c>
      <c r="AS27" s="68" t="n">
        <v>0</v>
      </c>
      <c r="AT27" s="47">
        <f>IF(AQ27&gt;0,AR27*1000000/AQ27,0)</f>
        <v/>
      </c>
      <c r="AU27" s="64">
        <f>IF(AND(AS27&gt;0,AT26&gt;0,B27&gt;0),MIN(conv_cap,conv_beta*1*AS27*MAX(0,LN(B27/(AT26*AV26)))),0)</f>
        <v/>
      </c>
      <c r="AV27" s="65">
        <f>AV26*(1+AU27)</f>
        <v/>
      </c>
      <c r="AW27" s="47">
        <f>AR27*AV27</f>
        <v/>
      </c>
      <c r="AX27" s="67">
        <f>IF(AQ27&gt;0,AW27*1000000/AQ27/Economy!Q27,0)</f>
        <v/>
      </c>
      <c r="AY27" s="45" t="n">
        <v>0</v>
      </c>
      <c r="AZ27" s="45" t="n">
        <v>0</v>
      </c>
      <c r="BA27" s="68" t="n">
        <v>0</v>
      </c>
      <c r="BB27" s="47">
        <f>IF(AY27&gt;0,AZ27*1000000/AY27,0)</f>
        <v/>
      </c>
      <c r="BC27" s="64">
        <f>IF(AND(BA27&gt;0,BB26&gt;0,B27&gt;0),MIN(conv_cap,conv_beta*1*BA27*MAX(0,LN(B27/(BB26*BD26)))),0)</f>
        <v/>
      </c>
      <c r="BD27" s="65">
        <f>BD26*(1+BC27)</f>
        <v/>
      </c>
      <c r="BE27" s="47">
        <f>AZ27*BD27</f>
        <v/>
      </c>
      <c r="BF27" s="67">
        <f>IF(AY27&gt;0,BE27*1000000/AY27/Economy!Q27,0)</f>
        <v/>
      </c>
      <c r="BG27" s="45" t="n">
        <v>0</v>
      </c>
      <c r="BH27" s="45" t="n">
        <v>0</v>
      </c>
      <c r="BI27" s="68" t="n">
        <v>0</v>
      </c>
      <c r="BJ27" s="47">
        <f>IF(BG27&gt;0,BH27*1000000/BG27,0)</f>
        <v/>
      </c>
      <c r="BK27" s="64">
        <f>IF(AND(BI27&gt;0,BJ26&gt;0,B27&gt;0),MIN(conv_cap,conv_beta*1*BI27*MAX(0,LN(B27/(BJ26*BL26)))),0)</f>
        <v/>
      </c>
      <c r="BL27" s="65">
        <f>BL26*(1+BK27)</f>
        <v/>
      </c>
      <c r="BM27" s="47">
        <f>BH27*BL27</f>
        <v/>
      </c>
      <c r="BN27" s="67">
        <f>IF(BG27&gt;0,BM27*1000000/BG27/Economy!Q27,0)</f>
        <v/>
      </c>
      <c r="BO27" s="45" t="n">
        <v>0</v>
      </c>
      <c r="BP27" s="45" t="n">
        <v>0</v>
      </c>
      <c r="BQ27" s="68" t="n">
        <v>0</v>
      </c>
      <c r="BR27" s="47">
        <f>IF(BO27&gt;0,BP27*1000000/BO27,0)</f>
        <v/>
      </c>
      <c r="BS27" s="64">
        <f>IF(AND(BQ27&gt;0,BR26&gt;0,B27&gt;0),MIN(conv_cap,conv_beta*1*BQ27*MAX(0,LN(B27/(BR26*BT26)))),0)</f>
        <v/>
      </c>
      <c r="BT27" s="65">
        <f>BT26*(1+BS27)</f>
        <v/>
      </c>
      <c r="BU27" s="47">
        <f>BP27*BT27</f>
        <v/>
      </c>
      <c r="BV27" s="67">
        <f>IF(BO27&gt;0,BU27*1000000/BO27/Economy!Q27,0)</f>
        <v/>
      </c>
      <c r="BW27" s="65">
        <f>0.25*IF(D27&gt;0,H27,1)+0.15*IF(AJ27&gt;0,AN27,1)+0.03*IF(AR27&gt;0,AV27,1)+0.08*IF(AZ27&gt;0,BD27,1)+0.12*IF(BH27&gt;0,BL27,1)+0.1*IF(L27&gt;0,P27,1)+0.07*IF(T27&gt;0,X27,1)+0.05*IF(AB27&gt;0,AF27,1)+0.05*IF(BP27&gt;0,BT27,1)+0.1</f>
        <v/>
      </c>
      <c r="BX27" s="63">
        <f>MIN(mkt_cap,mkt_elast*MAX(0,BW27-1))</f>
        <v/>
      </c>
      <c r="BY27" s="47">
        <f>I27+Q27+Y27+AG27</f>
        <v/>
      </c>
      <c r="BZ27" s="47">
        <f>D27+L27+T27+AB27</f>
        <v/>
      </c>
      <c r="CA27" s="65">
        <f>IF(BZ27&gt;0,BY27/BZ27,0)</f>
        <v/>
      </c>
    </row>
    <row r="28">
      <c r="A28" s="58" t="n">
        <v>1868</v>
      </c>
      <c r="B28" s="47">
        <f>Economy!P27</f>
        <v/>
      </c>
      <c r="C28" s="45" t="n">
        <v>34000000</v>
      </c>
      <c r="D28" s="62">
        <f>Japan!B28</f>
        <v/>
      </c>
      <c r="E28" s="68" t="n">
        <v>0.3</v>
      </c>
      <c r="F28" s="47">
        <f>IF(C28&gt;0,D28*1000000/C28,0)</f>
        <v/>
      </c>
      <c r="G28" s="64">
        <f>IF(AND(E28&gt;0,F27&gt;0,B28&gt;0),MIN(conv_cap,conv_beta*jp_uplift*E28*MAX(0,LN(B28/(F27*H27)))),0)</f>
        <v/>
      </c>
      <c r="H28" s="65">
        <f>H27*(1+G28)</f>
        <v/>
      </c>
      <c r="I28" s="47">
        <f>D28*H28</f>
        <v/>
      </c>
      <c r="J28" s="67">
        <f>IF(C28&gt;0,I28*1000000/C28/Economy!Q28,0)</f>
        <v/>
      </c>
      <c r="K28" s="62">
        <f>Gulf!B28</f>
        <v/>
      </c>
      <c r="L28" s="47">
        <f>Gulf!B28*Gulf!C28*Economy!Q28/1000000</f>
        <v/>
      </c>
      <c r="M28" s="68" t="n">
        <v>0</v>
      </c>
      <c r="N28" s="47">
        <f>IF(K28&gt;0,L28*1000000/K28,0)</f>
        <v/>
      </c>
      <c r="O28" s="64">
        <f>IF(AND(M28&gt;0,N27&gt;0,B28&gt;0),MIN(conv_cap,conv_beta*1*M28*MAX(0,LN(B28/(N27*P27)))),0)</f>
        <v/>
      </c>
      <c r="P28" s="65">
        <f>P27*(1+O28)</f>
        <v/>
      </c>
      <c r="Q28" s="47">
        <f>L28*P28</f>
        <v/>
      </c>
      <c r="R28" s="67">
        <f>IF(K28&gt;0,Q28*1000000/K28/Economy!Q28,0)</f>
        <v/>
      </c>
      <c r="S28" s="62">
        <f>People!U28</f>
        <v/>
      </c>
      <c r="T28" s="45" t="n">
        <v>0</v>
      </c>
      <c r="U28" s="68" t="n">
        <v>0</v>
      </c>
      <c r="V28" s="47">
        <f>IF(S28&gt;0,T28*1000000/S28,0)</f>
        <v/>
      </c>
      <c r="W28" s="64">
        <f>IF(AND(U28&gt;0,V27&gt;0,B28&gt;0),MIN(conv_cap,conv_beta*1*U28*MAX(0,LN(B28/(V27*X27)))),0)</f>
        <v/>
      </c>
      <c r="X28" s="65">
        <f>X27*(1+W28)</f>
        <v/>
      </c>
      <c r="Y28" s="47">
        <f>T28*X28</f>
        <v/>
      </c>
      <c r="Z28" s="67">
        <f>IF(S28&gt;0,Y28*1000000/S28/Economy!Q28,0)</f>
        <v/>
      </c>
      <c r="AA28" s="45" t="n">
        <v>0</v>
      </c>
      <c r="AB28" s="45" t="n">
        <v>0</v>
      </c>
      <c r="AC28" s="68" t="n">
        <v>0</v>
      </c>
      <c r="AD28" s="47">
        <f>IF(AA28&gt;0,AB28*1000000/AA28,0)</f>
        <v/>
      </c>
      <c r="AE28" s="64">
        <f>IF(AND(AC28&gt;0,AD27&gt;0,B28&gt;0),MIN(conv_cap,conv_beta*1*AC28*MAX(0,LN(B28/(AD27*AF27)))),0)</f>
        <v/>
      </c>
      <c r="AF28" s="65">
        <f>AF27*(1+AE28)</f>
        <v/>
      </c>
      <c r="AG28" s="47">
        <f>AB28*AF28</f>
        <v/>
      </c>
      <c r="AH28" s="67">
        <f>IF(AA28&gt;0,AG28*1000000/AA28/Economy!Q28,0)</f>
        <v/>
      </c>
      <c r="AI28" s="45" t="n">
        <v>356000000</v>
      </c>
      <c r="AJ28" s="45" t="n">
        <v>3450</v>
      </c>
      <c r="AK28" s="68" t="n">
        <v>0.073</v>
      </c>
      <c r="AL28" s="47">
        <f>IF(AI28&gt;0,AJ28*1000000/AI28,0)</f>
        <v/>
      </c>
      <c r="AM28" s="64">
        <f>IF(AND(AK28&gt;0,AL27&gt;0,B28&gt;0),MIN(conv_cap,conv_beta*1*AK28*MAX(0,LN(B28/(AL27*AN27)))),0)</f>
        <v/>
      </c>
      <c r="AN28" s="65">
        <f>AN27*(1+AM28)</f>
        <v/>
      </c>
      <c r="AO28" s="47">
        <f>AJ28*AN28</f>
        <v/>
      </c>
      <c r="AP28" s="67">
        <f>IF(AI28&gt;0,AO28*1000000/AI28/Economy!Q28,0)</f>
        <v/>
      </c>
      <c r="AQ28" s="45" t="n">
        <v>0</v>
      </c>
      <c r="AR28" s="45" t="n">
        <v>0</v>
      </c>
      <c r="AS28" s="68" t="n">
        <v>0</v>
      </c>
      <c r="AT28" s="47">
        <f>IF(AQ28&gt;0,AR28*1000000/AQ28,0)</f>
        <v/>
      </c>
      <c r="AU28" s="64">
        <f>IF(AND(AS28&gt;0,AT27&gt;0,B28&gt;0),MIN(conv_cap,conv_beta*1*AS28*MAX(0,LN(B28/(AT27*AV27)))),0)</f>
        <v/>
      </c>
      <c r="AV28" s="65">
        <f>AV27*(1+AU28)</f>
        <v/>
      </c>
      <c r="AW28" s="47">
        <f>AR28*AV28</f>
        <v/>
      </c>
      <c r="AX28" s="67">
        <f>IF(AQ28&gt;0,AW28*1000000/AQ28/Economy!Q28,0)</f>
        <v/>
      </c>
      <c r="AY28" s="45" t="n">
        <v>0</v>
      </c>
      <c r="AZ28" s="45" t="n">
        <v>0</v>
      </c>
      <c r="BA28" s="68" t="n">
        <v>0</v>
      </c>
      <c r="BB28" s="47">
        <f>IF(AY28&gt;0,AZ28*1000000/AY28,0)</f>
        <v/>
      </c>
      <c r="BC28" s="64">
        <f>IF(AND(BA28&gt;0,BB27&gt;0,B28&gt;0),MIN(conv_cap,conv_beta*1*BA28*MAX(0,LN(B28/(BB27*BD27)))),0)</f>
        <v/>
      </c>
      <c r="BD28" s="65">
        <f>BD27*(1+BC28)</f>
        <v/>
      </c>
      <c r="BE28" s="47">
        <f>AZ28*BD28</f>
        <v/>
      </c>
      <c r="BF28" s="67">
        <f>IF(AY28&gt;0,BE28*1000000/AY28/Economy!Q28,0)</f>
        <v/>
      </c>
      <c r="BG28" s="45" t="n">
        <v>0</v>
      </c>
      <c r="BH28" s="45" t="n">
        <v>0</v>
      </c>
      <c r="BI28" s="68" t="n">
        <v>0</v>
      </c>
      <c r="BJ28" s="47">
        <f>IF(BG28&gt;0,BH28*1000000/BG28,0)</f>
        <v/>
      </c>
      <c r="BK28" s="64">
        <f>IF(AND(BI28&gt;0,BJ27&gt;0,B28&gt;0),MIN(conv_cap,conv_beta*1*BI28*MAX(0,LN(B28/(BJ27*BL27)))),0)</f>
        <v/>
      </c>
      <c r="BL28" s="65">
        <f>BL27*(1+BK28)</f>
        <v/>
      </c>
      <c r="BM28" s="47">
        <f>BH28*BL28</f>
        <v/>
      </c>
      <c r="BN28" s="67">
        <f>IF(BG28&gt;0,BM28*1000000/BG28/Economy!Q28,0)</f>
        <v/>
      </c>
      <c r="BO28" s="45" t="n">
        <v>0</v>
      </c>
      <c r="BP28" s="45" t="n">
        <v>0</v>
      </c>
      <c r="BQ28" s="68" t="n">
        <v>0</v>
      </c>
      <c r="BR28" s="47">
        <f>IF(BO28&gt;0,BP28*1000000/BO28,0)</f>
        <v/>
      </c>
      <c r="BS28" s="64">
        <f>IF(AND(BQ28&gt;0,BR27&gt;0,B28&gt;0),MIN(conv_cap,conv_beta*1*BQ28*MAX(0,LN(B28/(BR27*BT27)))),0)</f>
        <v/>
      </c>
      <c r="BT28" s="65">
        <f>BT27*(1+BS28)</f>
        <v/>
      </c>
      <c r="BU28" s="47">
        <f>BP28*BT28</f>
        <v/>
      </c>
      <c r="BV28" s="67">
        <f>IF(BO28&gt;0,BU28*1000000/BO28/Economy!Q28,0)</f>
        <v/>
      </c>
      <c r="BW28" s="65">
        <f>0.25*IF(D28&gt;0,H28,1)+0.15*IF(AJ28&gt;0,AN28,1)+0.03*IF(AR28&gt;0,AV28,1)+0.08*IF(AZ28&gt;0,BD28,1)+0.12*IF(BH28&gt;0,BL28,1)+0.1*IF(L28&gt;0,P28,1)+0.07*IF(T28&gt;0,X28,1)+0.05*IF(AB28&gt;0,AF28,1)+0.05*IF(BP28&gt;0,BT28,1)+0.1</f>
        <v/>
      </c>
      <c r="BX28" s="63">
        <f>MIN(mkt_cap,mkt_elast*MAX(0,BW28-1))</f>
        <v/>
      </c>
      <c r="BY28" s="47">
        <f>I28+Q28+Y28+AG28</f>
        <v/>
      </c>
      <c r="BZ28" s="47">
        <f>D28+L28+T28+AB28</f>
        <v/>
      </c>
      <c r="CA28" s="65">
        <f>IF(BZ28&gt;0,BY28/BZ28,0)</f>
        <v/>
      </c>
    </row>
    <row r="29">
      <c r="A29" s="58" t="n">
        <v>1869</v>
      </c>
      <c r="B29" s="47">
        <f>Economy!P28</f>
        <v/>
      </c>
      <c r="C29" s="45" t="n">
        <v>34400000</v>
      </c>
      <c r="D29" s="62">
        <f>Japan!B29</f>
        <v/>
      </c>
      <c r="E29" s="68" t="n">
        <v>0.308</v>
      </c>
      <c r="F29" s="47">
        <f>IF(C29&gt;0,D29*1000000/C29,0)</f>
        <v/>
      </c>
      <c r="G29" s="64">
        <f>IF(AND(E29&gt;0,F28&gt;0,B29&gt;0),MIN(conv_cap,conv_beta*jp_uplift*E29*MAX(0,LN(B29/(F28*H28)))),0)</f>
        <v/>
      </c>
      <c r="H29" s="65">
        <f>H28*(1+G29)</f>
        <v/>
      </c>
      <c r="I29" s="47">
        <f>D29*H29</f>
        <v/>
      </c>
      <c r="J29" s="67">
        <f>IF(C29&gt;0,I29*1000000/C29/Economy!Q29,0)</f>
        <v/>
      </c>
      <c r="K29" s="62">
        <f>Gulf!B29</f>
        <v/>
      </c>
      <c r="L29" s="47">
        <f>Gulf!B29*Gulf!C29*Economy!Q29/1000000</f>
        <v/>
      </c>
      <c r="M29" s="68" t="n">
        <v>0</v>
      </c>
      <c r="N29" s="47">
        <f>IF(K29&gt;0,L29*1000000/K29,0)</f>
        <v/>
      </c>
      <c r="O29" s="64">
        <f>IF(AND(M29&gt;0,N28&gt;0,B29&gt;0),MIN(conv_cap,conv_beta*1*M29*MAX(0,LN(B29/(N28*P28)))),0)</f>
        <v/>
      </c>
      <c r="P29" s="65">
        <f>P28*(1+O29)</f>
        <v/>
      </c>
      <c r="Q29" s="47">
        <f>L29*P29</f>
        <v/>
      </c>
      <c r="R29" s="67">
        <f>IF(K29&gt;0,Q29*1000000/K29/Economy!Q29,0)</f>
        <v/>
      </c>
      <c r="S29" s="62">
        <f>People!U29</f>
        <v/>
      </c>
      <c r="T29" s="45" t="n">
        <v>0</v>
      </c>
      <c r="U29" s="68" t="n">
        <v>0</v>
      </c>
      <c r="V29" s="47">
        <f>IF(S29&gt;0,T29*1000000/S29,0)</f>
        <v/>
      </c>
      <c r="W29" s="64">
        <f>IF(AND(U29&gt;0,V28&gt;0,B29&gt;0),MIN(conv_cap,conv_beta*1*U29*MAX(0,LN(B29/(V28*X28)))),0)</f>
        <v/>
      </c>
      <c r="X29" s="65">
        <f>X28*(1+W29)</f>
        <v/>
      </c>
      <c r="Y29" s="47">
        <f>T29*X29</f>
        <v/>
      </c>
      <c r="Z29" s="67">
        <f>IF(S29&gt;0,Y29*1000000/S29/Economy!Q29,0)</f>
        <v/>
      </c>
      <c r="AA29" s="45" t="n">
        <v>0</v>
      </c>
      <c r="AB29" s="45" t="n">
        <v>0</v>
      </c>
      <c r="AC29" s="68" t="n">
        <v>0</v>
      </c>
      <c r="AD29" s="47">
        <f>IF(AA29&gt;0,AB29*1000000/AA29,0)</f>
        <v/>
      </c>
      <c r="AE29" s="64">
        <f>IF(AND(AC29&gt;0,AD28&gt;0,B29&gt;0),MIN(conv_cap,conv_beta*1*AC29*MAX(0,LN(B29/(AD28*AF28)))),0)</f>
        <v/>
      </c>
      <c r="AF29" s="65">
        <f>AF28*(1+AE29)</f>
        <v/>
      </c>
      <c r="AG29" s="47">
        <f>AB29*AF29</f>
        <v/>
      </c>
      <c r="AH29" s="67">
        <f>IF(AA29&gt;0,AG29*1000000/AA29/Economy!Q29,0)</f>
        <v/>
      </c>
      <c r="AI29" s="45" t="n">
        <v>357000000</v>
      </c>
      <c r="AJ29" s="45" t="n">
        <v>3475</v>
      </c>
      <c r="AK29" s="68" t="n">
        <v>0.077</v>
      </c>
      <c r="AL29" s="47">
        <f>IF(AI29&gt;0,AJ29*1000000/AI29,0)</f>
        <v/>
      </c>
      <c r="AM29" s="64">
        <f>IF(AND(AK29&gt;0,AL28&gt;0,B29&gt;0),MIN(conv_cap,conv_beta*1*AK29*MAX(0,LN(B29/(AL28*AN28)))),0)</f>
        <v/>
      </c>
      <c r="AN29" s="65">
        <f>AN28*(1+AM29)</f>
        <v/>
      </c>
      <c r="AO29" s="47">
        <f>AJ29*AN29</f>
        <v/>
      </c>
      <c r="AP29" s="67">
        <f>IF(AI29&gt;0,AO29*1000000/AI29/Economy!Q29,0)</f>
        <v/>
      </c>
      <c r="AQ29" s="45" t="n">
        <v>0</v>
      </c>
      <c r="AR29" s="45" t="n">
        <v>0</v>
      </c>
      <c r="AS29" s="68" t="n">
        <v>0</v>
      </c>
      <c r="AT29" s="47">
        <f>IF(AQ29&gt;0,AR29*1000000/AQ29,0)</f>
        <v/>
      </c>
      <c r="AU29" s="64">
        <f>IF(AND(AS29&gt;0,AT28&gt;0,B29&gt;0),MIN(conv_cap,conv_beta*1*AS29*MAX(0,LN(B29/(AT28*AV28)))),0)</f>
        <v/>
      </c>
      <c r="AV29" s="65">
        <f>AV28*(1+AU29)</f>
        <v/>
      </c>
      <c r="AW29" s="47">
        <f>AR29*AV29</f>
        <v/>
      </c>
      <c r="AX29" s="67">
        <f>IF(AQ29&gt;0,AW29*1000000/AQ29/Economy!Q29,0)</f>
        <v/>
      </c>
      <c r="AY29" s="45" t="n">
        <v>0</v>
      </c>
      <c r="AZ29" s="45" t="n">
        <v>0</v>
      </c>
      <c r="BA29" s="68" t="n">
        <v>0</v>
      </c>
      <c r="BB29" s="47">
        <f>IF(AY29&gt;0,AZ29*1000000/AY29,0)</f>
        <v/>
      </c>
      <c r="BC29" s="64">
        <f>IF(AND(BA29&gt;0,BB28&gt;0,B29&gt;0),MIN(conv_cap,conv_beta*1*BA29*MAX(0,LN(B29/(BB28*BD28)))),0)</f>
        <v/>
      </c>
      <c r="BD29" s="65">
        <f>BD28*(1+BC29)</f>
        <v/>
      </c>
      <c r="BE29" s="47">
        <f>AZ29*BD29</f>
        <v/>
      </c>
      <c r="BF29" s="67">
        <f>IF(AY29&gt;0,BE29*1000000/AY29/Economy!Q29,0)</f>
        <v/>
      </c>
      <c r="BG29" s="45" t="n">
        <v>0</v>
      </c>
      <c r="BH29" s="45" t="n">
        <v>0</v>
      </c>
      <c r="BI29" s="68" t="n">
        <v>0</v>
      </c>
      <c r="BJ29" s="47">
        <f>IF(BG29&gt;0,BH29*1000000/BG29,0)</f>
        <v/>
      </c>
      <c r="BK29" s="64">
        <f>IF(AND(BI29&gt;0,BJ28&gt;0,B29&gt;0),MIN(conv_cap,conv_beta*1*BI29*MAX(0,LN(B29/(BJ28*BL28)))),0)</f>
        <v/>
      </c>
      <c r="BL29" s="65">
        <f>BL28*(1+BK29)</f>
        <v/>
      </c>
      <c r="BM29" s="47">
        <f>BH29*BL29</f>
        <v/>
      </c>
      <c r="BN29" s="67">
        <f>IF(BG29&gt;0,BM29*1000000/BG29/Economy!Q29,0)</f>
        <v/>
      </c>
      <c r="BO29" s="45" t="n">
        <v>0</v>
      </c>
      <c r="BP29" s="45" t="n">
        <v>0</v>
      </c>
      <c r="BQ29" s="68" t="n">
        <v>0</v>
      </c>
      <c r="BR29" s="47">
        <f>IF(BO29&gt;0,BP29*1000000/BO29,0)</f>
        <v/>
      </c>
      <c r="BS29" s="64">
        <f>IF(AND(BQ29&gt;0,BR28&gt;0,B29&gt;0),MIN(conv_cap,conv_beta*1*BQ29*MAX(0,LN(B29/(BR28*BT28)))),0)</f>
        <v/>
      </c>
      <c r="BT29" s="65">
        <f>BT28*(1+BS29)</f>
        <v/>
      </c>
      <c r="BU29" s="47">
        <f>BP29*BT29</f>
        <v/>
      </c>
      <c r="BV29" s="67">
        <f>IF(BO29&gt;0,BU29*1000000/BO29/Economy!Q29,0)</f>
        <v/>
      </c>
      <c r="BW29" s="65">
        <f>0.25*IF(D29&gt;0,H29,1)+0.15*IF(AJ29&gt;0,AN29,1)+0.03*IF(AR29&gt;0,AV29,1)+0.08*IF(AZ29&gt;0,BD29,1)+0.12*IF(BH29&gt;0,BL29,1)+0.1*IF(L29&gt;0,P29,1)+0.07*IF(T29&gt;0,X29,1)+0.05*IF(AB29&gt;0,AF29,1)+0.05*IF(BP29&gt;0,BT29,1)+0.1</f>
        <v/>
      </c>
      <c r="BX29" s="63">
        <f>MIN(mkt_cap,mkt_elast*MAX(0,BW29-1))</f>
        <v/>
      </c>
      <c r="BY29" s="47">
        <f>I29+Q29+Y29+AG29</f>
        <v/>
      </c>
      <c r="BZ29" s="47">
        <f>D29+L29+T29+AB29</f>
        <v/>
      </c>
      <c r="CA29" s="65">
        <f>IF(BZ29&gt;0,BY29/BZ29,0)</f>
        <v/>
      </c>
    </row>
    <row r="30">
      <c r="A30" s="61" t="n">
        <v>1870</v>
      </c>
      <c r="B30" s="47">
        <f>Economy!P29</f>
        <v/>
      </c>
      <c r="C30" s="45" t="n">
        <v>34800000</v>
      </c>
      <c r="D30" s="62">
        <f>Japan!B30</f>
        <v/>
      </c>
      <c r="E30" s="68" t="n">
        <v>0.317</v>
      </c>
      <c r="F30" s="47">
        <f>IF(C30&gt;0,D30*1000000/C30,0)</f>
        <v/>
      </c>
      <c r="G30" s="64">
        <f>IF(AND(E30&gt;0,F29&gt;0,B30&gt;0),MIN(conv_cap,conv_beta*jp_uplift*E30*MAX(0,LN(B30/(F29*H29)))),0)</f>
        <v/>
      </c>
      <c r="H30" s="65">
        <f>H29*(1+G30)</f>
        <v/>
      </c>
      <c r="I30" s="47">
        <f>D30*H30</f>
        <v/>
      </c>
      <c r="J30" s="67">
        <f>IF(C30&gt;0,I30*1000000/C30/Economy!Q30,0)</f>
        <v/>
      </c>
      <c r="K30" s="62">
        <f>Gulf!B30</f>
        <v/>
      </c>
      <c r="L30" s="47">
        <f>Gulf!B30*Gulf!C30*Economy!Q30/1000000</f>
        <v/>
      </c>
      <c r="M30" s="68" t="n">
        <v>0</v>
      </c>
      <c r="N30" s="47">
        <f>IF(K30&gt;0,L30*1000000/K30,0)</f>
        <v/>
      </c>
      <c r="O30" s="64">
        <f>IF(AND(M30&gt;0,N29&gt;0,B30&gt;0),MIN(conv_cap,conv_beta*1*M30*MAX(0,LN(B30/(N29*P29)))),0)</f>
        <v/>
      </c>
      <c r="P30" s="65">
        <f>P29*(1+O30)</f>
        <v/>
      </c>
      <c r="Q30" s="47">
        <f>L30*P30</f>
        <v/>
      </c>
      <c r="R30" s="67">
        <f>IF(K30&gt;0,Q30*1000000/K30/Economy!Q30,0)</f>
        <v/>
      </c>
      <c r="S30" s="62">
        <f>People!U30</f>
        <v/>
      </c>
      <c r="T30" s="45" t="n">
        <v>0</v>
      </c>
      <c r="U30" s="68" t="n">
        <v>0</v>
      </c>
      <c r="V30" s="47">
        <f>IF(S30&gt;0,T30*1000000/S30,0)</f>
        <v/>
      </c>
      <c r="W30" s="64">
        <f>IF(AND(U30&gt;0,V29&gt;0,B30&gt;0),MIN(conv_cap,conv_beta*1*U30*MAX(0,LN(B30/(V29*X29)))),0)</f>
        <v/>
      </c>
      <c r="X30" s="65">
        <f>X29*(1+W30)</f>
        <v/>
      </c>
      <c r="Y30" s="47">
        <f>T30*X30</f>
        <v/>
      </c>
      <c r="Z30" s="67">
        <f>IF(S30&gt;0,Y30*1000000/S30/Economy!Q30,0)</f>
        <v/>
      </c>
      <c r="AA30" s="45" t="n">
        <v>0</v>
      </c>
      <c r="AB30" s="45" t="n">
        <v>0</v>
      </c>
      <c r="AC30" s="68" t="n">
        <v>0</v>
      </c>
      <c r="AD30" s="47">
        <f>IF(AA30&gt;0,AB30*1000000/AA30,0)</f>
        <v/>
      </c>
      <c r="AE30" s="64">
        <f>IF(AND(AC30&gt;0,AD29&gt;0,B30&gt;0),MIN(conv_cap,conv_beta*1*AC30*MAX(0,LN(B30/(AD29*AF29)))),0)</f>
        <v/>
      </c>
      <c r="AF30" s="65">
        <f>AF29*(1+AE30)</f>
        <v/>
      </c>
      <c r="AG30" s="47">
        <f>AB30*AF30</f>
        <v/>
      </c>
      <c r="AH30" s="67">
        <f>IF(AA30&gt;0,AG30*1000000/AA30/Economy!Q30,0)</f>
        <v/>
      </c>
      <c r="AI30" s="45" t="n">
        <v>358000000</v>
      </c>
      <c r="AJ30" s="45" t="n">
        <v>3500</v>
      </c>
      <c r="AK30" s="68" t="n">
        <v>0.081</v>
      </c>
      <c r="AL30" s="47">
        <f>IF(AI30&gt;0,AJ30*1000000/AI30,0)</f>
        <v/>
      </c>
      <c r="AM30" s="64">
        <f>IF(AND(AK30&gt;0,AL29&gt;0,B30&gt;0),MIN(conv_cap,conv_beta*1*AK30*MAX(0,LN(B30/(AL29*AN29)))),0)</f>
        <v/>
      </c>
      <c r="AN30" s="65">
        <f>AN29*(1+AM30)</f>
        <v/>
      </c>
      <c r="AO30" s="47">
        <f>AJ30*AN30</f>
        <v/>
      </c>
      <c r="AP30" s="67">
        <f>IF(AI30&gt;0,AO30*1000000/AI30/Economy!Q30,0)</f>
        <v/>
      </c>
      <c r="AQ30" s="45" t="n">
        <v>10000000</v>
      </c>
      <c r="AR30" s="45" t="n">
        <v>150</v>
      </c>
      <c r="AS30" s="68" t="n">
        <v>0</v>
      </c>
      <c r="AT30" s="47">
        <f>IF(AQ30&gt;0,AR30*1000000/AQ30,0)</f>
        <v/>
      </c>
      <c r="AU30" s="64">
        <f>IF(AND(AS30&gt;0,AT29&gt;0,B30&gt;0),MIN(conv_cap,conv_beta*1*AS30*MAX(0,LN(B30/(AT29*AV29)))),0)</f>
        <v/>
      </c>
      <c r="AV30" s="65">
        <f>AV29*(1+AU30)</f>
        <v/>
      </c>
      <c r="AW30" s="47">
        <f>AR30*AV30</f>
        <v/>
      </c>
      <c r="AX30" s="67">
        <f>IF(AQ30&gt;0,AW30*1000000/AQ30/Economy!Q30,0)</f>
        <v/>
      </c>
      <c r="AY30" s="45" t="n">
        <v>50000000</v>
      </c>
      <c r="AZ30" s="45" t="n">
        <v>900</v>
      </c>
      <c r="BA30" s="68" t="n">
        <v>0</v>
      </c>
      <c r="BB30" s="47">
        <f>IF(AY30&gt;0,AZ30*1000000/AY30,0)</f>
        <v/>
      </c>
      <c r="BC30" s="64">
        <f>IF(AND(BA30&gt;0,BB29&gt;0,B30&gt;0),MIN(conv_cap,conv_beta*1*BA30*MAX(0,LN(B30/(BB29*BD29)))),0)</f>
        <v/>
      </c>
      <c r="BD30" s="65">
        <f>BD29*(1+BC30)</f>
        <v/>
      </c>
      <c r="BE30" s="47">
        <f>AZ30*BD30</f>
        <v/>
      </c>
      <c r="BF30" s="67">
        <f>IF(AY30&gt;0,BE30*1000000/AY30/Economy!Q30,0)</f>
        <v/>
      </c>
      <c r="BG30" s="45" t="n">
        <v>22000000</v>
      </c>
      <c r="BH30" s="45" t="n">
        <v>1000</v>
      </c>
      <c r="BI30" s="68" t="n">
        <v>0.05</v>
      </c>
      <c r="BJ30" s="47">
        <f>IF(BG30&gt;0,BH30*1000000/BG30,0)</f>
        <v/>
      </c>
      <c r="BK30" s="64">
        <f>IF(AND(BI30&gt;0,BJ29&gt;0,B30&gt;0),MIN(conv_cap,conv_beta*1*BI30*MAX(0,LN(B30/(BJ29*BL29)))),0)</f>
        <v/>
      </c>
      <c r="BL30" s="65">
        <f>BL29*(1+BK30)</f>
        <v/>
      </c>
      <c r="BM30" s="47">
        <f>BH30*BL30</f>
        <v/>
      </c>
      <c r="BN30" s="67">
        <f>IF(BG30&gt;0,BM30*1000000/BG30/Economy!Q30,0)</f>
        <v/>
      </c>
      <c r="BO30" s="45" t="n">
        <v>12000000</v>
      </c>
      <c r="BP30" s="45" t="n">
        <v>500</v>
      </c>
      <c r="BQ30" s="68" t="n">
        <v>0</v>
      </c>
      <c r="BR30" s="47">
        <f>IF(BO30&gt;0,BP30*1000000/BO30,0)</f>
        <v/>
      </c>
      <c r="BS30" s="64">
        <f>IF(AND(BQ30&gt;0,BR29&gt;0,B30&gt;0),MIN(conv_cap,conv_beta*1*BQ30*MAX(0,LN(B30/(BR29*BT29)))),0)</f>
        <v/>
      </c>
      <c r="BT30" s="65">
        <f>BT29*(1+BS30)</f>
        <v/>
      </c>
      <c r="BU30" s="47">
        <f>BP30*BT30</f>
        <v/>
      </c>
      <c r="BV30" s="67">
        <f>IF(BO30&gt;0,BU30*1000000/BO30/Economy!Q30,0)</f>
        <v/>
      </c>
      <c r="BW30" s="65">
        <f>0.25*IF(D30&gt;0,H30,1)+0.15*IF(AJ30&gt;0,AN30,1)+0.03*IF(AR30&gt;0,AV30,1)+0.08*IF(AZ30&gt;0,BD30,1)+0.12*IF(BH30&gt;0,BL30,1)+0.1*IF(L30&gt;0,P30,1)+0.07*IF(T30&gt;0,X30,1)+0.05*IF(AB30&gt;0,AF30,1)+0.05*IF(BP30&gt;0,BT30,1)+0.1</f>
        <v/>
      </c>
      <c r="BX30" s="63">
        <f>MIN(mkt_cap,mkt_elast*MAX(0,BW30-1))</f>
        <v/>
      </c>
      <c r="BY30" s="47">
        <f>I30+Q30+Y30+AG30</f>
        <v/>
      </c>
      <c r="BZ30" s="47">
        <f>D30+L30+T30+AB30</f>
        <v/>
      </c>
      <c r="CA30" s="65">
        <f>IF(BZ30&gt;0,BY30/BZ30,0)</f>
        <v/>
      </c>
    </row>
    <row r="31">
      <c r="A31" s="61" t="n">
        <v>1871</v>
      </c>
      <c r="B31" s="47">
        <f>Economy!P30</f>
        <v/>
      </c>
      <c r="C31" s="45" t="n">
        <v>34980000</v>
      </c>
      <c r="D31" s="62">
        <f>Japan!B31</f>
        <v/>
      </c>
      <c r="E31" s="68" t="n">
        <v>0.325</v>
      </c>
      <c r="F31" s="47">
        <f>IF(C31&gt;0,D31*1000000/C31,0)</f>
        <v/>
      </c>
      <c r="G31" s="64">
        <f>IF(AND(E31&gt;0,F30&gt;0,B31&gt;0),MIN(conv_cap,conv_beta*jp_uplift*E31*MAX(0,LN(B31/(F30*H30)))),0)</f>
        <v/>
      </c>
      <c r="H31" s="65">
        <f>H30*(1+G31)</f>
        <v/>
      </c>
      <c r="I31" s="47">
        <f>D31*H31</f>
        <v/>
      </c>
      <c r="J31" s="67">
        <f>IF(C31&gt;0,I31*1000000/C31/Economy!Q31,0)</f>
        <v/>
      </c>
      <c r="K31" s="62">
        <f>Gulf!B31</f>
        <v/>
      </c>
      <c r="L31" s="47">
        <f>Gulf!B31*Gulf!C31*Economy!Q31/1000000</f>
        <v/>
      </c>
      <c r="M31" s="68" t="n">
        <v>0</v>
      </c>
      <c r="N31" s="47">
        <f>IF(K31&gt;0,L31*1000000/K31,0)</f>
        <v/>
      </c>
      <c r="O31" s="64">
        <f>IF(AND(M31&gt;0,N30&gt;0,B31&gt;0),MIN(conv_cap,conv_beta*1*M31*MAX(0,LN(B31/(N30*P30)))),0)</f>
        <v/>
      </c>
      <c r="P31" s="65">
        <f>P30*(1+O31)</f>
        <v/>
      </c>
      <c r="Q31" s="47">
        <f>L31*P31</f>
        <v/>
      </c>
      <c r="R31" s="67">
        <f>IF(K31&gt;0,Q31*1000000/K31/Economy!Q31,0)</f>
        <v/>
      </c>
      <c r="S31" s="62">
        <f>People!U31</f>
        <v/>
      </c>
      <c r="T31" s="45" t="n">
        <v>0</v>
      </c>
      <c r="U31" s="68" t="n">
        <v>0</v>
      </c>
      <c r="V31" s="47">
        <f>IF(S31&gt;0,T31*1000000/S31,0)</f>
        <v/>
      </c>
      <c r="W31" s="64">
        <f>IF(AND(U31&gt;0,V30&gt;0,B31&gt;0),MIN(conv_cap,conv_beta*1*U31*MAX(0,LN(B31/(V30*X30)))),0)</f>
        <v/>
      </c>
      <c r="X31" s="65">
        <f>X30*(1+W31)</f>
        <v/>
      </c>
      <c r="Y31" s="47">
        <f>T31*X31</f>
        <v/>
      </c>
      <c r="Z31" s="67">
        <f>IF(S31&gt;0,Y31*1000000/S31/Economy!Q31,0)</f>
        <v/>
      </c>
      <c r="AA31" s="45" t="n">
        <v>0</v>
      </c>
      <c r="AB31" s="45" t="n">
        <v>0</v>
      </c>
      <c r="AC31" s="68" t="n">
        <v>0</v>
      </c>
      <c r="AD31" s="47">
        <f>IF(AA31&gt;0,AB31*1000000/AA31,0)</f>
        <v/>
      </c>
      <c r="AE31" s="64">
        <f>IF(AND(AC31&gt;0,AD30&gt;0,B31&gt;0),MIN(conv_cap,conv_beta*1*AC31*MAX(0,LN(B31/(AD30*AF30)))),0)</f>
        <v/>
      </c>
      <c r="AF31" s="65">
        <f>AF30*(1+AE31)</f>
        <v/>
      </c>
      <c r="AG31" s="47">
        <f>AB31*AF31</f>
        <v/>
      </c>
      <c r="AH31" s="67">
        <f>IF(AA31&gt;0,AG31*1000000/AA31/Economy!Q31,0)</f>
        <v/>
      </c>
      <c r="AI31" s="45" t="n">
        <v>359400000</v>
      </c>
      <c r="AJ31" s="45" t="n">
        <v>3517</v>
      </c>
      <c r="AK31" s="68" t="n">
        <v>0.08500000000000001</v>
      </c>
      <c r="AL31" s="47">
        <f>IF(AI31&gt;0,AJ31*1000000/AI31,0)</f>
        <v/>
      </c>
      <c r="AM31" s="64">
        <f>IF(AND(AK31&gt;0,AL30&gt;0,B31&gt;0),MIN(conv_cap,conv_beta*1*AK31*MAX(0,LN(B31/(AL30*AN30)))),0)</f>
        <v/>
      </c>
      <c r="AN31" s="65">
        <f>AN30*(1+AM31)</f>
        <v/>
      </c>
      <c r="AO31" s="47">
        <f>AJ31*AN31</f>
        <v/>
      </c>
      <c r="AP31" s="67">
        <f>IF(AI31&gt;0,AO31*1000000/AI31/Economy!Q31,0)</f>
        <v/>
      </c>
      <c r="AQ31" s="45" t="n">
        <v>10070000</v>
      </c>
      <c r="AR31" s="45" t="n">
        <v>153</v>
      </c>
      <c r="AS31" s="68" t="n">
        <v>0</v>
      </c>
      <c r="AT31" s="47">
        <f>IF(AQ31&gt;0,AR31*1000000/AQ31,0)</f>
        <v/>
      </c>
      <c r="AU31" s="64">
        <f>IF(AND(AS31&gt;0,AT30&gt;0,B31&gt;0),MIN(conv_cap,conv_beta*1*AS31*MAX(0,LN(B31/(AT30*AV30)))),0)</f>
        <v/>
      </c>
      <c r="AV31" s="65">
        <f>AV30*(1+AU31)</f>
        <v/>
      </c>
      <c r="AW31" s="47">
        <f>AR31*AV31</f>
        <v/>
      </c>
      <c r="AX31" s="67">
        <f>IF(AQ31&gt;0,AW31*1000000/AQ31/Economy!Q31,0)</f>
        <v/>
      </c>
      <c r="AY31" s="45" t="n">
        <v>51000000</v>
      </c>
      <c r="AZ31" s="45" t="n">
        <v>937</v>
      </c>
      <c r="BA31" s="68" t="n">
        <v>0</v>
      </c>
      <c r="BB31" s="47">
        <f>IF(AY31&gt;0,AZ31*1000000/AY31,0)</f>
        <v/>
      </c>
      <c r="BC31" s="64">
        <f>IF(AND(BA31&gt;0,BB30&gt;0,B31&gt;0),MIN(conv_cap,conv_beta*1*BA31*MAX(0,LN(B31/(BB30*BD30)))),0)</f>
        <v/>
      </c>
      <c r="BD31" s="65">
        <f>BD30*(1+BC31)</f>
        <v/>
      </c>
      <c r="BE31" s="47">
        <f>AZ31*BD31</f>
        <v/>
      </c>
      <c r="BF31" s="67">
        <f>IF(AY31&gt;0,BE31*1000000/AY31/Economy!Q31,0)</f>
        <v/>
      </c>
      <c r="BG31" s="45" t="n">
        <v>22300000</v>
      </c>
      <c r="BH31" s="45" t="n">
        <v>1040</v>
      </c>
      <c r="BI31" s="68" t="n">
        <v>0.053</v>
      </c>
      <c r="BJ31" s="47">
        <f>IF(BG31&gt;0,BH31*1000000/BG31,0)</f>
        <v/>
      </c>
      <c r="BK31" s="64">
        <f>IF(AND(BI31&gt;0,BJ30&gt;0,B31&gt;0),MIN(conv_cap,conv_beta*1*BI31*MAX(0,LN(B31/(BJ30*BL30)))),0)</f>
        <v/>
      </c>
      <c r="BL31" s="65">
        <f>BL30*(1+BK31)</f>
        <v/>
      </c>
      <c r="BM31" s="47">
        <f>BH31*BL31</f>
        <v/>
      </c>
      <c r="BN31" s="67">
        <f>IF(BG31&gt;0,BM31*1000000/BG31/Economy!Q31,0)</f>
        <v/>
      </c>
      <c r="BO31" s="45" t="n">
        <v>12100000</v>
      </c>
      <c r="BP31" s="45" t="n">
        <v>510</v>
      </c>
      <c r="BQ31" s="68" t="n">
        <v>0</v>
      </c>
      <c r="BR31" s="47">
        <f>IF(BO31&gt;0,BP31*1000000/BO31,0)</f>
        <v/>
      </c>
      <c r="BS31" s="64">
        <f>IF(AND(BQ31&gt;0,BR30&gt;0,B31&gt;0),MIN(conv_cap,conv_beta*1*BQ31*MAX(0,LN(B31/(BR30*BT30)))),0)</f>
        <v/>
      </c>
      <c r="BT31" s="65">
        <f>BT30*(1+BS31)</f>
        <v/>
      </c>
      <c r="BU31" s="47">
        <f>BP31*BT31</f>
        <v/>
      </c>
      <c r="BV31" s="67">
        <f>IF(BO31&gt;0,BU31*1000000/BO31/Economy!Q31,0)</f>
        <v/>
      </c>
      <c r="BW31" s="65">
        <f>0.25*IF(D31&gt;0,H31,1)+0.15*IF(AJ31&gt;0,AN31,1)+0.03*IF(AR31&gt;0,AV31,1)+0.08*IF(AZ31&gt;0,BD31,1)+0.12*IF(BH31&gt;0,BL31,1)+0.1*IF(L31&gt;0,P31,1)+0.07*IF(T31&gt;0,X31,1)+0.05*IF(AB31&gt;0,AF31,1)+0.05*IF(BP31&gt;0,BT31,1)+0.1</f>
        <v/>
      </c>
      <c r="BX31" s="63">
        <f>MIN(mkt_cap,mkt_elast*MAX(0,BW31-1))</f>
        <v/>
      </c>
      <c r="BY31" s="47">
        <f>I31+Q31+Y31+AG31</f>
        <v/>
      </c>
      <c r="BZ31" s="47">
        <f>D31+L31+T31+AB31</f>
        <v/>
      </c>
      <c r="CA31" s="65">
        <f>IF(BZ31&gt;0,BY31/BZ31,0)</f>
        <v/>
      </c>
    </row>
    <row r="32">
      <c r="A32" s="58" t="n">
        <v>1872</v>
      </c>
      <c r="B32" s="47">
        <f>Economy!P31</f>
        <v/>
      </c>
      <c r="C32" s="45" t="n">
        <v>35160000</v>
      </c>
      <c r="D32" s="62">
        <f>Japan!B32</f>
        <v/>
      </c>
      <c r="E32" s="68" t="n">
        <v>0.333</v>
      </c>
      <c r="F32" s="47">
        <f>IF(C32&gt;0,D32*1000000/C32,0)</f>
        <v/>
      </c>
      <c r="G32" s="64">
        <f>IF(AND(E32&gt;0,F31&gt;0,B32&gt;0),MIN(conv_cap,conv_beta*jp_uplift*E32*MAX(0,LN(B32/(F31*H31)))),0)</f>
        <v/>
      </c>
      <c r="H32" s="65">
        <f>H31*(1+G32)</f>
        <v/>
      </c>
      <c r="I32" s="47">
        <f>D32*H32</f>
        <v/>
      </c>
      <c r="J32" s="67">
        <f>IF(C32&gt;0,I32*1000000/C32/Economy!Q32,0)</f>
        <v/>
      </c>
      <c r="K32" s="62">
        <f>Gulf!B32</f>
        <v/>
      </c>
      <c r="L32" s="47">
        <f>Gulf!B32*Gulf!C32*Economy!Q32/1000000</f>
        <v/>
      </c>
      <c r="M32" s="68" t="n">
        <v>0</v>
      </c>
      <c r="N32" s="47">
        <f>IF(K32&gt;0,L32*1000000/K32,0)</f>
        <v/>
      </c>
      <c r="O32" s="64">
        <f>IF(AND(M32&gt;0,N31&gt;0,B32&gt;0),MIN(conv_cap,conv_beta*1*M32*MAX(0,LN(B32/(N31*P31)))),0)</f>
        <v/>
      </c>
      <c r="P32" s="65">
        <f>P31*(1+O32)</f>
        <v/>
      </c>
      <c r="Q32" s="47">
        <f>L32*P32</f>
        <v/>
      </c>
      <c r="R32" s="67">
        <f>IF(K32&gt;0,Q32*1000000/K32/Economy!Q32,0)</f>
        <v/>
      </c>
      <c r="S32" s="62">
        <f>People!U32</f>
        <v/>
      </c>
      <c r="T32" s="45" t="n">
        <v>0</v>
      </c>
      <c r="U32" s="68" t="n">
        <v>0</v>
      </c>
      <c r="V32" s="47">
        <f>IF(S32&gt;0,T32*1000000/S32,0)</f>
        <v/>
      </c>
      <c r="W32" s="64">
        <f>IF(AND(U32&gt;0,V31&gt;0,B32&gt;0),MIN(conv_cap,conv_beta*1*U32*MAX(0,LN(B32/(V31*X31)))),0)</f>
        <v/>
      </c>
      <c r="X32" s="65">
        <f>X31*(1+W32)</f>
        <v/>
      </c>
      <c r="Y32" s="47">
        <f>T32*X32</f>
        <v/>
      </c>
      <c r="Z32" s="67">
        <f>IF(S32&gt;0,Y32*1000000/S32/Economy!Q32,0)</f>
        <v/>
      </c>
      <c r="AA32" s="45" t="n">
        <v>0</v>
      </c>
      <c r="AB32" s="45" t="n">
        <v>0</v>
      </c>
      <c r="AC32" s="68" t="n">
        <v>0</v>
      </c>
      <c r="AD32" s="47">
        <f>IF(AA32&gt;0,AB32*1000000/AA32,0)</f>
        <v/>
      </c>
      <c r="AE32" s="64">
        <f>IF(AND(AC32&gt;0,AD31&gt;0,B32&gt;0),MIN(conv_cap,conv_beta*1*AC32*MAX(0,LN(B32/(AD31*AF31)))),0)</f>
        <v/>
      </c>
      <c r="AF32" s="65">
        <f>AF31*(1+AE32)</f>
        <v/>
      </c>
      <c r="AG32" s="47">
        <f>AB32*AF32</f>
        <v/>
      </c>
      <c r="AH32" s="67">
        <f>IF(AA32&gt;0,AG32*1000000/AA32/Economy!Q32,0)</f>
        <v/>
      </c>
      <c r="AI32" s="45" t="n">
        <v>360800000</v>
      </c>
      <c r="AJ32" s="45" t="n">
        <v>3533</v>
      </c>
      <c r="AK32" s="68" t="n">
        <v>0.08799999999999999</v>
      </c>
      <c r="AL32" s="47">
        <f>IF(AI32&gt;0,AJ32*1000000/AI32,0)</f>
        <v/>
      </c>
      <c r="AM32" s="64">
        <f>IF(AND(AK32&gt;0,AL31&gt;0,B32&gt;0),MIN(conv_cap,conv_beta*1*AK32*MAX(0,LN(B32/(AL31*AN31)))),0)</f>
        <v/>
      </c>
      <c r="AN32" s="65">
        <f>AN31*(1+AM32)</f>
        <v/>
      </c>
      <c r="AO32" s="47">
        <f>AJ32*AN32</f>
        <v/>
      </c>
      <c r="AP32" s="67">
        <f>IF(AI32&gt;0,AO32*1000000/AI32/Economy!Q32,0)</f>
        <v/>
      </c>
      <c r="AQ32" s="45" t="n">
        <v>10130000</v>
      </c>
      <c r="AR32" s="45" t="n">
        <v>157</v>
      </c>
      <c r="AS32" s="68" t="n">
        <v>0</v>
      </c>
      <c r="AT32" s="47">
        <f>IF(AQ32&gt;0,AR32*1000000/AQ32,0)</f>
        <v/>
      </c>
      <c r="AU32" s="64">
        <f>IF(AND(AS32&gt;0,AT31&gt;0,B32&gt;0),MIN(conv_cap,conv_beta*1*AS32*MAX(0,LN(B32/(AT31*AV31)))),0)</f>
        <v/>
      </c>
      <c r="AV32" s="65">
        <f>AV31*(1+AU32)</f>
        <v/>
      </c>
      <c r="AW32" s="47">
        <f>AR32*AV32</f>
        <v/>
      </c>
      <c r="AX32" s="67">
        <f>IF(AQ32&gt;0,AW32*1000000/AQ32/Economy!Q32,0)</f>
        <v/>
      </c>
      <c r="AY32" s="45" t="n">
        <v>52000000</v>
      </c>
      <c r="AZ32" s="45" t="n">
        <v>973</v>
      </c>
      <c r="BA32" s="68" t="n">
        <v>0</v>
      </c>
      <c r="BB32" s="47">
        <f>IF(AY32&gt;0,AZ32*1000000/AY32,0)</f>
        <v/>
      </c>
      <c r="BC32" s="64">
        <f>IF(AND(BA32&gt;0,BB31&gt;0,B32&gt;0),MIN(conv_cap,conv_beta*1*BA32*MAX(0,LN(B32/(BB31*BD31)))),0)</f>
        <v/>
      </c>
      <c r="BD32" s="65">
        <f>BD31*(1+BC32)</f>
        <v/>
      </c>
      <c r="BE32" s="47">
        <f>AZ32*BD32</f>
        <v/>
      </c>
      <c r="BF32" s="67">
        <f>IF(AY32&gt;0,BE32*1000000/AY32/Economy!Q32,0)</f>
        <v/>
      </c>
      <c r="BG32" s="45" t="n">
        <v>22500000</v>
      </c>
      <c r="BH32" s="45" t="n">
        <v>1080</v>
      </c>
      <c r="BI32" s="68" t="n">
        <v>0.057</v>
      </c>
      <c r="BJ32" s="47">
        <f>IF(BG32&gt;0,BH32*1000000/BG32,0)</f>
        <v/>
      </c>
      <c r="BK32" s="64">
        <f>IF(AND(BI32&gt;0,BJ31&gt;0,B32&gt;0),MIN(conv_cap,conv_beta*1*BI32*MAX(0,LN(B32/(BJ31*BL31)))),0)</f>
        <v/>
      </c>
      <c r="BL32" s="65">
        <f>BL31*(1+BK32)</f>
        <v/>
      </c>
      <c r="BM32" s="47">
        <f>BH32*BL32</f>
        <v/>
      </c>
      <c r="BN32" s="67">
        <f>IF(BG32&gt;0,BM32*1000000/BG32/Economy!Q32,0)</f>
        <v/>
      </c>
      <c r="BO32" s="45" t="n">
        <v>12100000</v>
      </c>
      <c r="BP32" s="45" t="n">
        <v>520</v>
      </c>
      <c r="BQ32" s="68" t="n">
        <v>0</v>
      </c>
      <c r="BR32" s="47">
        <f>IF(BO32&gt;0,BP32*1000000/BO32,0)</f>
        <v/>
      </c>
      <c r="BS32" s="64">
        <f>IF(AND(BQ32&gt;0,BR31&gt;0,B32&gt;0),MIN(conv_cap,conv_beta*1*BQ32*MAX(0,LN(B32/(BR31*BT31)))),0)</f>
        <v/>
      </c>
      <c r="BT32" s="65">
        <f>BT31*(1+BS32)</f>
        <v/>
      </c>
      <c r="BU32" s="47">
        <f>BP32*BT32</f>
        <v/>
      </c>
      <c r="BV32" s="67">
        <f>IF(BO32&gt;0,BU32*1000000/BO32/Economy!Q32,0)</f>
        <v/>
      </c>
      <c r="BW32" s="65">
        <f>0.25*IF(D32&gt;0,H32,1)+0.15*IF(AJ32&gt;0,AN32,1)+0.03*IF(AR32&gt;0,AV32,1)+0.08*IF(AZ32&gt;0,BD32,1)+0.12*IF(BH32&gt;0,BL32,1)+0.1*IF(L32&gt;0,P32,1)+0.07*IF(T32&gt;0,X32,1)+0.05*IF(AB32&gt;0,AF32,1)+0.05*IF(BP32&gt;0,BT32,1)+0.1</f>
        <v/>
      </c>
      <c r="BX32" s="63">
        <f>MIN(mkt_cap,mkt_elast*MAX(0,BW32-1))</f>
        <v/>
      </c>
      <c r="BY32" s="47">
        <f>I32+Q32+Y32+AG32</f>
        <v/>
      </c>
      <c r="BZ32" s="47">
        <f>D32+L32+T32+AB32</f>
        <v/>
      </c>
      <c r="CA32" s="65">
        <f>IF(BZ32&gt;0,BY32/BZ32,0)</f>
        <v/>
      </c>
    </row>
    <row r="33">
      <c r="A33" s="58" t="n">
        <v>1873</v>
      </c>
      <c r="B33" s="47">
        <f>Economy!P32</f>
        <v/>
      </c>
      <c r="C33" s="45" t="n">
        <v>35340000</v>
      </c>
      <c r="D33" s="62">
        <f>Japan!B33</f>
        <v/>
      </c>
      <c r="E33" s="68" t="n">
        <v>0.342</v>
      </c>
      <c r="F33" s="47">
        <f>IF(C33&gt;0,D33*1000000/C33,0)</f>
        <v/>
      </c>
      <c r="G33" s="64">
        <f>IF(AND(E33&gt;0,F32&gt;0,B33&gt;0),MIN(conv_cap,conv_beta*jp_uplift*E33*MAX(0,LN(B33/(F32*H32)))),0)</f>
        <v/>
      </c>
      <c r="H33" s="65">
        <f>H32*(1+G33)</f>
        <v/>
      </c>
      <c r="I33" s="47">
        <f>D33*H33</f>
        <v/>
      </c>
      <c r="J33" s="67">
        <f>IF(C33&gt;0,I33*1000000/C33/Economy!Q33,0)</f>
        <v/>
      </c>
      <c r="K33" s="62">
        <f>Gulf!B33</f>
        <v/>
      </c>
      <c r="L33" s="47">
        <f>Gulf!B33*Gulf!C33*Economy!Q33/1000000</f>
        <v/>
      </c>
      <c r="M33" s="68" t="n">
        <v>0</v>
      </c>
      <c r="N33" s="47">
        <f>IF(K33&gt;0,L33*1000000/K33,0)</f>
        <v/>
      </c>
      <c r="O33" s="64">
        <f>IF(AND(M33&gt;0,N32&gt;0,B33&gt;0),MIN(conv_cap,conv_beta*1*M33*MAX(0,LN(B33/(N32*P32)))),0)</f>
        <v/>
      </c>
      <c r="P33" s="65">
        <f>P32*(1+O33)</f>
        <v/>
      </c>
      <c r="Q33" s="47">
        <f>L33*P33</f>
        <v/>
      </c>
      <c r="R33" s="67">
        <f>IF(K33&gt;0,Q33*1000000/K33/Economy!Q33,0)</f>
        <v/>
      </c>
      <c r="S33" s="62">
        <f>People!U33</f>
        <v/>
      </c>
      <c r="T33" s="45" t="n">
        <v>0</v>
      </c>
      <c r="U33" s="68" t="n">
        <v>0</v>
      </c>
      <c r="V33" s="47">
        <f>IF(S33&gt;0,T33*1000000/S33,0)</f>
        <v/>
      </c>
      <c r="W33" s="64">
        <f>IF(AND(U33&gt;0,V32&gt;0,B33&gt;0),MIN(conv_cap,conv_beta*1*U33*MAX(0,LN(B33/(V32*X32)))),0)</f>
        <v/>
      </c>
      <c r="X33" s="65">
        <f>X32*(1+W33)</f>
        <v/>
      </c>
      <c r="Y33" s="47">
        <f>T33*X33</f>
        <v/>
      </c>
      <c r="Z33" s="67">
        <f>IF(S33&gt;0,Y33*1000000/S33/Economy!Q33,0)</f>
        <v/>
      </c>
      <c r="AA33" s="45" t="n">
        <v>0</v>
      </c>
      <c r="AB33" s="45" t="n">
        <v>0</v>
      </c>
      <c r="AC33" s="68" t="n">
        <v>0</v>
      </c>
      <c r="AD33" s="47">
        <f>IF(AA33&gt;0,AB33*1000000/AA33,0)</f>
        <v/>
      </c>
      <c r="AE33" s="64">
        <f>IF(AND(AC33&gt;0,AD32&gt;0,B33&gt;0),MIN(conv_cap,conv_beta*1*AC33*MAX(0,LN(B33/(AD32*AF32)))),0)</f>
        <v/>
      </c>
      <c r="AF33" s="65">
        <f>AF32*(1+AE33)</f>
        <v/>
      </c>
      <c r="AG33" s="47">
        <f>AB33*AF33</f>
        <v/>
      </c>
      <c r="AH33" s="67">
        <f>IF(AA33&gt;0,AG33*1000000/AA33/Economy!Q33,0)</f>
        <v/>
      </c>
      <c r="AI33" s="45" t="n">
        <v>362200000</v>
      </c>
      <c r="AJ33" s="45" t="n">
        <v>3550</v>
      </c>
      <c r="AK33" s="68" t="n">
        <v>0.092</v>
      </c>
      <c r="AL33" s="47">
        <f>IF(AI33&gt;0,AJ33*1000000/AI33,0)</f>
        <v/>
      </c>
      <c r="AM33" s="64">
        <f>IF(AND(AK33&gt;0,AL32&gt;0,B33&gt;0),MIN(conv_cap,conv_beta*1*AK33*MAX(0,LN(B33/(AL32*AN32)))),0)</f>
        <v/>
      </c>
      <c r="AN33" s="65">
        <f>AN32*(1+AM33)</f>
        <v/>
      </c>
      <c r="AO33" s="47">
        <f>AJ33*AN33</f>
        <v/>
      </c>
      <c r="AP33" s="67">
        <f>IF(AI33&gt;0,AO33*1000000/AI33/Economy!Q33,0)</f>
        <v/>
      </c>
      <c r="AQ33" s="45" t="n">
        <v>10200000</v>
      </c>
      <c r="AR33" s="45" t="n">
        <v>160</v>
      </c>
      <c r="AS33" s="68" t="n">
        <v>0</v>
      </c>
      <c r="AT33" s="47">
        <f>IF(AQ33&gt;0,AR33*1000000/AQ33,0)</f>
        <v/>
      </c>
      <c r="AU33" s="64">
        <f>IF(AND(AS33&gt;0,AT32&gt;0,B33&gt;0),MIN(conv_cap,conv_beta*1*AS33*MAX(0,LN(B33/(AT32*AV32)))),0)</f>
        <v/>
      </c>
      <c r="AV33" s="65">
        <f>AV32*(1+AU33)</f>
        <v/>
      </c>
      <c r="AW33" s="47">
        <f>AR33*AV33</f>
        <v/>
      </c>
      <c r="AX33" s="67">
        <f>IF(AQ33&gt;0,AW33*1000000/AQ33/Economy!Q33,0)</f>
        <v/>
      </c>
      <c r="AY33" s="45" t="n">
        <v>53000000</v>
      </c>
      <c r="AZ33" s="45" t="n">
        <v>1010</v>
      </c>
      <c r="BA33" s="68" t="n">
        <v>0</v>
      </c>
      <c r="BB33" s="47">
        <f>IF(AY33&gt;0,AZ33*1000000/AY33,0)</f>
        <v/>
      </c>
      <c r="BC33" s="64">
        <f>IF(AND(BA33&gt;0,BB32&gt;0,B33&gt;0),MIN(conv_cap,conv_beta*1*BA33*MAX(0,LN(B33/(BB32*BD32)))),0)</f>
        <v/>
      </c>
      <c r="BD33" s="65">
        <f>BD32*(1+BC33)</f>
        <v/>
      </c>
      <c r="BE33" s="47">
        <f>AZ33*BD33</f>
        <v/>
      </c>
      <c r="BF33" s="67">
        <f>IF(AY33&gt;0,BE33*1000000/AY33/Economy!Q33,0)</f>
        <v/>
      </c>
      <c r="BG33" s="45" t="n">
        <v>22800000</v>
      </c>
      <c r="BH33" s="45" t="n">
        <v>1120</v>
      </c>
      <c r="BI33" s="68" t="n">
        <v>0.06</v>
      </c>
      <c r="BJ33" s="47">
        <f>IF(BG33&gt;0,BH33*1000000/BG33,0)</f>
        <v/>
      </c>
      <c r="BK33" s="64">
        <f>IF(AND(BI33&gt;0,BJ32&gt;0,B33&gt;0),MIN(conv_cap,conv_beta*1*BI33*MAX(0,LN(B33/(BJ32*BL32)))),0)</f>
        <v/>
      </c>
      <c r="BL33" s="65">
        <f>BL32*(1+BK33)</f>
        <v/>
      </c>
      <c r="BM33" s="47">
        <f>BH33*BL33</f>
        <v/>
      </c>
      <c r="BN33" s="67">
        <f>IF(BG33&gt;0,BM33*1000000/BG33/Economy!Q33,0)</f>
        <v/>
      </c>
      <c r="BO33" s="45" t="n">
        <v>12200000</v>
      </c>
      <c r="BP33" s="45" t="n">
        <v>530</v>
      </c>
      <c r="BQ33" s="68" t="n">
        <v>0</v>
      </c>
      <c r="BR33" s="47">
        <f>IF(BO33&gt;0,BP33*1000000/BO33,0)</f>
        <v/>
      </c>
      <c r="BS33" s="64">
        <f>IF(AND(BQ33&gt;0,BR32&gt;0,B33&gt;0),MIN(conv_cap,conv_beta*1*BQ33*MAX(0,LN(B33/(BR32*BT32)))),0)</f>
        <v/>
      </c>
      <c r="BT33" s="65">
        <f>BT32*(1+BS33)</f>
        <v/>
      </c>
      <c r="BU33" s="47">
        <f>BP33*BT33</f>
        <v/>
      </c>
      <c r="BV33" s="67">
        <f>IF(BO33&gt;0,BU33*1000000/BO33/Economy!Q33,0)</f>
        <v/>
      </c>
      <c r="BW33" s="65">
        <f>0.25*IF(D33&gt;0,H33,1)+0.15*IF(AJ33&gt;0,AN33,1)+0.03*IF(AR33&gt;0,AV33,1)+0.08*IF(AZ33&gt;0,BD33,1)+0.12*IF(BH33&gt;0,BL33,1)+0.1*IF(L33&gt;0,P33,1)+0.07*IF(T33&gt;0,X33,1)+0.05*IF(AB33&gt;0,AF33,1)+0.05*IF(BP33&gt;0,BT33,1)+0.1</f>
        <v/>
      </c>
      <c r="BX33" s="63">
        <f>MIN(mkt_cap,mkt_elast*MAX(0,BW33-1))</f>
        <v/>
      </c>
      <c r="BY33" s="47">
        <f>I33+Q33+Y33+AG33</f>
        <v/>
      </c>
      <c r="BZ33" s="47">
        <f>D33+L33+T33+AB33</f>
        <v/>
      </c>
      <c r="CA33" s="65">
        <f>IF(BZ33&gt;0,BY33/BZ33,0)</f>
        <v/>
      </c>
    </row>
    <row r="34">
      <c r="A34" s="58" t="n">
        <v>1874</v>
      </c>
      <c r="B34" s="47">
        <f>Economy!P33</f>
        <v/>
      </c>
      <c r="C34" s="45" t="n">
        <v>35520000</v>
      </c>
      <c r="D34" s="62">
        <f>Japan!B34</f>
        <v/>
      </c>
      <c r="E34" s="68" t="n">
        <v>0.35</v>
      </c>
      <c r="F34" s="47">
        <f>IF(C34&gt;0,D34*1000000/C34,0)</f>
        <v/>
      </c>
      <c r="G34" s="64">
        <f>IF(AND(E34&gt;0,F33&gt;0,B34&gt;0),MIN(conv_cap,conv_beta*jp_uplift*E34*MAX(0,LN(B34/(F33*H33)))),0)</f>
        <v/>
      </c>
      <c r="H34" s="65">
        <f>H33*(1+G34)</f>
        <v/>
      </c>
      <c r="I34" s="47">
        <f>D34*H34</f>
        <v/>
      </c>
      <c r="J34" s="67">
        <f>IF(C34&gt;0,I34*1000000/C34/Economy!Q34,0)</f>
        <v/>
      </c>
      <c r="K34" s="62">
        <f>Gulf!B34</f>
        <v/>
      </c>
      <c r="L34" s="47">
        <f>Gulf!B34*Gulf!C34*Economy!Q34/1000000</f>
        <v/>
      </c>
      <c r="M34" s="68" t="n">
        <v>0</v>
      </c>
      <c r="N34" s="47">
        <f>IF(K34&gt;0,L34*1000000/K34,0)</f>
        <v/>
      </c>
      <c r="O34" s="64">
        <f>IF(AND(M34&gt;0,N33&gt;0,B34&gt;0),MIN(conv_cap,conv_beta*1*M34*MAX(0,LN(B34/(N33*P33)))),0)</f>
        <v/>
      </c>
      <c r="P34" s="65">
        <f>P33*(1+O34)</f>
        <v/>
      </c>
      <c r="Q34" s="47">
        <f>L34*P34</f>
        <v/>
      </c>
      <c r="R34" s="67">
        <f>IF(K34&gt;0,Q34*1000000/K34/Economy!Q34,0)</f>
        <v/>
      </c>
      <c r="S34" s="62">
        <f>People!U34</f>
        <v/>
      </c>
      <c r="T34" s="45" t="n">
        <v>0</v>
      </c>
      <c r="U34" s="68" t="n">
        <v>0</v>
      </c>
      <c r="V34" s="47">
        <f>IF(S34&gt;0,T34*1000000/S34,0)</f>
        <v/>
      </c>
      <c r="W34" s="64">
        <f>IF(AND(U34&gt;0,V33&gt;0,B34&gt;0),MIN(conv_cap,conv_beta*1*U34*MAX(0,LN(B34/(V33*X33)))),0)</f>
        <v/>
      </c>
      <c r="X34" s="65">
        <f>X33*(1+W34)</f>
        <v/>
      </c>
      <c r="Y34" s="47">
        <f>T34*X34</f>
        <v/>
      </c>
      <c r="Z34" s="67">
        <f>IF(S34&gt;0,Y34*1000000/S34/Economy!Q34,0)</f>
        <v/>
      </c>
      <c r="AA34" s="45" t="n">
        <v>0</v>
      </c>
      <c r="AB34" s="45" t="n">
        <v>0</v>
      </c>
      <c r="AC34" s="68" t="n">
        <v>0</v>
      </c>
      <c r="AD34" s="47">
        <f>IF(AA34&gt;0,AB34*1000000/AA34,0)</f>
        <v/>
      </c>
      <c r="AE34" s="64">
        <f>IF(AND(AC34&gt;0,AD33&gt;0,B34&gt;0),MIN(conv_cap,conv_beta*1*AC34*MAX(0,LN(B34/(AD33*AF33)))),0)</f>
        <v/>
      </c>
      <c r="AF34" s="65">
        <f>AF33*(1+AE34)</f>
        <v/>
      </c>
      <c r="AG34" s="47">
        <f>AB34*AF34</f>
        <v/>
      </c>
      <c r="AH34" s="67">
        <f>IF(AA34&gt;0,AG34*1000000/AA34/Economy!Q34,0)</f>
        <v/>
      </c>
      <c r="AI34" s="45" t="n">
        <v>363600000</v>
      </c>
      <c r="AJ34" s="45" t="n">
        <v>3567</v>
      </c>
      <c r="AK34" s="68" t="n">
        <v>0.096</v>
      </c>
      <c r="AL34" s="47">
        <f>IF(AI34&gt;0,AJ34*1000000/AI34,0)</f>
        <v/>
      </c>
      <c r="AM34" s="64">
        <f>IF(AND(AK34&gt;0,AL33&gt;0,B34&gt;0),MIN(conv_cap,conv_beta*1*AK34*MAX(0,LN(B34/(AL33*AN33)))),0)</f>
        <v/>
      </c>
      <c r="AN34" s="65">
        <f>AN33*(1+AM34)</f>
        <v/>
      </c>
      <c r="AO34" s="47">
        <f>AJ34*AN34</f>
        <v/>
      </c>
      <c r="AP34" s="67">
        <f>IF(AI34&gt;0,AO34*1000000/AI34/Economy!Q34,0)</f>
        <v/>
      </c>
      <c r="AQ34" s="45" t="n">
        <v>10270000</v>
      </c>
      <c r="AR34" s="45" t="n">
        <v>163</v>
      </c>
      <c r="AS34" s="68" t="n">
        <v>0</v>
      </c>
      <c r="AT34" s="47">
        <f>IF(AQ34&gt;0,AR34*1000000/AQ34,0)</f>
        <v/>
      </c>
      <c r="AU34" s="64">
        <f>IF(AND(AS34&gt;0,AT33&gt;0,B34&gt;0),MIN(conv_cap,conv_beta*1*AS34*MAX(0,LN(B34/(AT33*AV33)))),0)</f>
        <v/>
      </c>
      <c r="AV34" s="65">
        <f>AV33*(1+AU34)</f>
        <v/>
      </c>
      <c r="AW34" s="47">
        <f>AR34*AV34</f>
        <v/>
      </c>
      <c r="AX34" s="67">
        <f>IF(AQ34&gt;0,AW34*1000000/AQ34/Economy!Q34,0)</f>
        <v/>
      </c>
      <c r="AY34" s="45" t="n">
        <v>54000000</v>
      </c>
      <c r="AZ34" s="45" t="n">
        <v>1047</v>
      </c>
      <c r="BA34" s="68" t="n">
        <v>0</v>
      </c>
      <c r="BB34" s="47">
        <f>IF(AY34&gt;0,AZ34*1000000/AY34,0)</f>
        <v/>
      </c>
      <c r="BC34" s="64">
        <f>IF(AND(BA34&gt;0,BB33&gt;0,B34&gt;0),MIN(conv_cap,conv_beta*1*BA34*MAX(0,LN(B34/(BB33*BD33)))),0)</f>
        <v/>
      </c>
      <c r="BD34" s="65">
        <f>BD33*(1+BC34)</f>
        <v/>
      </c>
      <c r="BE34" s="47">
        <f>AZ34*BD34</f>
        <v/>
      </c>
      <c r="BF34" s="67">
        <f>IF(AY34&gt;0,BE34*1000000/AY34/Economy!Q34,0)</f>
        <v/>
      </c>
      <c r="BG34" s="45" t="n">
        <v>23100000</v>
      </c>
      <c r="BH34" s="45" t="n">
        <v>1160</v>
      </c>
      <c r="BI34" s="68" t="n">
        <v>0.063</v>
      </c>
      <c r="BJ34" s="47">
        <f>IF(BG34&gt;0,BH34*1000000/BG34,0)</f>
        <v/>
      </c>
      <c r="BK34" s="64">
        <f>IF(AND(BI34&gt;0,BJ33&gt;0,B34&gt;0),MIN(conv_cap,conv_beta*1*BI34*MAX(0,LN(B34/(BJ33*BL33)))),0)</f>
        <v/>
      </c>
      <c r="BL34" s="65">
        <f>BL33*(1+BK34)</f>
        <v/>
      </c>
      <c r="BM34" s="47">
        <f>BH34*BL34</f>
        <v/>
      </c>
      <c r="BN34" s="67">
        <f>IF(BG34&gt;0,BM34*1000000/BG34/Economy!Q34,0)</f>
        <v/>
      </c>
      <c r="BO34" s="45" t="n">
        <v>12300000</v>
      </c>
      <c r="BP34" s="45" t="n">
        <v>540</v>
      </c>
      <c r="BQ34" s="68" t="n">
        <v>0</v>
      </c>
      <c r="BR34" s="47">
        <f>IF(BO34&gt;0,BP34*1000000/BO34,0)</f>
        <v/>
      </c>
      <c r="BS34" s="64">
        <f>IF(AND(BQ34&gt;0,BR33&gt;0,B34&gt;0),MIN(conv_cap,conv_beta*1*BQ34*MAX(0,LN(B34/(BR33*BT33)))),0)</f>
        <v/>
      </c>
      <c r="BT34" s="65">
        <f>BT33*(1+BS34)</f>
        <v/>
      </c>
      <c r="BU34" s="47">
        <f>BP34*BT34</f>
        <v/>
      </c>
      <c r="BV34" s="67">
        <f>IF(BO34&gt;0,BU34*1000000/BO34/Economy!Q34,0)</f>
        <v/>
      </c>
      <c r="BW34" s="65">
        <f>0.25*IF(D34&gt;0,H34,1)+0.15*IF(AJ34&gt;0,AN34,1)+0.03*IF(AR34&gt;0,AV34,1)+0.08*IF(AZ34&gt;0,BD34,1)+0.12*IF(BH34&gt;0,BL34,1)+0.1*IF(L34&gt;0,P34,1)+0.07*IF(T34&gt;0,X34,1)+0.05*IF(AB34&gt;0,AF34,1)+0.05*IF(BP34&gt;0,BT34,1)+0.1</f>
        <v/>
      </c>
      <c r="BX34" s="63">
        <f>MIN(mkt_cap,mkt_elast*MAX(0,BW34-1))</f>
        <v/>
      </c>
      <c r="BY34" s="47">
        <f>I34+Q34+Y34+AG34</f>
        <v/>
      </c>
      <c r="BZ34" s="47">
        <f>D34+L34+T34+AB34</f>
        <v/>
      </c>
      <c r="CA34" s="65">
        <f>IF(BZ34&gt;0,BY34/BZ34,0)</f>
        <v/>
      </c>
    </row>
    <row r="35">
      <c r="A35" s="58" t="n">
        <v>1875</v>
      </c>
      <c r="B35" s="47">
        <f>Economy!P34</f>
        <v/>
      </c>
      <c r="C35" s="45" t="n">
        <v>35700000</v>
      </c>
      <c r="D35" s="62">
        <f>Japan!B35</f>
        <v/>
      </c>
      <c r="E35" s="68" t="n">
        <v>0.358</v>
      </c>
      <c r="F35" s="47">
        <f>IF(C35&gt;0,D35*1000000/C35,0)</f>
        <v/>
      </c>
      <c r="G35" s="64">
        <f>IF(AND(E35&gt;0,F34&gt;0,B35&gt;0),MIN(conv_cap,conv_beta*jp_uplift*E35*MAX(0,LN(B35/(F34*H34)))),0)</f>
        <v/>
      </c>
      <c r="H35" s="65">
        <f>H34*(1+G35)</f>
        <v/>
      </c>
      <c r="I35" s="47">
        <f>D35*H35</f>
        <v/>
      </c>
      <c r="J35" s="67">
        <f>IF(C35&gt;0,I35*1000000/C35/Economy!Q35,0)</f>
        <v/>
      </c>
      <c r="K35" s="62">
        <f>Gulf!B35</f>
        <v/>
      </c>
      <c r="L35" s="47">
        <f>Gulf!B35*Gulf!C35*Economy!Q35/1000000</f>
        <v/>
      </c>
      <c r="M35" s="68" t="n">
        <v>0</v>
      </c>
      <c r="N35" s="47">
        <f>IF(K35&gt;0,L35*1000000/K35,0)</f>
        <v/>
      </c>
      <c r="O35" s="64">
        <f>IF(AND(M35&gt;0,N34&gt;0,B35&gt;0),MIN(conv_cap,conv_beta*1*M35*MAX(0,LN(B35/(N34*P34)))),0)</f>
        <v/>
      </c>
      <c r="P35" s="65">
        <f>P34*(1+O35)</f>
        <v/>
      </c>
      <c r="Q35" s="47">
        <f>L35*P35</f>
        <v/>
      </c>
      <c r="R35" s="67">
        <f>IF(K35&gt;0,Q35*1000000/K35/Economy!Q35,0)</f>
        <v/>
      </c>
      <c r="S35" s="62">
        <f>People!U35</f>
        <v/>
      </c>
      <c r="T35" s="45" t="n">
        <v>0</v>
      </c>
      <c r="U35" s="68" t="n">
        <v>0</v>
      </c>
      <c r="V35" s="47">
        <f>IF(S35&gt;0,T35*1000000/S35,0)</f>
        <v/>
      </c>
      <c r="W35" s="64">
        <f>IF(AND(U35&gt;0,V34&gt;0,B35&gt;0),MIN(conv_cap,conv_beta*1*U35*MAX(0,LN(B35/(V34*X34)))),0)</f>
        <v/>
      </c>
      <c r="X35" s="65">
        <f>X34*(1+W35)</f>
        <v/>
      </c>
      <c r="Y35" s="47">
        <f>T35*X35</f>
        <v/>
      </c>
      <c r="Z35" s="67">
        <f>IF(S35&gt;0,Y35*1000000/S35/Economy!Q35,0)</f>
        <v/>
      </c>
      <c r="AA35" s="45" t="n">
        <v>0</v>
      </c>
      <c r="AB35" s="45" t="n">
        <v>0</v>
      </c>
      <c r="AC35" s="68" t="n">
        <v>0</v>
      </c>
      <c r="AD35" s="47">
        <f>IF(AA35&gt;0,AB35*1000000/AA35,0)</f>
        <v/>
      </c>
      <c r="AE35" s="64">
        <f>IF(AND(AC35&gt;0,AD34&gt;0,B35&gt;0),MIN(conv_cap,conv_beta*1*AC35*MAX(0,LN(B35/(AD34*AF34)))),0)</f>
        <v/>
      </c>
      <c r="AF35" s="65">
        <f>AF34*(1+AE35)</f>
        <v/>
      </c>
      <c r="AG35" s="47">
        <f>AB35*AF35</f>
        <v/>
      </c>
      <c r="AH35" s="67">
        <f>IF(AA35&gt;0,AG35*1000000/AA35/Economy!Q35,0)</f>
        <v/>
      </c>
      <c r="AI35" s="45" t="n">
        <v>365000000</v>
      </c>
      <c r="AJ35" s="45" t="n">
        <v>3583</v>
      </c>
      <c r="AK35" s="68" t="n">
        <v>0.1</v>
      </c>
      <c r="AL35" s="47">
        <f>IF(AI35&gt;0,AJ35*1000000/AI35,0)</f>
        <v/>
      </c>
      <c r="AM35" s="64">
        <f>IF(AND(AK35&gt;0,AL34&gt;0,B35&gt;0),MIN(conv_cap,conv_beta*1*AK35*MAX(0,LN(B35/(AL34*AN34)))),0)</f>
        <v/>
      </c>
      <c r="AN35" s="65">
        <f>AN34*(1+AM35)</f>
        <v/>
      </c>
      <c r="AO35" s="47">
        <f>AJ35*AN35</f>
        <v/>
      </c>
      <c r="AP35" s="67">
        <f>IF(AI35&gt;0,AO35*1000000/AI35/Economy!Q35,0)</f>
        <v/>
      </c>
      <c r="AQ35" s="45" t="n">
        <v>10330000</v>
      </c>
      <c r="AR35" s="45" t="n">
        <v>167</v>
      </c>
      <c r="AS35" s="68" t="n">
        <v>0</v>
      </c>
      <c r="AT35" s="47">
        <f>IF(AQ35&gt;0,AR35*1000000/AQ35,0)</f>
        <v/>
      </c>
      <c r="AU35" s="64">
        <f>IF(AND(AS35&gt;0,AT34&gt;0,B35&gt;0),MIN(conv_cap,conv_beta*1*AS35*MAX(0,LN(B35/(AT34*AV34)))),0)</f>
        <v/>
      </c>
      <c r="AV35" s="65">
        <f>AV34*(1+AU35)</f>
        <v/>
      </c>
      <c r="AW35" s="47">
        <f>AR35*AV35</f>
        <v/>
      </c>
      <c r="AX35" s="67">
        <f>IF(AQ35&gt;0,AW35*1000000/AQ35/Economy!Q35,0)</f>
        <v/>
      </c>
      <c r="AY35" s="45" t="n">
        <v>55000000</v>
      </c>
      <c r="AZ35" s="45" t="n">
        <v>1083</v>
      </c>
      <c r="BA35" s="68" t="n">
        <v>0</v>
      </c>
      <c r="BB35" s="47">
        <f>IF(AY35&gt;0,AZ35*1000000/AY35,0)</f>
        <v/>
      </c>
      <c r="BC35" s="64">
        <f>IF(AND(BA35&gt;0,BB34&gt;0,B35&gt;0),MIN(conv_cap,conv_beta*1*BA35*MAX(0,LN(B35/(BB34*BD34)))),0)</f>
        <v/>
      </c>
      <c r="BD35" s="65">
        <f>BD34*(1+BC35)</f>
        <v/>
      </c>
      <c r="BE35" s="47">
        <f>AZ35*BD35</f>
        <v/>
      </c>
      <c r="BF35" s="67">
        <f>IF(AY35&gt;0,BE35*1000000/AY35/Economy!Q35,0)</f>
        <v/>
      </c>
      <c r="BG35" s="45" t="n">
        <v>23300000</v>
      </c>
      <c r="BH35" s="45" t="n">
        <v>1200</v>
      </c>
      <c r="BI35" s="68" t="n">
        <v>0.067</v>
      </c>
      <c r="BJ35" s="47">
        <f>IF(BG35&gt;0,BH35*1000000/BG35,0)</f>
        <v/>
      </c>
      <c r="BK35" s="64">
        <f>IF(AND(BI35&gt;0,BJ34&gt;0,B35&gt;0),MIN(conv_cap,conv_beta*1*BI35*MAX(0,LN(B35/(BJ34*BL34)))),0)</f>
        <v/>
      </c>
      <c r="BL35" s="65">
        <f>BL34*(1+BK35)</f>
        <v/>
      </c>
      <c r="BM35" s="47">
        <f>BH35*BL35</f>
        <v/>
      </c>
      <c r="BN35" s="67">
        <f>IF(BG35&gt;0,BM35*1000000/BG35/Economy!Q35,0)</f>
        <v/>
      </c>
      <c r="BO35" s="45" t="n">
        <v>12300000</v>
      </c>
      <c r="BP35" s="45" t="n">
        <v>550</v>
      </c>
      <c r="BQ35" s="68" t="n">
        <v>0</v>
      </c>
      <c r="BR35" s="47">
        <f>IF(BO35&gt;0,BP35*1000000/BO35,0)</f>
        <v/>
      </c>
      <c r="BS35" s="64">
        <f>IF(AND(BQ35&gt;0,BR34&gt;0,B35&gt;0),MIN(conv_cap,conv_beta*1*BQ35*MAX(0,LN(B35/(BR34*BT34)))),0)</f>
        <v/>
      </c>
      <c r="BT35" s="65">
        <f>BT34*(1+BS35)</f>
        <v/>
      </c>
      <c r="BU35" s="47">
        <f>BP35*BT35</f>
        <v/>
      </c>
      <c r="BV35" s="67">
        <f>IF(BO35&gt;0,BU35*1000000/BO35/Economy!Q35,0)</f>
        <v/>
      </c>
      <c r="BW35" s="65">
        <f>0.25*IF(D35&gt;0,H35,1)+0.15*IF(AJ35&gt;0,AN35,1)+0.03*IF(AR35&gt;0,AV35,1)+0.08*IF(AZ35&gt;0,BD35,1)+0.12*IF(BH35&gt;0,BL35,1)+0.1*IF(L35&gt;0,P35,1)+0.07*IF(T35&gt;0,X35,1)+0.05*IF(AB35&gt;0,AF35,1)+0.05*IF(BP35&gt;0,BT35,1)+0.1</f>
        <v/>
      </c>
      <c r="BX35" s="63">
        <f>MIN(mkt_cap,mkt_elast*MAX(0,BW35-1))</f>
        <v/>
      </c>
      <c r="BY35" s="47">
        <f>I35+Q35+Y35+AG35</f>
        <v/>
      </c>
      <c r="BZ35" s="47">
        <f>D35+L35+T35+AB35</f>
        <v/>
      </c>
      <c r="CA35" s="65">
        <f>IF(BZ35&gt;0,BY35/BZ35,0)</f>
        <v/>
      </c>
    </row>
    <row r="36">
      <c r="A36" s="58" t="n">
        <v>1876</v>
      </c>
      <c r="B36" s="47">
        <f>Economy!P35</f>
        <v/>
      </c>
      <c r="C36" s="45" t="n">
        <v>35880000</v>
      </c>
      <c r="D36" s="62">
        <f>Japan!B36</f>
        <v/>
      </c>
      <c r="E36" s="68" t="n">
        <v>0.367</v>
      </c>
      <c r="F36" s="47">
        <f>IF(C36&gt;0,D36*1000000/C36,0)</f>
        <v/>
      </c>
      <c r="G36" s="64">
        <f>IF(AND(E36&gt;0,F35&gt;0,B36&gt;0),MIN(conv_cap,conv_beta*jp_uplift*E36*MAX(0,LN(B36/(F35*H35)))),0)</f>
        <v/>
      </c>
      <c r="H36" s="65">
        <f>H35*(1+G36)</f>
        <v/>
      </c>
      <c r="I36" s="47">
        <f>D36*H36</f>
        <v/>
      </c>
      <c r="J36" s="67">
        <f>IF(C36&gt;0,I36*1000000/C36/Economy!Q36,0)</f>
        <v/>
      </c>
      <c r="K36" s="62">
        <f>Gulf!B36</f>
        <v/>
      </c>
      <c r="L36" s="47">
        <f>Gulf!B36*Gulf!C36*Economy!Q36/1000000</f>
        <v/>
      </c>
      <c r="M36" s="68" t="n">
        <v>0</v>
      </c>
      <c r="N36" s="47">
        <f>IF(K36&gt;0,L36*1000000/K36,0)</f>
        <v/>
      </c>
      <c r="O36" s="64">
        <f>IF(AND(M36&gt;0,N35&gt;0,B36&gt;0),MIN(conv_cap,conv_beta*1*M36*MAX(0,LN(B36/(N35*P35)))),0)</f>
        <v/>
      </c>
      <c r="P36" s="65">
        <f>P35*(1+O36)</f>
        <v/>
      </c>
      <c r="Q36" s="47">
        <f>L36*P36</f>
        <v/>
      </c>
      <c r="R36" s="67">
        <f>IF(K36&gt;0,Q36*1000000/K36/Economy!Q36,0)</f>
        <v/>
      </c>
      <c r="S36" s="62">
        <f>People!U36</f>
        <v/>
      </c>
      <c r="T36" s="45" t="n">
        <v>100</v>
      </c>
      <c r="U36" s="68" t="n">
        <v>0.3</v>
      </c>
      <c r="V36" s="47">
        <f>IF(S36&gt;0,T36*1000000/S36,0)</f>
        <v/>
      </c>
      <c r="W36" s="64">
        <f>IF(AND(U36&gt;0,V35&gt;0,B36&gt;0),MIN(conv_cap,conv_beta*1*U36*MAX(0,LN(B36/(V35*X35)))),0)</f>
        <v/>
      </c>
      <c r="X36" s="65">
        <f>X35*(1+W36)</f>
        <v/>
      </c>
      <c r="Y36" s="47">
        <f>T36*X36</f>
        <v/>
      </c>
      <c r="Z36" s="67">
        <f>IF(S36&gt;0,Y36*1000000/S36/Economy!Q36,0)</f>
        <v/>
      </c>
      <c r="AA36" s="45" t="n">
        <v>0</v>
      </c>
      <c r="AB36" s="45" t="n">
        <v>0</v>
      </c>
      <c r="AC36" s="68" t="n">
        <v>0</v>
      </c>
      <c r="AD36" s="47">
        <f>IF(AA36&gt;0,AB36*1000000/AA36,0)</f>
        <v/>
      </c>
      <c r="AE36" s="64">
        <f>IF(AND(AC36&gt;0,AD35&gt;0,B36&gt;0),MIN(conv_cap,conv_beta*1*AC36*MAX(0,LN(B36/(AD35*AF35)))),0)</f>
        <v/>
      </c>
      <c r="AF36" s="65">
        <f>AF35*(1+AE36)</f>
        <v/>
      </c>
      <c r="AG36" s="47">
        <f>AB36*AF36</f>
        <v/>
      </c>
      <c r="AH36" s="67">
        <f>IF(AA36&gt;0,AG36*1000000/AA36/Economy!Q36,0)</f>
        <v/>
      </c>
      <c r="AI36" s="45" t="n">
        <v>366400000</v>
      </c>
      <c r="AJ36" s="45" t="n">
        <v>3600</v>
      </c>
      <c r="AK36" s="68" t="n">
        <v>0.104</v>
      </c>
      <c r="AL36" s="47">
        <f>IF(AI36&gt;0,AJ36*1000000/AI36,0)</f>
        <v/>
      </c>
      <c r="AM36" s="64">
        <f>IF(AND(AK36&gt;0,AL35&gt;0,B36&gt;0),MIN(conv_cap,conv_beta*1*AK36*MAX(0,LN(B36/(AL35*AN35)))),0)</f>
        <v/>
      </c>
      <c r="AN36" s="65">
        <f>AN35*(1+AM36)</f>
        <v/>
      </c>
      <c r="AO36" s="47">
        <f>AJ36*AN36</f>
        <v/>
      </c>
      <c r="AP36" s="67">
        <f>IF(AI36&gt;0,AO36*1000000/AI36/Economy!Q36,0)</f>
        <v/>
      </c>
      <c r="AQ36" s="45" t="n">
        <v>10400000</v>
      </c>
      <c r="AR36" s="45" t="n">
        <v>170</v>
      </c>
      <c r="AS36" s="68" t="n">
        <v>0</v>
      </c>
      <c r="AT36" s="47">
        <f>IF(AQ36&gt;0,AR36*1000000/AQ36,0)</f>
        <v/>
      </c>
      <c r="AU36" s="64">
        <f>IF(AND(AS36&gt;0,AT35&gt;0,B36&gt;0),MIN(conv_cap,conv_beta*1*AS36*MAX(0,LN(B36/(AT35*AV35)))),0)</f>
        <v/>
      </c>
      <c r="AV36" s="65">
        <f>AV35*(1+AU36)</f>
        <v/>
      </c>
      <c r="AW36" s="47">
        <f>AR36*AV36</f>
        <v/>
      </c>
      <c r="AX36" s="67">
        <f>IF(AQ36&gt;0,AW36*1000000/AQ36/Economy!Q36,0)</f>
        <v/>
      </c>
      <c r="AY36" s="45" t="n">
        <v>56000000</v>
      </c>
      <c r="AZ36" s="45" t="n">
        <v>1120</v>
      </c>
      <c r="BA36" s="68" t="n">
        <v>0</v>
      </c>
      <c r="BB36" s="47">
        <f>IF(AY36&gt;0,AZ36*1000000/AY36,0)</f>
        <v/>
      </c>
      <c r="BC36" s="64">
        <f>IF(AND(BA36&gt;0,BB35&gt;0,B36&gt;0),MIN(conv_cap,conv_beta*1*BA36*MAX(0,LN(B36/(BB35*BD35)))),0)</f>
        <v/>
      </c>
      <c r="BD36" s="65">
        <f>BD35*(1+BC36)</f>
        <v/>
      </c>
      <c r="BE36" s="47">
        <f>AZ36*BD36</f>
        <v/>
      </c>
      <c r="BF36" s="67">
        <f>IF(AY36&gt;0,BE36*1000000/AY36/Economy!Q36,0)</f>
        <v/>
      </c>
      <c r="BG36" s="45" t="n">
        <v>23600000</v>
      </c>
      <c r="BH36" s="45" t="n">
        <v>1240</v>
      </c>
      <c r="BI36" s="68" t="n">
        <v>0.07000000000000001</v>
      </c>
      <c r="BJ36" s="47">
        <f>IF(BG36&gt;0,BH36*1000000/BG36,0)</f>
        <v/>
      </c>
      <c r="BK36" s="64">
        <f>IF(AND(BI36&gt;0,BJ35&gt;0,B36&gt;0),MIN(conv_cap,conv_beta*1*BI36*MAX(0,LN(B36/(BJ35*BL35)))),0)</f>
        <v/>
      </c>
      <c r="BL36" s="65">
        <f>BL35*(1+BK36)</f>
        <v/>
      </c>
      <c r="BM36" s="47">
        <f>BH36*BL36</f>
        <v/>
      </c>
      <c r="BN36" s="67">
        <f>IF(BG36&gt;0,BM36*1000000/BG36/Economy!Q36,0)</f>
        <v/>
      </c>
      <c r="BO36" s="45" t="n">
        <v>12400000</v>
      </c>
      <c r="BP36" s="45" t="n">
        <v>560</v>
      </c>
      <c r="BQ36" s="68" t="n">
        <v>0</v>
      </c>
      <c r="BR36" s="47">
        <f>IF(BO36&gt;0,BP36*1000000/BO36,0)</f>
        <v/>
      </c>
      <c r="BS36" s="64">
        <f>IF(AND(BQ36&gt;0,BR35&gt;0,B36&gt;0),MIN(conv_cap,conv_beta*1*BQ36*MAX(0,LN(B36/(BR35*BT35)))),0)</f>
        <v/>
      </c>
      <c r="BT36" s="65">
        <f>BT35*(1+BS36)</f>
        <v/>
      </c>
      <c r="BU36" s="47">
        <f>BP36*BT36</f>
        <v/>
      </c>
      <c r="BV36" s="67">
        <f>IF(BO36&gt;0,BU36*1000000/BO36/Economy!Q36,0)</f>
        <v/>
      </c>
      <c r="BW36" s="65">
        <f>0.25*IF(D36&gt;0,H36,1)+0.15*IF(AJ36&gt;0,AN36,1)+0.03*IF(AR36&gt;0,AV36,1)+0.08*IF(AZ36&gt;0,BD36,1)+0.12*IF(BH36&gt;0,BL36,1)+0.1*IF(L36&gt;0,P36,1)+0.07*IF(T36&gt;0,X36,1)+0.05*IF(AB36&gt;0,AF36,1)+0.05*IF(BP36&gt;0,BT36,1)+0.1</f>
        <v/>
      </c>
      <c r="BX36" s="63">
        <f>MIN(mkt_cap,mkt_elast*MAX(0,BW36-1))</f>
        <v/>
      </c>
      <c r="BY36" s="47">
        <f>I36+Q36+Y36+AG36</f>
        <v/>
      </c>
      <c r="BZ36" s="47">
        <f>D36+L36+T36+AB36</f>
        <v/>
      </c>
      <c r="CA36" s="65">
        <f>IF(BZ36&gt;0,BY36/BZ36,0)</f>
        <v/>
      </c>
    </row>
    <row r="37">
      <c r="A37" s="58" t="n">
        <v>1877</v>
      </c>
      <c r="B37" s="47">
        <f>Economy!P36</f>
        <v/>
      </c>
      <c r="C37" s="45" t="n">
        <v>36060000</v>
      </c>
      <c r="D37" s="62">
        <f>Japan!B37</f>
        <v/>
      </c>
      <c r="E37" s="68" t="n">
        <v>0.375</v>
      </c>
      <c r="F37" s="47">
        <f>IF(C37&gt;0,D37*1000000/C37,0)</f>
        <v/>
      </c>
      <c r="G37" s="64">
        <f>IF(AND(E37&gt;0,F36&gt;0,B37&gt;0),MIN(conv_cap,conv_beta*jp_uplift*E37*MAX(0,LN(B37/(F36*H36)))),0)</f>
        <v/>
      </c>
      <c r="H37" s="65">
        <f>H36*(1+G37)</f>
        <v/>
      </c>
      <c r="I37" s="47">
        <f>D37*H37</f>
        <v/>
      </c>
      <c r="J37" s="67">
        <f>IF(C37&gt;0,I37*1000000/C37/Economy!Q37,0)</f>
        <v/>
      </c>
      <c r="K37" s="62">
        <f>Gulf!B37</f>
        <v/>
      </c>
      <c r="L37" s="47">
        <f>Gulf!B37*Gulf!C37*Economy!Q37/1000000</f>
        <v/>
      </c>
      <c r="M37" s="68" t="n">
        <v>0</v>
      </c>
      <c r="N37" s="47">
        <f>IF(K37&gt;0,L37*1000000/K37,0)</f>
        <v/>
      </c>
      <c r="O37" s="64">
        <f>IF(AND(M37&gt;0,N36&gt;0,B37&gt;0),MIN(conv_cap,conv_beta*1*M37*MAX(0,LN(B37/(N36*P36)))),0)</f>
        <v/>
      </c>
      <c r="P37" s="65">
        <f>P36*(1+O37)</f>
        <v/>
      </c>
      <c r="Q37" s="47">
        <f>L37*P37</f>
        <v/>
      </c>
      <c r="R37" s="67">
        <f>IF(K37&gt;0,Q37*1000000/K37/Economy!Q37,0)</f>
        <v/>
      </c>
      <c r="S37" s="62">
        <f>People!U37</f>
        <v/>
      </c>
      <c r="T37" s="45" t="n">
        <v>102</v>
      </c>
      <c r="U37" s="68" t="n">
        <v>0.309</v>
      </c>
      <c r="V37" s="47">
        <f>IF(S37&gt;0,T37*1000000/S37,0)</f>
        <v/>
      </c>
      <c r="W37" s="64">
        <f>IF(AND(U37&gt;0,V36&gt;0,B37&gt;0),MIN(conv_cap,conv_beta*1*U37*MAX(0,LN(B37/(V36*X36)))),0)</f>
        <v/>
      </c>
      <c r="X37" s="65">
        <f>X36*(1+W37)</f>
        <v/>
      </c>
      <c r="Y37" s="47">
        <f>T37*X37</f>
        <v/>
      </c>
      <c r="Z37" s="67">
        <f>IF(S37&gt;0,Y37*1000000/S37/Economy!Q37,0)</f>
        <v/>
      </c>
      <c r="AA37" s="45" t="n">
        <v>0</v>
      </c>
      <c r="AB37" s="45" t="n">
        <v>0</v>
      </c>
      <c r="AC37" s="68" t="n">
        <v>0</v>
      </c>
      <c r="AD37" s="47">
        <f>IF(AA37&gt;0,AB37*1000000/AA37,0)</f>
        <v/>
      </c>
      <c r="AE37" s="64">
        <f>IF(AND(AC37&gt;0,AD36&gt;0,B37&gt;0),MIN(conv_cap,conv_beta*1*AC37*MAX(0,LN(B37/(AD36*AF36)))),0)</f>
        <v/>
      </c>
      <c r="AF37" s="65">
        <f>AF36*(1+AE37)</f>
        <v/>
      </c>
      <c r="AG37" s="47">
        <f>AB37*AF37</f>
        <v/>
      </c>
      <c r="AH37" s="67">
        <f>IF(AA37&gt;0,AG37*1000000/AA37/Economy!Q37,0)</f>
        <v/>
      </c>
      <c r="AI37" s="45" t="n">
        <v>367800000</v>
      </c>
      <c r="AJ37" s="45" t="n">
        <v>3617</v>
      </c>
      <c r="AK37" s="68" t="n">
        <v>0.108</v>
      </c>
      <c r="AL37" s="47">
        <f>IF(AI37&gt;0,AJ37*1000000/AI37,0)</f>
        <v/>
      </c>
      <c r="AM37" s="64">
        <f>IF(AND(AK37&gt;0,AL36&gt;0,B37&gt;0),MIN(conv_cap,conv_beta*1*AK37*MAX(0,LN(B37/(AL36*AN36)))),0)</f>
        <v/>
      </c>
      <c r="AN37" s="65">
        <f>AN36*(1+AM37)</f>
        <v/>
      </c>
      <c r="AO37" s="47">
        <f>AJ37*AN37</f>
        <v/>
      </c>
      <c r="AP37" s="67">
        <f>IF(AI37&gt;0,AO37*1000000/AI37/Economy!Q37,0)</f>
        <v/>
      </c>
      <c r="AQ37" s="45" t="n">
        <v>10470000</v>
      </c>
      <c r="AR37" s="45" t="n">
        <v>173</v>
      </c>
      <c r="AS37" s="68" t="n">
        <v>0</v>
      </c>
      <c r="AT37" s="47">
        <f>IF(AQ37&gt;0,AR37*1000000/AQ37,0)</f>
        <v/>
      </c>
      <c r="AU37" s="64">
        <f>IF(AND(AS37&gt;0,AT36&gt;0,B37&gt;0),MIN(conv_cap,conv_beta*1*AS37*MAX(0,LN(B37/(AT36*AV36)))),0)</f>
        <v/>
      </c>
      <c r="AV37" s="65">
        <f>AV36*(1+AU37)</f>
        <v/>
      </c>
      <c r="AW37" s="47">
        <f>AR37*AV37</f>
        <v/>
      </c>
      <c r="AX37" s="67">
        <f>IF(AQ37&gt;0,AW37*1000000/AQ37/Economy!Q37,0)</f>
        <v/>
      </c>
      <c r="AY37" s="45" t="n">
        <v>57000000</v>
      </c>
      <c r="AZ37" s="45" t="n">
        <v>1157</v>
      </c>
      <c r="BA37" s="68" t="n">
        <v>0</v>
      </c>
      <c r="BB37" s="47">
        <f>IF(AY37&gt;0,AZ37*1000000/AY37,0)</f>
        <v/>
      </c>
      <c r="BC37" s="64">
        <f>IF(AND(BA37&gt;0,BB36&gt;0,B37&gt;0),MIN(conv_cap,conv_beta*1*BA37*MAX(0,LN(B37/(BB36*BD36)))),0)</f>
        <v/>
      </c>
      <c r="BD37" s="65">
        <f>BD36*(1+BC37)</f>
        <v/>
      </c>
      <c r="BE37" s="47">
        <f>AZ37*BD37</f>
        <v/>
      </c>
      <c r="BF37" s="67">
        <f>IF(AY37&gt;0,BE37*1000000/AY37/Economy!Q37,0)</f>
        <v/>
      </c>
      <c r="BG37" s="45" t="n">
        <v>23900000</v>
      </c>
      <c r="BH37" s="45" t="n">
        <v>1280</v>
      </c>
      <c r="BI37" s="68" t="n">
        <v>0.073</v>
      </c>
      <c r="BJ37" s="47">
        <f>IF(BG37&gt;0,BH37*1000000/BG37,0)</f>
        <v/>
      </c>
      <c r="BK37" s="64">
        <f>IF(AND(BI37&gt;0,BJ36&gt;0,B37&gt;0),MIN(conv_cap,conv_beta*1*BI37*MAX(0,LN(B37/(BJ36*BL36)))),0)</f>
        <v/>
      </c>
      <c r="BL37" s="65">
        <f>BL36*(1+BK37)</f>
        <v/>
      </c>
      <c r="BM37" s="47">
        <f>BH37*BL37</f>
        <v/>
      </c>
      <c r="BN37" s="67">
        <f>IF(BG37&gt;0,BM37*1000000/BG37/Economy!Q37,0)</f>
        <v/>
      </c>
      <c r="BO37" s="45" t="n">
        <v>12500000</v>
      </c>
      <c r="BP37" s="45" t="n">
        <v>570</v>
      </c>
      <c r="BQ37" s="68" t="n">
        <v>0</v>
      </c>
      <c r="BR37" s="47">
        <f>IF(BO37&gt;0,BP37*1000000/BO37,0)</f>
        <v/>
      </c>
      <c r="BS37" s="64">
        <f>IF(AND(BQ37&gt;0,BR36&gt;0,B37&gt;0),MIN(conv_cap,conv_beta*1*BQ37*MAX(0,LN(B37/(BR36*BT36)))),0)</f>
        <v/>
      </c>
      <c r="BT37" s="65">
        <f>BT36*(1+BS37)</f>
        <v/>
      </c>
      <c r="BU37" s="47">
        <f>BP37*BT37</f>
        <v/>
      </c>
      <c r="BV37" s="67">
        <f>IF(BO37&gt;0,BU37*1000000/BO37/Economy!Q37,0)</f>
        <v/>
      </c>
      <c r="BW37" s="65">
        <f>0.25*IF(D37&gt;0,H37,1)+0.15*IF(AJ37&gt;0,AN37,1)+0.03*IF(AR37&gt;0,AV37,1)+0.08*IF(AZ37&gt;0,BD37,1)+0.12*IF(BH37&gt;0,BL37,1)+0.1*IF(L37&gt;0,P37,1)+0.07*IF(T37&gt;0,X37,1)+0.05*IF(AB37&gt;0,AF37,1)+0.05*IF(BP37&gt;0,BT37,1)+0.1</f>
        <v/>
      </c>
      <c r="BX37" s="63">
        <f>MIN(mkt_cap,mkt_elast*MAX(0,BW37-1))</f>
        <v/>
      </c>
      <c r="BY37" s="47">
        <f>I37+Q37+Y37+AG37</f>
        <v/>
      </c>
      <c r="BZ37" s="47">
        <f>D37+L37+T37+AB37</f>
        <v/>
      </c>
      <c r="CA37" s="65">
        <f>IF(BZ37&gt;0,BY37/BZ37,0)</f>
        <v/>
      </c>
    </row>
    <row r="38">
      <c r="A38" s="58" t="n">
        <v>1878</v>
      </c>
      <c r="B38" s="47">
        <f>Economy!P37</f>
        <v/>
      </c>
      <c r="C38" s="45" t="n">
        <v>36240000</v>
      </c>
      <c r="D38" s="62">
        <f>Japan!B38</f>
        <v/>
      </c>
      <c r="E38" s="68" t="n">
        <v>0.383</v>
      </c>
      <c r="F38" s="47">
        <f>IF(C38&gt;0,D38*1000000/C38,0)</f>
        <v/>
      </c>
      <c r="G38" s="64">
        <f>IF(AND(E38&gt;0,F37&gt;0,B38&gt;0),MIN(conv_cap,conv_beta*jp_uplift*E38*MAX(0,LN(B38/(F37*H37)))),0)</f>
        <v/>
      </c>
      <c r="H38" s="65">
        <f>H37*(1+G38)</f>
        <v/>
      </c>
      <c r="I38" s="47">
        <f>D38*H38</f>
        <v/>
      </c>
      <c r="J38" s="67">
        <f>IF(C38&gt;0,I38*1000000/C38/Economy!Q38,0)</f>
        <v/>
      </c>
      <c r="K38" s="62">
        <f>Gulf!B38</f>
        <v/>
      </c>
      <c r="L38" s="47">
        <f>Gulf!B38*Gulf!C38*Economy!Q38/1000000</f>
        <v/>
      </c>
      <c r="M38" s="68" t="n">
        <v>0</v>
      </c>
      <c r="N38" s="47">
        <f>IF(K38&gt;0,L38*1000000/K38,0)</f>
        <v/>
      </c>
      <c r="O38" s="64">
        <f>IF(AND(M38&gt;0,N37&gt;0,B38&gt;0),MIN(conv_cap,conv_beta*1*M38*MAX(0,LN(B38/(N37*P37)))),0)</f>
        <v/>
      </c>
      <c r="P38" s="65">
        <f>P37*(1+O38)</f>
        <v/>
      </c>
      <c r="Q38" s="47">
        <f>L38*P38</f>
        <v/>
      </c>
      <c r="R38" s="67">
        <f>IF(K38&gt;0,Q38*1000000/K38/Economy!Q38,0)</f>
        <v/>
      </c>
      <c r="S38" s="62">
        <f>People!U38</f>
        <v/>
      </c>
      <c r="T38" s="45" t="n">
        <v>104</v>
      </c>
      <c r="U38" s="68" t="n">
        <v>0.318</v>
      </c>
      <c r="V38" s="47">
        <f>IF(S38&gt;0,T38*1000000/S38,0)</f>
        <v/>
      </c>
      <c r="W38" s="64">
        <f>IF(AND(U38&gt;0,V37&gt;0,B38&gt;0),MIN(conv_cap,conv_beta*1*U38*MAX(0,LN(B38/(V37*X37)))),0)</f>
        <v/>
      </c>
      <c r="X38" s="65">
        <f>X37*(1+W38)</f>
        <v/>
      </c>
      <c r="Y38" s="47">
        <f>T38*X38</f>
        <v/>
      </c>
      <c r="Z38" s="67">
        <f>IF(S38&gt;0,Y38*1000000/S38/Economy!Q38,0)</f>
        <v/>
      </c>
      <c r="AA38" s="45" t="n">
        <v>0</v>
      </c>
      <c r="AB38" s="45" t="n">
        <v>0</v>
      </c>
      <c r="AC38" s="68" t="n">
        <v>0</v>
      </c>
      <c r="AD38" s="47">
        <f>IF(AA38&gt;0,AB38*1000000/AA38,0)</f>
        <v/>
      </c>
      <c r="AE38" s="64">
        <f>IF(AND(AC38&gt;0,AD37&gt;0,B38&gt;0),MIN(conv_cap,conv_beta*1*AC38*MAX(0,LN(B38/(AD37*AF37)))),0)</f>
        <v/>
      </c>
      <c r="AF38" s="65">
        <f>AF37*(1+AE38)</f>
        <v/>
      </c>
      <c r="AG38" s="47">
        <f>AB38*AF38</f>
        <v/>
      </c>
      <c r="AH38" s="67">
        <f>IF(AA38&gt;0,AG38*1000000/AA38/Economy!Q38,0)</f>
        <v/>
      </c>
      <c r="AI38" s="45" t="n">
        <v>369200000</v>
      </c>
      <c r="AJ38" s="45" t="n">
        <v>3633</v>
      </c>
      <c r="AK38" s="68" t="n">
        <v>0.113</v>
      </c>
      <c r="AL38" s="47">
        <f>IF(AI38&gt;0,AJ38*1000000/AI38,0)</f>
        <v/>
      </c>
      <c r="AM38" s="64">
        <f>IF(AND(AK38&gt;0,AL37&gt;0,B38&gt;0),MIN(conv_cap,conv_beta*1*AK38*MAX(0,LN(B38/(AL37*AN37)))),0)</f>
        <v/>
      </c>
      <c r="AN38" s="65">
        <f>AN37*(1+AM38)</f>
        <v/>
      </c>
      <c r="AO38" s="47">
        <f>AJ38*AN38</f>
        <v/>
      </c>
      <c r="AP38" s="67">
        <f>IF(AI38&gt;0,AO38*1000000/AI38/Economy!Q38,0)</f>
        <v/>
      </c>
      <c r="AQ38" s="45" t="n">
        <v>10530000</v>
      </c>
      <c r="AR38" s="45" t="n">
        <v>177</v>
      </c>
      <c r="AS38" s="68" t="n">
        <v>0</v>
      </c>
      <c r="AT38" s="47">
        <f>IF(AQ38&gt;0,AR38*1000000/AQ38,0)</f>
        <v/>
      </c>
      <c r="AU38" s="64">
        <f>IF(AND(AS38&gt;0,AT37&gt;0,B38&gt;0),MIN(conv_cap,conv_beta*1*AS38*MAX(0,LN(B38/(AT37*AV37)))),0)</f>
        <v/>
      </c>
      <c r="AV38" s="65">
        <f>AV37*(1+AU38)</f>
        <v/>
      </c>
      <c r="AW38" s="47">
        <f>AR38*AV38</f>
        <v/>
      </c>
      <c r="AX38" s="67">
        <f>IF(AQ38&gt;0,AW38*1000000/AQ38/Economy!Q38,0)</f>
        <v/>
      </c>
      <c r="AY38" s="45" t="n">
        <v>58000000</v>
      </c>
      <c r="AZ38" s="45" t="n">
        <v>1193</v>
      </c>
      <c r="BA38" s="68" t="n">
        <v>0</v>
      </c>
      <c r="BB38" s="47">
        <f>IF(AY38&gt;0,AZ38*1000000/AY38,0)</f>
        <v/>
      </c>
      <c r="BC38" s="64">
        <f>IF(AND(BA38&gt;0,BB37&gt;0,B38&gt;0),MIN(conv_cap,conv_beta*1*BA38*MAX(0,LN(B38/(BB37*BD37)))),0)</f>
        <v/>
      </c>
      <c r="BD38" s="65">
        <f>BD37*(1+BC38)</f>
        <v/>
      </c>
      <c r="BE38" s="47">
        <f>AZ38*BD38</f>
        <v/>
      </c>
      <c r="BF38" s="67">
        <f>IF(AY38&gt;0,BE38*1000000/AY38/Economy!Q38,0)</f>
        <v/>
      </c>
      <c r="BG38" s="45" t="n">
        <v>24100000</v>
      </c>
      <c r="BH38" s="45" t="n">
        <v>1320</v>
      </c>
      <c r="BI38" s="68" t="n">
        <v>0.077</v>
      </c>
      <c r="BJ38" s="47">
        <f>IF(BG38&gt;0,BH38*1000000/BG38,0)</f>
        <v/>
      </c>
      <c r="BK38" s="64">
        <f>IF(AND(BI38&gt;0,BJ37&gt;0,B38&gt;0),MIN(conv_cap,conv_beta*1*BI38*MAX(0,LN(B38/(BJ37*BL37)))),0)</f>
        <v/>
      </c>
      <c r="BL38" s="65">
        <f>BL37*(1+BK38)</f>
        <v/>
      </c>
      <c r="BM38" s="47">
        <f>BH38*BL38</f>
        <v/>
      </c>
      <c r="BN38" s="67">
        <f>IF(BG38&gt;0,BM38*1000000/BG38/Economy!Q38,0)</f>
        <v/>
      </c>
      <c r="BO38" s="45" t="n">
        <v>12500000</v>
      </c>
      <c r="BP38" s="45" t="n">
        <v>580</v>
      </c>
      <c r="BQ38" s="68" t="n">
        <v>0</v>
      </c>
      <c r="BR38" s="47">
        <f>IF(BO38&gt;0,BP38*1000000/BO38,0)</f>
        <v/>
      </c>
      <c r="BS38" s="64">
        <f>IF(AND(BQ38&gt;0,BR37&gt;0,B38&gt;0),MIN(conv_cap,conv_beta*1*BQ38*MAX(0,LN(B38/(BR37*BT37)))),0)</f>
        <v/>
      </c>
      <c r="BT38" s="65">
        <f>BT37*(1+BS38)</f>
        <v/>
      </c>
      <c r="BU38" s="47">
        <f>BP38*BT38</f>
        <v/>
      </c>
      <c r="BV38" s="67">
        <f>IF(BO38&gt;0,BU38*1000000/BO38/Economy!Q38,0)</f>
        <v/>
      </c>
      <c r="BW38" s="65">
        <f>0.25*IF(D38&gt;0,H38,1)+0.15*IF(AJ38&gt;0,AN38,1)+0.03*IF(AR38&gt;0,AV38,1)+0.08*IF(AZ38&gt;0,BD38,1)+0.12*IF(BH38&gt;0,BL38,1)+0.1*IF(L38&gt;0,P38,1)+0.07*IF(T38&gt;0,X38,1)+0.05*IF(AB38&gt;0,AF38,1)+0.05*IF(BP38&gt;0,BT38,1)+0.1</f>
        <v/>
      </c>
      <c r="BX38" s="63">
        <f>MIN(mkt_cap,mkt_elast*MAX(0,BW38-1))</f>
        <v/>
      </c>
      <c r="BY38" s="47">
        <f>I38+Q38+Y38+AG38</f>
        <v/>
      </c>
      <c r="BZ38" s="47">
        <f>D38+L38+T38+AB38</f>
        <v/>
      </c>
      <c r="CA38" s="65">
        <f>IF(BZ38&gt;0,BY38/BZ38,0)</f>
        <v/>
      </c>
    </row>
    <row r="39">
      <c r="A39" s="58" t="n">
        <v>1879</v>
      </c>
      <c r="B39" s="47">
        <f>Economy!P38</f>
        <v/>
      </c>
      <c r="C39" s="45" t="n">
        <v>36420000</v>
      </c>
      <c r="D39" s="62">
        <f>Japan!B39</f>
        <v/>
      </c>
      <c r="E39" s="68" t="n">
        <v>0.392</v>
      </c>
      <c r="F39" s="47">
        <f>IF(C39&gt;0,D39*1000000/C39,0)</f>
        <v/>
      </c>
      <c r="G39" s="64">
        <f>IF(AND(E39&gt;0,F38&gt;0,B39&gt;0),MIN(conv_cap,conv_beta*jp_uplift*E39*MAX(0,LN(B39/(F38*H38)))),0)</f>
        <v/>
      </c>
      <c r="H39" s="65">
        <f>H38*(1+G39)</f>
        <v/>
      </c>
      <c r="I39" s="47">
        <f>D39*H39</f>
        <v/>
      </c>
      <c r="J39" s="67">
        <f>IF(C39&gt;0,I39*1000000/C39/Economy!Q39,0)</f>
        <v/>
      </c>
      <c r="K39" s="62">
        <f>Gulf!B39</f>
        <v/>
      </c>
      <c r="L39" s="47">
        <f>Gulf!B39*Gulf!C39*Economy!Q39/1000000</f>
        <v/>
      </c>
      <c r="M39" s="68" t="n">
        <v>0</v>
      </c>
      <c r="N39" s="47">
        <f>IF(K39&gt;0,L39*1000000/K39,0)</f>
        <v/>
      </c>
      <c r="O39" s="64">
        <f>IF(AND(M39&gt;0,N38&gt;0,B39&gt;0),MIN(conv_cap,conv_beta*1*M39*MAX(0,LN(B39/(N38*P38)))),0)</f>
        <v/>
      </c>
      <c r="P39" s="65">
        <f>P38*(1+O39)</f>
        <v/>
      </c>
      <c r="Q39" s="47">
        <f>L39*P39</f>
        <v/>
      </c>
      <c r="R39" s="67">
        <f>IF(K39&gt;0,Q39*1000000/K39/Economy!Q39,0)</f>
        <v/>
      </c>
      <c r="S39" s="62">
        <f>People!U39</f>
        <v/>
      </c>
      <c r="T39" s="45" t="n">
        <v>105</v>
      </c>
      <c r="U39" s="68" t="n">
        <v>0.327</v>
      </c>
      <c r="V39" s="47">
        <f>IF(S39&gt;0,T39*1000000/S39,0)</f>
        <v/>
      </c>
      <c r="W39" s="64">
        <f>IF(AND(U39&gt;0,V38&gt;0,B39&gt;0),MIN(conv_cap,conv_beta*1*U39*MAX(0,LN(B39/(V38*X38)))),0)</f>
        <v/>
      </c>
      <c r="X39" s="65">
        <f>X38*(1+W39)</f>
        <v/>
      </c>
      <c r="Y39" s="47">
        <f>T39*X39</f>
        <v/>
      </c>
      <c r="Z39" s="67">
        <f>IF(S39&gt;0,Y39*1000000/S39/Economy!Q39,0)</f>
        <v/>
      </c>
      <c r="AA39" s="45" t="n">
        <v>0</v>
      </c>
      <c r="AB39" s="45" t="n">
        <v>0</v>
      </c>
      <c r="AC39" s="68" t="n">
        <v>0</v>
      </c>
      <c r="AD39" s="47">
        <f>IF(AA39&gt;0,AB39*1000000/AA39,0)</f>
        <v/>
      </c>
      <c r="AE39" s="64">
        <f>IF(AND(AC39&gt;0,AD38&gt;0,B39&gt;0),MIN(conv_cap,conv_beta*1*AC39*MAX(0,LN(B39/(AD38*AF38)))),0)</f>
        <v/>
      </c>
      <c r="AF39" s="65">
        <f>AF38*(1+AE39)</f>
        <v/>
      </c>
      <c r="AG39" s="47">
        <f>AB39*AF39</f>
        <v/>
      </c>
      <c r="AH39" s="67">
        <f>IF(AA39&gt;0,AG39*1000000/AA39/Economy!Q39,0)</f>
        <v/>
      </c>
      <c r="AI39" s="45" t="n">
        <v>370600000</v>
      </c>
      <c r="AJ39" s="45" t="n">
        <v>3650</v>
      </c>
      <c r="AK39" s="68" t="n">
        <v>0.117</v>
      </c>
      <c r="AL39" s="47">
        <f>IF(AI39&gt;0,AJ39*1000000/AI39,0)</f>
        <v/>
      </c>
      <c r="AM39" s="64">
        <f>IF(AND(AK39&gt;0,AL38&gt;0,B39&gt;0),MIN(conv_cap,conv_beta*1*AK39*MAX(0,LN(B39/(AL38*AN38)))),0)</f>
        <v/>
      </c>
      <c r="AN39" s="65">
        <f>AN38*(1+AM39)</f>
        <v/>
      </c>
      <c r="AO39" s="47">
        <f>AJ39*AN39</f>
        <v/>
      </c>
      <c r="AP39" s="67">
        <f>IF(AI39&gt;0,AO39*1000000/AI39/Economy!Q39,0)</f>
        <v/>
      </c>
      <c r="AQ39" s="45" t="n">
        <v>10600000</v>
      </c>
      <c r="AR39" s="45" t="n">
        <v>180</v>
      </c>
      <c r="AS39" s="68" t="n">
        <v>0</v>
      </c>
      <c r="AT39" s="47">
        <f>IF(AQ39&gt;0,AR39*1000000/AQ39,0)</f>
        <v/>
      </c>
      <c r="AU39" s="64">
        <f>IF(AND(AS39&gt;0,AT38&gt;0,B39&gt;0),MIN(conv_cap,conv_beta*1*AS39*MAX(0,LN(B39/(AT38*AV38)))),0)</f>
        <v/>
      </c>
      <c r="AV39" s="65">
        <f>AV38*(1+AU39)</f>
        <v/>
      </c>
      <c r="AW39" s="47">
        <f>AR39*AV39</f>
        <v/>
      </c>
      <c r="AX39" s="67">
        <f>IF(AQ39&gt;0,AW39*1000000/AQ39/Economy!Q39,0)</f>
        <v/>
      </c>
      <c r="AY39" s="45" t="n">
        <v>59000000</v>
      </c>
      <c r="AZ39" s="45" t="n">
        <v>1230</v>
      </c>
      <c r="BA39" s="68" t="n">
        <v>0</v>
      </c>
      <c r="BB39" s="47">
        <f>IF(AY39&gt;0,AZ39*1000000/AY39,0)</f>
        <v/>
      </c>
      <c r="BC39" s="64">
        <f>IF(AND(BA39&gt;0,BB38&gt;0,B39&gt;0),MIN(conv_cap,conv_beta*1*BA39*MAX(0,LN(B39/(BB38*BD38)))),0)</f>
        <v/>
      </c>
      <c r="BD39" s="65">
        <f>BD38*(1+BC39)</f>
        <v/>
      </c>
      <c r="BE39" s="47">
        <f>AZ39*BD39</f>
        <v/>
      </c>
      <c r="BF39" s="67">
        <f>IF(AY39&gt;0,BE39*1000000/AY39/Economy!Q39,0)</f>
        <v/>
      </c>
      <c r="BG39" s="45" t="n">
        <v>24400000</v>
      </c>
      <c r="BH39" s="45" t="n">
        <v>1360</v>
      </c>
      <c r="BI39" s="68" t="n">
        <v>0.08</v>
      </c>
      <c r="BJ39" s="47">
        <f>IF(BG39&gt;0,BH39*1000000/BG39,0)</f>
        <v/>
      </c>
      <c r="BK39" s="64">
        <f>IF(AND(BI39&gt;0,BJ38&gt;0,B39&gt;0),MIN(conv_cap,conv_beta*1*BI39*MAX(0,LN(B39/(BJ38*BL38)))),0)</f>
        <v/>
      </c>
      <c r="BL39" s="65">
        <f>BL38*(1+BK39)</f>
        <v/>
      </c>
      <c r="BM39" s="47">
        <f>BH39*BL39</f>
        <v/>
      </c>
      <c r="BN39" s="67">
        <f>IF(BG39&gt;0,BM39*1000000/BG39/Economy!Q39,0)</f>
        <v/>
      </c>
      <c r="BO39" s="45" t="n">
        <v>12600000</v>
      </c>
      <c r="BP39" s="45" t="n">
        <v>590</v>
      </c>
      <c r="BQ39" s="68" t="n">
        <v>0</v>
      </c>
      <c r="BR39" s="47">
        <f>IF(BO39&gt;0,BP39*1000000/BO39,0)</f>
        <v/>
      </c>
      <c r="BS39" s="64">
        <f>IF(AND(BQ39&gt;0,BR38&gt;0,B39&gt;0),MIN(conv_cap,conv_beta*1*BQ39*MAX(0,LN(B39/(BR38*BT38)))),0)</f>
        <v/>
      </c>
      <c r="BT39" s="65">
        <f>BT38*(1+BS39)</f>
        <v/>
      </c>
      <c r="BU39" s="47">
        <f>BP39*BT39</f>
        <v/>
      </c>
      <c r="BV39" s="67">
        <f>IF(BO39&gt;0,BU39*1000000/BO39/Economy!Q39,0)</f>
        <v/>
      </c>
      <c r="BW39" s="65">
        <f>0.25*IF(D39&gt;0,H39,1)+0.15*IF(AJ39&gt;0,AN39,1)+0.03*IF(AR39&gt;0,AV39,1)+0.08*IF(AZ39&gt;0,BD39,1)+0.12*IF(BH39&gt;0,BL39,1)+0.1*IF(L39&gt;0,P39,1)+0.07*IF(T39&gt;0,X39,1)+0.05*IF(AB39&gt;0,AF39,1)+0.05*IF(BP39&gt;0,BT39,1)+0.1</f>
        <v/>
      </c>
      <c r="BX39" s="63">
        <f>MIN(mkt_cap,mkt_elast*MAX(0,BW39-1))</f>
        <v/>
      </c>
      <c r="BY39" s="47">
        <f>I39+Q39+Y39+AG39</f>
        <v/>
      </c>
      <c r="BZ39" s="47">
        <f>D39+L39+T39+AB39</f>
        <v/>
      </c>
      <c r="CA39" s="65">
        <f>IF(BZ39&gt;0,BY39/BZ39,0)</f>
        <v/>
      </c>
    </row>
    <row r="40">
      <c r="A40" s="58" t="n">
        <v>1880</v>
      </c>
      <c r="B40" s="47">
        <f>Economy!P39</f>
        <v/>
      </c>
      <c r="C40" s="45" t="n">
        <v>36600000</v>
      </c>
      <c r="D40" s="62">
        <f>Japan!B40</f>
        <v/>
      </c>
      <c r="E40" s="68" t="n">
        <v>0.4</v>
      </c>
      <c r="F40" s="47">
        <f>IF(C40&gt;0,D40*1000000/C40,0)</f>
        <v/>
      </c>
      <c r="G40" s="64">
        <f>IF(AND(E40&gt;0,F39&gt;0,B40&gt;0),MIN(conv_cap,conv_beta*jp_uplift*E40*MAX(0,LN(B40/(F39*H39)))),0)</f>
        <v/>
      </c>
      <c r="H40" s="65">
        <f>H39*(1+G40)</f>
        <v/>
      </c>
      <c r="I40" s="47">
        <f>D40*H40</f>
        <v/>
      </c>
      <c r="J40" s="67">
        <f>IF(C40&gt;0,I40*1000000/C40/Economy!Q40,0)</f>
        <v/>
      </c>
      <c r="K40" s="62">
        <f>Gulf!B40</f>
        <v/>
      </c>
      <c r="L40" s="47">
        <f>Gulf!B40*Gulf!C40*Economy!Q40/1000000</f>
        <v/>
      </c>
      <c r="M40" s="68" t="n">
        <v>0</v>
      </c>
      <c r="N40" s="47">
        <f>IF(K40&gt;0,L40*1000000/K40,0)</f>
        <v/>
      </c>
      <c r="O40" s="64">
        <f>IF(AND(M40&gt;0,N39&gt;0,B40&gt;0),MIN(conv_cap,conv_beta*1*M40*MAX(0,LN(B40/(N39*P39)))),0)</f>
        <v/>
      </c>
      <c r="P40" s="65">
        <f>P39*(1+O40)</f>
        <v/>
      </c>
      <c r="Q40" s="47">
        <f>L40*P40</f>
        <v/>
      </c>
      <c r="R40" s="67">
        <f>IF(K40&gt;0,Q40*1000000/K40/Economy!Q40,0)</f>
        <v/>
      </c>
      <c r="S40" s="62">
        <f>People!U40</f>
        <v/>
      </c>
      <c r="T40" s="45" t="n">
        <v>107</v>
      </c>
      <c r="U40" s="68" t="n">
        <v>0.336</v>
      </c>
      <c r="V40" s="47">
        <f>IF(S40&gt;0,T40*1000000/S40,0)</f>
        <v/>
      </c>
      <c r="W40" s="64">
        <f>IF(AND(U40&gt;0,V39&gt;0,B40&gt;0),MIN(conv_cap,conv_beta*1*U40*MAX(0,LN(B40/(V39*X39)))),0)</f>
        <v/>
      </c>
      <c r="X40" s="65">
        <f>X39*(1+W40)</f>
        <v/>
      </c>
      <c r="Y40" s="47">
        <f>T40*X40</f>
        <v/>
      </c>
      <c r="Z40" s="67">
        <f>IF(S40&gt;0,Y40*1000000/S40/Economy!Q40,0)</f>
        <v/>
      </c>
      <c r="AA40" s="45" t="n">
        <v>0</v>
      </c>
      <c r="AB40" s="45" t="n">
        <v>0</v>
      </c>
      <c r="AC40" s="68" t="n">
        <v>0</v>
      </c>
      <c r="AD40" s="47">
        <f>IF(AA40&gt;0,AB40*1000000/AA40,0)</f>
        <v/>
      </c>
      <c r="AE40" s="64">
        <f>IF(AND(AC40&gt;0,AD39&gt;0,B40&gt;0),MIN(conv_cap,conv_beta*1*AC40*MAX(0,LN(B40/(AD39*AF39)))),0)</f>
        <v/>
      </c>
      <c r="AF40" s="65">
        <f>AF39*(1+AE40)</f>
        <v/>
      </c>
      <c r="AG40" s="47">
        <f>AB40*AF40</f>
        <v/>
      </c>
      <c r="AH40" s="67">
        <f>IF(AA40&gt;0,AG40*1000000/AA40/Economy!Q40,0)</f>
        <v/>
      </c>
      <c r="AI40" s="45" t="n">
        <v>372000000</v>
      </c>
      <c r="AJ40" s="45" t="n">
        <v>3667</v>
      </c>
      <c r="AK40" s="68" t="n">
        <v>0.121</v>
      </c>
      <c r="AL40" s="47">
        <f>IF(AI40&gt;0,AJ40*1000000/AI40,0)</f>
        <v/>
      </c>
      <c r="AM40" s="64">
        <f>IF(AND(AK40&gt;0,AL39&gt;0,B40&gt;0),MIN(conv_cap,conv_beta*1*AK40*MAX(0,LN(B40/(AL39*AN39)))),0)</f>
        <v/>
      </c>
      <c r="AN40" s="65">
        <f>AN39*(1+AM40)</f>
        <v/>
      </c>
      <c r="AO40" s="47">
        <f>AJ40*AN40</f>
        <v/>
      </c>
      <c r="AP40" s="67">
        <f>IF(AI40&gt;0,AO40*1000000/AI40/Economy!Q40,0)</f>
        <v/>
      </c>
      <c r="AQ40" s="45" t="n">
        <v>10670000</v>
      </c>
      <c r="AR40" s="45" t="n">
        <v>183</v>
      </c>
      <c r="AS40" s="68" t="n">
        <v>0.1</v>
      </c>
      <c r="AT40" s="47">
        <f>IF(AQ40&gt;0,AR40*1000000/AQ40,0)</f>
        <v/>
      </c>
      <c r="AU40" s="64">
        <f>IF(AND(AS40&gt;0,AT39&gt;0,B40&gt;0),MIN(conv_cap,conv_beta*1*AS40*MAX(0,LN(B40/(AT39*AV39)))),0)</f>
        <v/>
      </c>
      <c r="AV40" s="65">
        <f>AV39*(1+AU40)</f>
        <v/>
      </c>
      <c r="AW40" s="47">
        <f>AR40*AV40</f>
        <v/>
      </c>
      <c r="AX40" s="67">
        <f>IF(AQ40&gt;0,AW40*1000000/AQ40/Economy!Q40,0)</f>
        <v/>
      </c>
      <c r="AY40" s="45" t="n">
        <v>60000000</v>
      </c>
      <c r="AZ40" s="45" t="n">
        <v>1267</v>
      </c>
      <c r="BA40" s="68" t="n">
        <v>0.05</v>
      </c>
      <c r="BB40" s="47">
        <f>IF(AY40&gt;0,AZ40*1000000/AY40,0)</f>
        <v/>
      </c>
      <c r="BC40" s="64">
        <f>IF(AND(BA40&gt;0,BB39&gt;0,B40&gt;0),MIN(conv_cap,conv_beta*1*BA40*MAX(0,LN(B40/(BB39*BD39)))),0)</f>
        <v/>
      </c>
      <c r="BD40" s="65">
        <f>BD39*(1+BC40)</f>
        <v/>
      </c>
      <c r="BE40" s="47">
        <f>AZ40*BD40</f>
        <v/>
      </c>
      <c r="BF40" s="67">
        <f>IF(AY40&gt;0,BE40*1000000/AY40/Economy!Q40,0)</f>
        <v/>
      </c>
      <c r="BG40" s="45" t="n">
        <v>24700000</v>
      </c>
      <c r="BH40" s="45" t="n">
        <v>1400</v>
      </c>
      <c r="BI40" s="68" t="n">
        <v>0.083</v>
      </c>
      <c r="BJ40" s="47">
        <f>IF(BG40&gt;0,BH40*1000000/BG40,0)</f>
        <v/>
      </c>
      <c r="BK40" s="64">
        <f>IF(AND(BI40&gt;0,BJ39&gt;0,B40&gt;0),MIN(conv_cap,conv_beta*1*BI40*MAX(0,LN(B40/(BJ39*BL39)))),0)</f>
        <v/>
      </c>
      <c r="BL40" s="65">
        <f>BL39*(1+BK40)</f>
        <v/>
      </c>
      <c r="BM40" s="47">
        <f>BH40*BL40</f>
        <v/>
      </c>
      <c r="BN40" s="67">
        <f>IF(BG40&gt;0,BM40*1000000/BG40/Economy!Q40,0)</f>
        <v/>
      </c>
      <c r="BO40" s="45" t="n">
        <v>12700000</v>
      </c>
      <c r="BP40" s="45" t="n">
        <v>600</v>
      </c>
      <c r="BQ40" s="68" t="n">
        <v>0</v>
      </c>
      <c r="BR40" s="47">
        <f>IF(BO40&gt;0,BP40*1000000/BO40,0)</f>
        <v/>
      </c>
      <c r="BS40" s="64">
        <f>IF(AND(BQ40&gt;0,BR39&gt;0,B40&gt;0),MIN(conv_cap,conv_beta*1*BQ40*MAX(0,LN(B40/(BR39*BT39)))),0)</f>
        <v/>
      </c>
      <c r="BT40" s="65">
        <f>BT39*(1+BS40)</f>
        <v/>
      </c>
      <c r="BU40" s="47">
        <f>BP40*BT40</f>
        <v/>
      </c>
      <c r="BV40" s="67">
        <f>IF(BO40&gt;0,BU40*1000000/BO40/Economy!Q40,0)</f>
        <v/>
      </c>
      <c r="BW40" s="65">
        <f>0.25*IF(D40&gt;0,H40,1)+0.15*IF(AJ40&gt;0,AN40,1)+0.03*IF(AR40&gt;0,AV40,1)+0.08*IF(AZ40&gt;0,BD40,1)+0.12*IF(BH40&gt;0,BL40,1)+0.1*IF(L40&gt;0,P40,1)+0.07*IF(T40&gt;0,X40,1)+0.05*IF(AB40&gt;0,AF40,1)+0.05*IF(BP40&gt;0,BT40,1)+0.1</f>
        <v/>
      </c>
      <c r="BX40" s="63">
        <f>MIN(mkt_cap,mkt_elast*MAX(0,BW40-1))</f>
        <v/>
      </c>
      <c r="BY40" s="47">
        <f>I40+Q40+Y40+AG40</f>
        <v/>
      </c>
      <c r="BZ40" s="47">
        <f>D40+L40+T40+AB40</f>
        <v/>
      </c>
      <c r="CA40" s="65">
        <f>IF(BZ40&gt;0,BY40/BZ40,0)</f>
        <v/>
      </c>
    </row>
    <row r="41">
      <c r="A41" s="58" t="n">
        <v>1881</v>
      </c>
      <c r="B41" s="47">
        <f>Economy!P40</f>
        <v/>
      </c>
      <c r="C41" s="45" t="n">
        <v>36940000</v>
      </c>
      <c r="D41" s="62">
        <f>Japan!B41</f>
        <v/>
      </c>
      <c r="E41" s="68" t="n">
        <v>0.421</v>
      </c>
      <c r="F41" s="47">
        <f>IF(C41&gt;0,D41*1000000/C41,0)</f>
        <v/>
      </c>
      <c r="G41" s="64">
        <f>IF(AND(E41&gt;0,F40&gt;0,B41&gt;0),MIN(conv_cap,conv_beta*jp_uplift*E41*MAX(0,LN(B41/(F40*H40)))),0)</f>
        <v/>
      </c>
      <c r="H41" s="65">
        <f>H40*(1+G41)</f>
        <v/>
      </c>
      <c r="I41" s="47">
        <f>D41*H41</f>
        <v/>
      </c>
      <c r="J41" s="67">
        <f>IF(C41&gt;0,I41*1000000/C41/Economy!Q41,0)</f>
        <v/>
      </c>
      <c r="K41" s="62">
        <f>Gulf!B41</f>
        <v/>
      </c>
      <c r="L41" s="47">
        <f>Gulf!B41*Gulf!C41*Economy!Q41/1000000</f>
        <v/>
      </c>
      <c r="M41" s="68" t="n">
        <v>0</v>
      </c>
      <c r="N41" s="47">
        <f>IF(K41&gt;0,L41*1000000/K41,0)</f>
        <v/>
      </c>
      <c r="O41" s="64">
        <f>IF(AND(M41&gt;0,N40&gt;0,B41&gt;0),MIN(conv_cap,conv_beta*1*M41*MAX(0,LN(B41/(N40*P40)))),0)</f>
        <v/>
      </c>
      <c r="P41" s="65">
        <f>P40*(1+O41)</f>
        <v/>
      </c>
      <c r="Q41" s="47">
        <f>L41*P41</f>
        <v/>
      </c>
      <c r="R41" s="67">
        <f>IF(K41&gt;0,Q41*1000000/K41/Economy!Q41,0)</f>
        <v/>
      </c>
      <c r="S41" s="62">
        <f>People!U41</f>
        <v/>
      </c>
      <c r="T41" s="45" t="n">
        <v>109</v>
      </c>
      <c r="U41" s="68" t="n">
        <v>0.345</v>
      </c>
      <c r="V41" s="47">
        <f>IF(S41&gt;0,T41*1000000/S41,0)</f>
        <v/>
      </c>
      <c r="W41" s="64">
        <f>IF(AND(U41&gt;0,V40&gt;0,B41&gt;0),MIN(conv_cap,conv_beta*1*U41*MAX(0,LN(B41/(V40*X40)))),0)</f>
        <v/>
      </c>
      <c r="X41" s="65">
        <f>X40*(1+W41)</f>
        <v/>
      </c>
      <c r="Y41" s="47">
        <f>T41*X41</f>
        <v/>
      </c>
      <c r="Z41" s="67">
        <f>IF(S41&gt;0,Y41*1000000/S41/Economy!Q41,0)</f>
        <v/>
      </c>
      <c r="AA41" s="45" t="n">
        <v>0</v>
      </c>
      <c r="AB41" s="45" t="n">
        <v>0</v>
      </c>
      <c r="AC41" s="68" t="n">
        <v>0</v>
      </c>
      <c r="AD41" s="47">
        <f>IF(AA41&gt;0,AB41*1000000/AA41,0)</f>
        <v/>
      </c>
      <c r="AE41" s="64">
        <f>IF(AND(AC41&gt;0,AD40&gt;0,B41&gt;0),MIN(conv_cap,conv_beta*1*AC41*MAX(0,LN(B41/(AD40*AF40)))),0)</f>
        <v/>
      </c>
      <c r="AF41" s="65">
        <f>AF40*(1+AE41)</f>
        <v/>
      </c>
      <c r="AG41" s="47">
        <f>AB41*AF41</f>
        <v/>
      </c>
      <c r="AH41" s="67">
        <f>IF(AA41&gt;0,AG41*1000000/AA41/Economy!Q41,0)</f>
        <v/>
      </c>
      <c r="AI41" s="45" t="n">
        <v>373400000</v>
      </c>
      <c r="AJ41" s="45" t="n">
        <v>3683</v>
      </c>
      <c r="AK41" s="68" t="n">
        <v>0.125</v>
      </c>
      <c r="AL41" s="47">
        <f>IF(AI41&gt;0,AJ41*1000000/AI41,0)</f>
        <v/>
      </c>
      <c r="AM41" s="64">
        <f>IF(AND(AK41&gt;0,AL40&gt;0,B41&gt;0),MIN(conv_cap,conv_beta*1*AK41*MAX(0,LN(B41/(AL40*AN40)))),0)</f>
        <v/>
      </c>
      <c r="AN41" s="65">
        <f>AN40*(1+AM41)</f>
        <v/>
      </c>
      <c r="AO41" s="47">
        <f>AJ41*AN41</f>
        <v/>
      </c>
      <c r="AP41" s="67">
        <f>IF(AI41&gt;0,AO41*1000000/AI41/Economy!Q41,0)</f>
        <v/>
      </c>
      <c r="AQ41" s="45" t="n">
        <v>10730000</v>
      </c>
      <c r="AR41" s="45" t="n">
        <v>187</v>
      </c>
      <c r="AS41" s="68" t="n">
        <v>0.129</v>
      </c>
      <c r="AT41" s="47">
        <f>IF(AQ41&gt;0,AR41*1000000/AQ41,0)</f>
        <v/>
      </c>
      <c r="AU41" s="64">
        <f>IF(AND(AS41&gt;0,AT40&gt;0,B41&gt;0),MIN(conv_cap,conv_beta*1*AS41*MAX(0,LN(B41/(AT40*AV40)))),0)</f>
        <v/>
      </c>
      <c r="AV41" s="65">
        <f>AV40*(1+AU41)</f>
        <v/>
      </c>
      <c r="AW41" s="47">
        <f>AR41*AV41</f>
        <v/>
      </c>
      <c r="AX41" s="67">
        <f>IF(AQ41&gt;0,AW41*1000000/AQ41/Economy!Q41,0)</f>
        <v/>
      </c>
      <c r="AY41" s="45" t="n">
        <v>61000000</v>
      </c>
      <c r="AZ41" s="45" t="n">
        <v>1303</v>
      </c>
      <c r="BA41" s="68" t="n">
        <v>0.053</v>
      </c>
      <c r="BB41" s="47">
        <f>IF(AY41&gt;0,AZ41*1000000/AY41,0)</f>
        <v/>
      </c>
      <c r="BC41" s="64">
        <f>IF(AND(BA41&gt;0,BB40&gt;0,B41&gt;0),MIN(conv_cap,conv_beta*1*BA41*MAX(0,LN(B41/(BB40*BD40)))),0)</f>
        <v/>
      </c>
      <c r="BD41" s="65">
        <f>BD40*(1+BC41)</f>
        <v/>
      </c>
      <c r="BE41" s="47">
        <f>AZ41*BD41</f>
        <v/>
      </c>
      <c r="BF41" s="67">
        <f>IF(AY41&gt;0,BE41*1000000/AY41/Economy!Q41,0)</f>
        <v/>
      </c>
      <c r="BG41" s="45" t="n">
        <v>24900000</v>
      </c>
      <c r="BH41" s="45" t="n">
        <v>1440</v>
      </c>
      <c r="BI41" s="68" t="n">
        <v>0.08699999999999999</v>
      </c>
      <c r="BJ41" s="47">
        <f>IF(BG41&gt;0,BH41*1000000/BG41,0)</f>
        <v/>
      </c>
      <c r="BK41" s="64">
        <f>IF(AND(BI41&gt;0,BJ40&gt;0,B41&gt;0),MIN(conv_cap,conv_beta*1*BI41*MAX(0,LN(B41/(BJ40*BL40)))),0)</f>
        <v/>
      </c>
      <c r="BL41" s="65">
        <f>BL40*(1+BK41)</f>
        <v/>
      </c>
      <c r="BM41" s="47">
        <f>BH41*BL41</f>
        <v/>
      </c>
      <c r="BN41" s="67">
        <f>IF(BG41&gt;0,BM41*1000000/BG41/Economy!Q41,0)</f>
        <v/>
      </c>
      <c r="BO41" s="45" t="n">
        <v>12700000</v>
      </c>
      <c r="BP41" s="45" t="n">
        <v>610</v>
      </c>
      <c r="BQ41" s="68" t="n">
        <v>0</v>
      </c>
      <c r="BR41" s="47">
        <f>IF(BO41&gt;0,BP41*1000000/BO41,0)</f>
        <v/>
      </c>
      <c r="BS41" s="64">
        <f>IF(AND(BQ41&gt;0,BR40&gt;0,B41&gt;0),MIN(conv_cap,conv_beta*1*BQ41*MAX(0,LN(B41/(BR40*BT40)))),0)</f>
        <v/>
      </c>
      <c r="BT41" s="65">
        <f>BT40*(1+BS41)</f>
        <v/>
      </c>
      <c r="BU41" s="47">
        <f>BP41*BT41</f>
        <v/>
      </c>
      <c r="BV41" s="67">
        <f>IF(BO41&gt;0,BU41*1000000/BO41/Economy!Q41,0)</f>
        <v/>
      </c>
      <c r="BW41" s="65">
        <f>0.25*IF(D41&gt;0,H41,1)+0.15*IF(AJ41&gt;0,AN41,1)+0.03*IF(AR41&gt;0,AV41,1)+0.08*IF(AZ41&gt;0,BD41,1)+0.12*IF(BH41&gt;0,BL41,1)+0.1*IF(L41&gt;0,P41,1)+0.07*IF(T41&gt;0,X41,1)+0.05*IF(AB41&gt;0,AF41,1)+0.05*IF(BP41&gt;0,BT41,1)+0.1</f>
        <v/>
      </c>
      <c r="BX41" s="63">
        <f>MIN(mkt_cap,mkt_elast*MAX(0,BW41-1))</f>
        <v/>
      </c>
      <c r="BY41" s="47">
        <f>I41+Q41+Y41+AG41</f>
        <v/>
      </c>
      <c r="BZ41" s="47">
        <f>D41+L41+T41+AB41</f>
        <v/>
      </c>
      <c r="CA41" s="65">
        <f>IF(BZ41&gt;0,BY41/BZ41,0)</f>
        <v/>
      </c>
    </row>
    <row r="42">
      <c r="A42" s="58" t="n">
        <v>1882</v>
      </c>
      <c r="B42" s="47">
        <f>Economy!P41</f>
        <v/>
      </c>
      <c r="C42" s="45" t="n">
        <v>37280000</v>
      </c>
      <c r="D42" s="62">
        <f>Japan!B42</f>
        <v/>
      </c>
      <c r="E42" s="68" t="n">
        <v>0.443</v>
      </c>
      <c r="F42" s="47">
        <f>IF(C42&gt;0,D42*1000000/C42,0)</f>
        <v/>
      </c>
      <c r="G42" s="64">
        <f>IF(AND(E42&gt;0,F41&gt;0,B42&gt;0),MIN(conv_cap,conv_beta*jp_uplift*E42*MAX(0,LN(B42/(F41*H41)))),0)</f>
        <v/>
      </c>
      <c r="H42" s="65">
        <f>H41*(1+G42)</f>
        <v/>
      </c>
      <c r="I42" s="47">
        <f>D42*H42</f>
        <v/>
      </c>
      <c r="J42" s="67">
        <f>IF(C42&gt;0,I42*1000000/C42/Economy!Q42,0)</f>
        <v/>
      </c>
      <c r="K42" s="62">
        <f>Gulf!B42</f>
        <v/>
      </c>
      <c r="L42" s="47">
        <f>Gulf!B42*Gulf!C42*Economy!Q42/1000000</f>
        <v/>
      </c>
      <c r="M42" s="68" t="n">
        <v>0</v>
      </c>
      <c r="N42" s="47">
        <f>IF(K42&gt;0,L42*1000000/K42,0)</f>
        <v/>
      </c>
      <c r="O42" s="64">
        <f>IF(AND(M42&gt;0,N41&gt;0,B42&gt;0),MIN(conv_cap,conv_beta*1*M42*MAX(0,LN(B42/(N41*P41)))),0)</f>
        <v/>
      </c>
      <c r="P42" s="65">
        <f>P41*(1+O42)</f>
        <v/>
      </c>
      <c r="Q42" s="47">
        <f>L42*P42</f>
        <v/>
      </c>
      <c r="R42" s="67">
        <f>IF(K42&gt;0,Q42*1000000/K42/Economy!Q42,0)</f>
        <v/>
      </c>
      <c r="S42" s="62">
        <f>People!U42</f>
        <v/>
      </c>
      <c r="T42" s="45" t="n">
        <v>111</v>
      </c>
      <c r="U42" s="68" t="n">
        <v>0.355</v>
      </c>
      <c r="V42" s="47">
        <f>IF(S42&gt;0,T42*1000000/S42,0)</f>
        <v/>
      </c>
      <c r="W42" s="64">
        <f>IF(AND(U42&gt;0,V41&gt;0,B42&gt;0),MIN(conv_cap,conv_beta*1*U42*MAX(0,LN(B42/(V41*X41)))),0)</f>
        <v/>
      </c>
      <c r="X42" s="65">
        <f>X41*(1+W42)</f>
        <v/>
      </c>
      <c r="Y42" s="47">
        <f>T42*X42</f>
        <v/>
      </c>
      <c r="Z42" s="67">
        <f>IF(S42&gt;0,Y42*1000000/S42/Economy!Q42,0)</f>
        <v/>
      </c>
      <c r="AA42" s="45" t="n">
        <v>0</v>
      </c>
      <c r="AB42" s="45" t="n">
        <v>0</v>
      </c>
      <c r="AC42" s="68" t="n">
        <v>0</v>
      </c>
      <c r="AD42" s="47">
        <f>IF(AA42&gt;0,AB42*1000000/AA42,0)</f>
        <v/>
      </c>
      <c r="AE42" s="64">
        <f>IF(AND(AC42&gt;0,AD41&gt;0,B42&gt;0),MIN(conv_cap,conv_beta*1*AC42*MAX(0,LN(B42/(AD41*AF41)))),0)</f>
        <v/>
      </c>
      <c r="AF42" s="65">
        <f>AF41*(1+AE42)</f>
        <v/>
      </c>
      <c r="AG42" s="47">
        <f>AB42*AF42</f>
        <v/>
      </c>
      <c r="AH42" s="67">
        <f>IF(AA42&gt;0,AG42*1000000/AA42/Economy!Q42,0)</f>
        <v/>
      </c>
      <c r="AI42" s="45" t="n">
        <v>374800000</v>
      </c>
      <c r="AJ42" s="45" t="n">
        <v>3700</v>
      </c>
      <c r="AK42" s="68" t="n">
        <v>0.129</v>
      </c>
      <c r="AL42" s="47">
        <f>IF(AI42&gt;0,AJ42*1000000/AI42,0)</f>
        <v/>
      </c>
      <c r="AM42" s="64">
        <f>IF(AND(AK42&gt;0,AL41&gt;0,B42&gt;0),MIN(conv_cap,conv_beta*1*AK42*MAX(0,LN(B42/(AL41*AN41)))),0)</f>
        <v/>
      </c>
      <c r="AN42" s="65">
        <f>AN41*(1+AM42)</f>
        <v/>
      </c>
      <c r="AO42" s="47">
        <f>AJ42*AN42</f>
        <v/>
      </c>
      <c r="AP42" s="67">
        <f>IF(AI42&gt;0,AO42*1000000/AI42/Economy!Q42,0)</f>
        <v/>
      </c>
      <c r="AQ42" s="45" t="n">
        <v>10800000</v>
      </c>
      <c r="AR42" s="45" t="n">
        <v>190</v>
      </c>
      <c r="AS42" s="68" t="n">
        <v>0.157</v>
      </c>
      <c r="AT42" s="47">
        <f>IF(AQ42&gt;0,AR42*1000000/AQ42,0)</f>
        <v/>
      </c>
      <c r="AU42" s="64">
        <f>IF(AND(AS42&gt;0,AT41&gt;0,B42&gt;0),MIN(conv_cap,conv_beta*1*AS42*MAX(0,LN(B42/(AT41*AV41)))),0)</f>
        <v/>
      </c>
      <c r="AV42" s="65">
        <f>AV41*(1+AU42)</f>
        <v/>
      </c>
      <c r="AW42" s="47">
        <f>AR42*AV42</f>
        <v/>
      </c>
      <c r="AX42" s="67">
        <f>IF(AQ42&gt;0,AW42*1000000/AQ42/Economy!Q42,0)</f>
        <v/>
      </c>
      <c r="AY42" s="45" t="n">
        <v>62000000</v>
      </c>
      <c r="AZ42" s="45" t="n">
        <v>1340</v>
      </c>
      <c r="BA42" s="68" t="n">
        <v>0.055</v>
      </c>
      <c r="BB42" s="47">
        <f>IF(AY42&gt;0,AZ42*1000000/AY42,0)</f>
        <v/>
      </c>
      <c r="BC42" s="64">
        <f>IF(AND(BA42&gt;0,BB41&gt;0,B42&gt;0),MIN(conv_cap,conv_beta*1*BA42*MAX(0,LN(B42/(BB41*BD41)))),0)</f>
        <v/>
      </c>
      <c r="BD42" s="65">
        <f>BD41*(1+BC42)</f>
        <v/>
      </c>
      <c r="BE42" s="47">
        <f>AZ42*BD42</f>
        <v/>
      </c>
      <c r="BF42" s="67">
        <f>IF(AY42&gt;0,BE42*1000000/AY42/Economy!Q42,0)</f>
        <v/>
      </c>
      <c r="BG42" s="45" t="n">
        <v>25200000</v>
      </c>
      <c r="BH42" s="45" t="n">
        <v>1480</v>
      </c>
      <c r="BI42" s="68" t="n">
        <v>0.09</v>
      </c>
      <c r="BJ42" s="47">
        <f>IF(BG42&gt;0,BH42*1000000/BG42,0)</f>
        <v/>
      </c>
      <c r="BK42" s="64">
        <f>IF(AND(BI42&gt;0,BJ41&gt;0,B42&gt;0),MIN(conv_cap,conv_beta*1*BI42*MAX(0,LN(B42/(BJ41*BL41)))),0)</f>
        <v/>
      </c>
      <c r="BL42" s="65">
        <f>BL41*(1+BK42)</f>
        <v/>
      </c>
      <c r="BM42" s="47">
        <f>BH42*BL42</f>
        <v/>
      </c>
      <c r="BN42" s="67">
        <f>IF(BG42&gt;0,BM42*1000000/BG42/Economy!Q42,0)</f>
        <v/>
      </c>
      <c r="BO42" s="45" t="n">
        <v>12800000</v>
      </c>
      <c r="BP42" s="45" t="n">
        <v>620</v>
      </c>
      <c r="BQ42" s="68" t="n">
        <v>0</v>
      </c>
      <c r="BR42" s="47">
        <f>IF(BO42&gt;0,BP42*1000000/BO42,0)</f>
        <v/>
      </c>
      <c r="BS42" s="64">
        <f>IF(AND(BQ42&gt;0,BR41&gt;0,B42&gt;0),MIN(conv_cap,conv_beta*1*BQ42*MAX(0,LN(B42/(BR41*BT41)))),0)</f>
        <v/>
      </c>
      <c r="BT42" s="65">
        <f>BT41*(1+BS42)</f>
        <v/>
      </c>
      <c r="BU42" s="47">
        <f>BP42*BT42</f>
        <v/>
      </c>
      <c r="BV42" s="67">
        <f>IF(BO42&gt;0,BU42*1000000/BO42/Economy!Q42,0)</f>
        <v/>
      </c>
      <c r="BW42" s="65">
        <f>0.25*IF(D42&gt;0,H42,1)+0.15*IF(AJ42&gt;0,AN42,1)+0.03*IF(AR42&gt;0,AV42,1)+0.08*IF(AZ42&gt;0,BD42,1)+0.12*IF(BH42&gt;0,BL42,1)+0.1*IF(L42&gt;0,P42,1)+0.07*IF(T42&gt;0,X42,1)+0.05*IF(AB42&gt;0,AF42,1)+0.05*IF(BP42&gt;0,BT42,1)+0.1</f>
        <v/>
      </c>
      <c r="BX42" s="63">
        <f>MIN(mkt_cap,mkt_elast*MAX(0,BW42-1))</f>
        <v/>
      </c>
      <c r="BY42" s="47">
        <f>I42+Q42+Y42+AG42</f>
        <v/>
      </c>
      <c r="BZ42" s="47">
        <f>D42+L42+T42+AB42</f>
        <v/>
      </c>
      <c r="CA42" s="65">
        <f>IF(BZ42&gt;0,BY42/BZ42,0)</f>
        <v/>
      </c>
    </row>
    <row r="43">
      <c r="A43" s="58" t="n">
        <v>1883</v>
      </c>
      <c r="B43" s="47">
        <f>Economy!P42</f>
        <v/>
      </c>
      <c r="C43" s="45" t="n">
        <v>37620000</v>
      </c>
      <c r="D43" s="62">
        <f>Japan!B43</f>
        <v/>
      </c>
      <c r="E43" s="68" t="n">
        <v>0.464</v>
      </c>
      <c r="F43" s="47">
        <f>IF(C43&gt;0,D43*1000000/C43,0)</f>
        <v/>
      </c>
      <c r="G43" s="64">
        <f>IF(AND(E43&gt;0,F42&gt;0,B43&gt;0),MIN(conv_cap,conv_beta*jp_uplift*E43*MAX(0,LN(B43/(F42*H42)))),0)</f>
        <v/>
      </c>
      <c r="H43" s="65">
        <f>H42*(1+G43)</f>
        <v/>
      </c>
      <c r="I43" s="47">
        <f>D43*H43</f>
        <v/>
      </c>
      <c r="J43" s="67">
        <f>IF(C43&gt;0,I43*1000000/C43/Economy!Q43,0)</f>
        <v/>
      </c>
      <c r="K43" s="62">
        <f>Gulf!B43</f>
        <v/>
      </c>
      <c r="L43" s="47">
        <f>Gulf!B43*Gulf!C43*Economy!Q43/1000000</f>
        <v/>
      </c>
      <c r="M43" s="68" t="n">
        <v>0</v>
      </c>
      <c r="N43" s="47">
        <f>IF(K43&gt;0,L43*1000000/K43,0)</f>
        <v/>
      </c>
      <c r="O43" s="64">
        <f>IF(AND(M43&gt;0,N42&gt;0,B43&gt;0),MIN(conv_cap,conv_beta*1*M43*MAX(0,LN(B43/(N42*P42)))),0)</f>
        <v/>
      </c>
      <c r="P43" s="65">
        <f>P42*(1+O43)</f>
        <v/>
      </c>
      <c r="Q43" s="47">
        <f>L43*P43</f>
        <v/>
      </c>
      <c r="R43" s="67">
        <f>IF(K43&gt;0,Q43*1000000/K43/Economy!Q43,0)</f>
        <v/>
      </c>
      <c r="S43" s="62">
        <f>People!U43</f>
        <v/>
      </c>
      <c r="T43" s="45" t="n">
        <v>113</v>
      </c>
      <c r="U43" s="68" t="n">
        <v>0.364</v>
      </c>
      <c r="V43" s="47">
        <f>IF(S43&gt;0,T43*1000000/S43,0)</f>
        <v/>
      </c>
      <c r="W43" s="64">
        <f>IF(AND(U43&gt;0,V42&gt;0,B43&gt;0),MIN(conv_cap,conv_beta*1*U43*MAX(0,LN(B43/(V42*X42)))),0)</f>
        <v/>
      </c>
      <c r="X43" s="65">
        <f>X42*(1+W43)</f>
        <v/>
      </c>
      <c r="Y43" s="47">
        <f>T43*X43</f>
        <v/>
      </c>
      <c r="Z43" s="67">
        <f>IF(S43&gt;0,Y43*1000000/S43/Economy!Q43,0)</f>
        <v/>
      </c>
      <c r="AA43" s="45" t="n">
        <v>0</v>
      </c>
      <c r="AB43" s="45" t="n">
        <v>0</v>
      </c>
      <c r="AC43" s="68" t="n">
        <v>0</v>
      </c>
      <c r="AD43" s="47">
        <f>IF(AA43&gt;0,AB43*1000000/AA43,0)</f>
        <v/>
      </c>
      <c r="AE43" s="64">
        <f>IF(AND(AC43&gt;0,AD42&gt;0,B43&gt;0),MIN(conv_cap,conv_beta*1*AC43*MAX(0,LN(B43/(AD42*AF42)))),0)</f>
        <v/>
      </c>
      <c r="AF43" s="65">
        <f>AF42*(1+AE43)</f>
        <v/>
      </c>
      <c r="AG43" s="47">
        <f>AB43*AF43</f>
        <v/>
      </c>
      <c r="AH43" s="67">
        <f>IF(AA43&gt;0,AG43*1000000/AA43/Economy!Q43,0)</f>
        <v/>
      </c>
      <c r="AI43" s="45" t="n">
        <v>376200000</v>
      </c>
      <c r="AJ43" s="45" t="n">
        <v>3717</v>
      </c>
      <c r="AK43" s="68" t="n">
        <v>0.133</v>
      </c>
      <c r="AL43" s="47">
        <f>IF(AI43&gt;0,AJ43*1000000/AI43,0)</f>
        <v/>
      </c>
      <c r="AM43" s="64">
        <f>IF(AND(AK43&gt;0,AL42&gt;0,B43&gt;0),MIN(conv_cap,conv_beta*1*AK43*MAX(0,LN(B43/(AL42*AN42)))),0)</f>
        <v/>
      </c>
      <c r="AN43" s="65">
        <f>AN42*(1+AM43)</f>
        <v/>
      </c>
      <c r="AO43" s="47">
        <f>AJ43*AN43</f>
        <v/>
      </c>
      <c r="AP43" s="67">
        <f>IF(AI43&gt;0,AO43*1000000/AI43/Economy!Q43,0)</f>
        <v/>
      </c>
      <c r="AQ43" s="45" t="n">
        <v>10870000</v>
      </c>
      <c r="AR43" s="45" t="n">
        <v>193</v>
      </c>
      <c r="AS43" s="68" t="n">
        <v>0.186</v>
      </c>
      <c r="AT43" s="47">
        <f>IF(AQ43&gt;0,AR43*1000000/AQ43,0)</f>
        <v/>
      </c>
      <c r="AU43" s="64">
        <f>IF(AND(AS43&gt;0,AT42&gt;0,B43&gt;0),MIN(conv_cap,conv_beta*1*AS43*MAX(0,LN(B43/(AT42*AV42)))),0)</f>
        <v/>
      </c>
      <c r="AV43" s="65">
        <f>AV42*(1+AU43)</f>
        <v/>
      </c>
      <c r="AW43" s="47">
        <f>AR43*AV43</f>
        <v/>
      </c>
      <c r="AX43" s="67">
        <f>IF(AQ43&gt;0,AW43*1000000/AQ43/Economy!Q43,0)</f>
        <v/>
      </c>
      <c r="AY43" s="45" t="n">
        <v>63000000</v>
      </c>
      <c r="AZ43" s="45" t="n">
        <v>1377</v>
      </c>
      <c r="BA43" s="68" t="n">
        <v>0.058</v>
      </c>
      <c r="BB43" s="47">
        <f>IF(AY43&gt;0,AZ43*1000000/AY43,0)</f>
        <v/>
      </c>
      <c r="BC43" s="64">
        <f>IF(AND(BA43&gt;0,BB42&gt;0,B43&gt;0),MIN(conv_cap,conv_beta*1*BA43*MAX(0,LN(B43/(BB42*BD42)))),0)</f>
        <v/>
      </c>
      <c r="BD43" s="65">
        <f>BD42*(1+BC43)</f>
        <v/>
      </c>
      <c r="BE43" s="47">
        <f>AZ43*BD43</f>
        <v/>
      </c>
      <c r="BF43" s="67">
        <f>IF(AY43&gt;0,BE43*1000000/AY43/Economy!Q43,0)</f>
        <v/>
      </c>
      <c r="BG43" s="45" t="n">
        <v>25500000</v>
      </c>
      <c r="BH43" s="45" t="n">
        <v>1520</v>
      </c>
      <c r="BI43" s="68" t="n">
        <v>0.093</v>
      </c>
      <c r="BJ43" s="47">
        <f>IF(BG43&gt;0,BH43*1000000/BG43,0)</f>
        <v/>
      </c>
      <c r="BK43" s="64">
        <f>IF(AND(BI43&gt;0,BJ42&gt;0,B43&gt;0),MIN(conv_cap,conv_beta*1*BI43*MAX(0,LN(B43/(BJ42*BL42)))),0)</f>
        <v/>
      </c>
      <c r="BL43" s="65">
        <f>BL42*(1+BK43)</f>
        <v/>
      </c>
      <c r="BM43" s="47">
        <f>BH43*BL43</f>
        <v/>
      </c>
      <c r="BN43" s="67">
        <f>IF(BG43&gt;0,BM43*1000000/BG43/Economy!Q43,0)</f>
        <v/>
      </c>
      <c r="BO43" s="45" t="n">
        <v>12900000</v>
      </c>
      <c r="BP43" s="45" t="n">
        <v>630</v>
      </c>
      <c r="BQ43" s="68" t="n">
        <v>0</v>
      </c>
      <c r="BR43" s="47">
        <f>IF(BO43&gt;0,BP43*1000000/BO43,0)</f>
        <v/>
      </c>
      <c r="BS43" s="64">
        <f>IF(AND(BQ43&gt;0,BR42&gt;0,B43&gt;0),MIN(conv_cap,conv_beta*1*BQ43*MAX(0,LN(B43/(BR42*BT42)))),0)</f>
        <v/>
      </c>
      <c r="BT43" s="65">
        <f>BT42*(1+BS43)</f>
        <v/>
      </c>
      <c r="BU43" s="47">
        <f>BP43*BT43</f>
        <v/>
      </c>
      <c r="BV43" s="67">
        <f>IF(BO43&gt;0,BU43*1000000/BO43/Economy!Q43,0)</f>
        <v/>
      </c>
      <c r="BW43" s="65">
        <f>0.25*IF(D43&gt;0,H43,1)+0.15*IF(AJ43&gt;0,AN43,1)+0.03*IF(AR43&gt;0,AV43,1)+0.08*IF(AZ43&gt;0,BD43,1)+0.12*IF(BH43&gt;0,BL43,1)+0.1*IF(L43&gt;0,P43,1)+0.07*IF(T43&gt;0,X43,1)+0.05*IF(AB43&gt;0,AF43,1)+0.05*IF(BP43&gt;0,BT43,1)+0.1</f>
        <v/>
      </c>
      <c r="BX43" s="63">
        <f>MIN(mkt_cap,mkt_elast*MAX(0,BW43-1))</f>
        <v/>
      </c>
      <c r="BY43" s="47">
        <f>I43+Q43+Y43+AG43</f>
        <v/>
      </c>
      <c r="BZ43" s="47">
        <f>D43+L43+T43+AB43</f>
        <v/>
      </c>
      <c r="CA43" s="65">
        <f>IF(BZ43&gt;0,BY43/BZ43,0)</f>
        <v/>
      </c>
    </row>
    <row r="44">
      <c r="A44" s="58" t="n">
        <v>1884</v>
      </c>
      <c r="B44" s="47">
        <f>Economy!P43</f>
        <v/>
      </c>
      <c r="C44" s="45" t="n">
        <v>37960000</v>
      </c>
      <c r="D44" s="62">
        <f>Japan!B44</f>
        <v/>
      </c>
      <c r="E44" s="68" t="n">
        <v>0.486</v>
      </c>
      <c r="F44" s="47">
        <f>IF(C44&gt;0,D44*1000000/C44,0)</f>
        <v/>
      </c>
      <c r="G44" s="64">
        <f>IF(AND(E44&gt;0,F43&gt;0,B44&gt;0),MIN(conv_cap,conv_beta*jp_uplift*E44*MAX(0,LN(B44/(F43*H43)))),0)</f>
        <v/>
      </c>
      <c r="H44" s="65">
        <f>H43*(1+G44)</f>
        <v/>
      </c>
      <c r="I44" s="47">
        <f>D44*H44</f>
        <v/>
      </c>
      <c r="J44" s="67">
        <f>IF(C44&gt;0,I44*1000000/C44/Economy!Q44,0)</f>
        <v/>
      </c>
      <c r="K44" s="62">
        <f>Gulf!B44</f>
        <v/>
      </c>
      <c r="L44" s="47">
        <f>Gulf!B44*Gulf!C44*Economy!Q44/1000000</f>
        <v/>
      </c>
      <c r="M44" s="68" t="n">
        <v>0</v>
      </c>
      <c r="N44" s="47">
        <f>IF(K44&gt;0,L44*1000000/K44,0)</f>
        <v/>
      </c>
      <c r="O44" s="64">
        <f>IF(AND(M44&gt;0,N43&gt;0,B44&gt;0),MIN(conv_cap,conv_beta*1*M44*MAX(0,LN(B44/(N43*P43)))),0)</f>
        <v/>
      </c>
      <c r="P44" s="65">
        <f>P43*(1+O44)</f>
        <v/>
      </c>
      <c r="Q44" s="47">
        <f>L44*P44</f>
        <v/>
      </c>
      <c r="R44" s="67">
        <f>IF(K44&gt;0,Q44*1000000/K44/Economy!Q44,0)</f>
        <v/>
      </c>
      <c r="S44" s="62">
        <f>People!U44</f>
        <v/>
      </c>
      <c r="T44" s="45" t="n">
        <v>115</v>
      </c>
      <c r="U44" s="68" t="n">
        <v>0.373</v>
      </c>
      <c r="V44" s="47">
        <f>IF(S44&gt;0,T44*1000000/S44,0)</f>
        <v/>
      </c>
      <c r="W44" s="64">
        <f>IF(AND(U44&gt;0,V43&gt;0,B44&gt;0),MIN(conv_cap,conv_beta*1*U44*MAX(0,LN(B44/(V43*X43)))),0)</f>
        <v/>
      </c>
      <c r="X44" s="65">
        <f>X43*(1+W44)</f>
        <v/>
      </c>
      <c r="Y44" s="47">
        <f>T44*X44</f>
        <v/>
      </c>
      <c r="Z44" s="67">
        <f>IF(S44&gt;0,Y44*1000000/S44/Economy!Q44,0)</f>
        <v/>
      </c>
      <c r="AA44" s="45" t="n">
        <v>0</v>
      </c>
      <c r="AB44" s="45" t="n">
        <v>0</v>
      </c>
      <c r="AC44" s="68" t="n">
        <v>0</v>
      </c>
      <c r="AD44" s="47">
        <f>IF(AA44&gt;0,AB44*1000000/AA44,0)</f>
        <v/>
      </c>
      <c r="AE44" s="64">
        <f>IF(AND(AC44&gt;0,AD43&gt;0,B44&gt;0),MIN(conv_cap,conv_beta*1*AC44*MAX(0,LN(B44/(AD43*AF43)))),0)</f>
        <v/>
      </c>
      <c r="AF44" s="65">
        <f>AF43*(1+AE44)</f>
        <v/>
      </c>
      <c r="AG44" s="47">
        <f>AB44*AF44</f>
        <v/>
      </c>
      <c r="AH44" s="67">
        <f>IF(AA44&gt;0,AG44*1000000/AA44/Economy!Q44,0)</f>
        <v/>
      </c>
      <c r="AI44" s="45" t="n">
        <v>377600000</v>
      </c>
      <c r="AJ44" s="45" t="n">
        <v>3733</v>
      </c>
      <c r="AK44" s="68" t="n">
        <v>0.138</v>
      </c>
      <c r="AL44" s="47">
        <f>IF(AI44&gt;0,AJ44*1000000/AI44,0)</f>
        <v/>
      </c>
      <c r="AM44" s="64">
        <f>IF(AND(AK44&gt;0,AL43&gt;0,B44&gt;0),MIN(conv_cap,conv_beta*1*AK44*MAX(0,LN(B44/(AL43*AN43)))),0)</f>
        <v/>
      </c>
      <c r="AN44" s="65">
        <f>AN43*(1+AM44)</f>
        <v/>
      </c>
      <c r="AO44" s="47">
        <f>AJ44*AN44</f>
        <v/>
      </c>
      <c r="AP44" s="67">
        <f>IF(AI44&gt;0,AO44*1000000/AI44/Economy!Q44,0)</f>
        <v/>
      </c>
      <c r="AQ44" s="45" t="n">
        <v>10930000</v>
      </c>
      <c r="AR44" s="45" t="n">
        <v>197</v>
      </c>
      <c r="AS44" s="68" t="n">
        <v>0.214</v>
      </c>
      <c r="AT44" s="47">
        <f>IF(AQ44&gt;0,AR44*1000000/AQ44,0)</f>
        <v/>
      </c>
      <c r="AU44" s="64">
        <f>IF(AND(AS44&gt;0,AT43&gt;0,B44&gt;0),MIN(conv_cap,conv_beta*1*AS44*MAX(0,LN(B44/(AT43*AV43)))),0)</f>
        <v/>
      </c>
      <c r="AV44" s="65">
        <f>AV43*(1+AU44)</f>
        <v/>
      </c>
      <c r="AW44" s="47">
        <f>AR44*AV44</f>
        <v/>
      </c>
      <c r="AX44" s="67">
        <f>IF(AQ44&gt;0,AW44*1000000/AQ44/Economy!Q44,0)</f>
        <v/>
      </c>
      <c r="AY44" s="45" t="n">
        <v>64000000</v>
      </c>
      <c r="AZ44" s="45" t="n">
        <v>1413</v>
      </c>
      <c r="BA44" s="68" t="n">
        <v>0.06</v>
      </c>
      <c r="BB44" s="47">
        <f>IF(AY44&gt;0,AZ44*1000000/AY44,0)</f>
        <v/>
      </c>
      <c r="BC44" s="64">
        <f>IF(AND(BA44&gt;0,BB43&gt;0,B44&gt;0),MIN(conv_cap,conv_beta*1*BA44*MAX(0,LN(B44/(BB43*BD43)))),0)</f>
        <v/>
      </c>
      <c r="BD44" s="65">
        <f>BD43*(1+BC44)</f>
        <v/>
      </c>
      <c r="BE44" s="47">
        <f>AZ44*BD44</f>
        <v/>
      </c>
      <c r="BF44" s="67">
        <f>IF(AY44&gt;0,BE44*1000000/AY44/Economy!Q44,0)</f>
        <v/>
      </c>
      <c r="BG44" s="45" t="n">
        <v>25700000</v>
      </c>
      <c r="BH44" s="45" t="n">
        <v>1560</v>
      </c>
      <c r="BI44" s="68" t="n">
        <v>0.097</v>
      </c>
      <c r="BJ44" s="47">
        <f>IF(BG44&gt;0,BH44*1000000/BG44,0)</f>
        <v/>
      </c>
      <c r="BK44" s="64">
        <f>IF(AND(BI44&gt;0,BJ43&gt;0,B44&gt;0),MIN(conv_cap,conv_beta*1*BI44*MAX(0,LN(B44/(BJ43*BL43)))),0)</f>
        <v/>
      </c>
      <c r="BL44" s="65">
        <f>BL43*(1+BK44)</f>
        <v/>
      </c>
      <c r="BM44" s="47">
        <f>BH44*BL44</f>
        <v/>
      </c>
      <c r="BN44" s="67">
        <f>IF(BG44&gt;0,BM44*1000000/BG44/Economy!Q44,0)</f>
        <v/>
      </c>
      <c r="BO44" s="45" t="n">
        <v>12900000</v>
      </c>
      <c r="BP44" s="45" t="n">
        <v>640</v>
      </c>
      <c r="BQ44" s="68" t="n">
        <v>0</v>
      </c>
      <c r="BR44" s="47">
        <f>IF(BO44&gt;0,BP44*1000000/BO44,0)</f>
        <v/>
      </c>
      <c r="BS44" s="64">
        <f>IF(AND(BQ44&gt;0,BR43&gt;0,B44&gt;0),MIN(conv_cap,conv_beta*1*BQ44*MAX(0,LN(B44/(BR43*BT43)))),0)</f>
        <v/>
      </c>
      <c r="BT44" s="65">
        <f>BT43*(1+BS44)</f>
        <v/>
      </c>
      <c r="BU44" s="47">
        <f>BP44*BT44</f>
        <v/>
      </c>
      <c r="BV44" s="67">
        <f>IF(BO44&gt;0,BU44*1000000/BO44/Economy!Q44,0)</f>
        <v/>
      </c>
      <c r="BW44" s="65">
        <f>0.25*IF(D44&gt;0,H44,1)+0.15*IF(AJ44&gt;0,AN44,1)+0.03*IF(AR44&gt;0,AV44,1)+0.08*IF(AZ44&gt;0,BD44,1)+0.12*IF(BH44&gt;0,BL44,1)+0.1*IF(L44&gt;0,P44,1)+0.07*IF(T44&gt;0,X44,1)+0.05*IF(AB44&gt;0,AF44,1)+0.05*IF(BP44&gt;0,BT44,1)+0.1</f>
        <v/>
      </c>
      <c r="BX44" s="63">
        <f>MIN(mkt_cap,mkt_elast*MAX(0,BW44-1))</f>
        <v/>
      </c>
      <c r="BY44" s="47">
        <f>I44+Q44+Y44+AG44</f>
        <v/>
      </c>
      <c r="BZ44" s="47">
        <f>D44+L44+T44+AB44</f>
        <v/>
      </c>
      <c r="CA44" s="65">
        <f>IF(BZ44&gt;0,BY44/BZ44,0)</f>
        <v/>
      </c>
    </row>
    <row r="45">
      <c r="A45" s="58" t="n">
        <v>1885</v>
      </c>
      <c r="B45" s="47">
        <f>Economy!P44</f>
        <v/>
      </c>
      <c r="C45" s="45" t="n">
        <v>38300000</v>
      </c>
      <c r="D45" s="62">
        <f>Japan!B45</f>
        <v/>
      </c>
      <c r="E45" s="68" t="n">
        <v>0.507</v>
      </c>
      <c r="F45" s="47">
        <f>IF(C45&gt;0,D45*1000000/C45,0)</f>
        <v/>
      </c>
      <c r="G45" s="64">
        <f>IF(AND(E45&gt;0,F44&gt;0,B45&gt;0),MIN(conv_cap,conv_beta*jp_uplift*E45*MAX(0,LN(B45/(F44*H44)))),0)</f>
        <v/>
      </c>
      <c r="H45" s="65">
        <f>H44*(1+G45)</f>
        <v/>
      </c>
      <c r="I45" s="47">
        <f>D45*H45</f>
        <v/>
      </c>
      <c r="J45" s="67">
        <f>IF(C45&gt;0,I45*1000000/C45/Economy!Q45,0)</f>
        <v/>
      </c>
      <c r="K45" s="62">
        <f>Gulf!B45</f>
        <v/>
      </c>
      <c r="L45" s="47">
        <f>Gulf!B45*Gulf!C45*Economy!Q45/1000000</f>
        <v/>
      </c>
      <c r="M45" s="68" t="n">
        <v>0</v>
      </c>
      <c r="N45" s="47">
        <f>IF(K45&gt;0,L45*1000000/K45,0)</f>
        <v/>
      </c>
      <c r="O45" s="64">
        <f>IF(AND(M45&gt;0,N44&gt;0,B45&gt;0),MIN(conv_cap,conv_beta*1*M45*MAX(0,LN(B45/(N44*P44)))),0)</f>
        <v/>
      </c>
      <c r="P45" s="65">
        <f>P44*(1+O45)</f>
        <v/>
      </c>
      <c r="Q45" s="47">
        <f>L45*P45</f>
        <v/>
      </c>
      <c r="R45" s="67">
        <f>IF(K45&gt;0,Q45*1000000/K45/Economy!Q45,0)</f>
        <v/>
      </c>
      <c r="S45" s="62">
        <f>People!U45</f>
        <v/>
      </c>
      <c r="T45" s="45" t="n">
        <v>116</v>
      </c>
      <c r="U45" s="68" t="n">
        <v>0.382</v>
      </c>
      <c r="V45" s="47">
        <f>IF(S45&gt;0,T45*1000000/S45,0)</f>
        <v/>
      </c>
      <c r="W45" s="64">
        <f>IF(AND(U45&gt;0,V44&gt;0,B45&gt;0),MIN(conv_cap,conv_beta*1*U45*MAX(0,LN(B45/(V44*X44)))),0)</f>
        <v/>
      </c>
      <c r="X45" s="65">
        <f>X44*(1+W45)</f>
        <v/>
      </c>
      <c r="Y45" s="47">
        <f>T45*X45</f>
        <v/>
      </c>
      <c r="Z45" s="67">
        <f>IF(S45&gt;0,Y45*1000000/S45/Economy!Q45,0)</f>
        <v/>
      </c>
      <c r="AA45" s="45" t="n">
        <v>0</v>
      </c>
      <c r="AB45" s="45" t="n">
        <v>0</v>
      </c>
      <c r="AC45" s="68" t="n">
        <v>0</v>
      </c>
      <c r="AD45" s="47">
        <f>IF(AA45&gt;0,AB45*1000000/AA45,0)</f>
        <v/>
      </c>
      <c r="AE45" s="64">
        <f>IF(AND(AC45&gt;0,AD44&gt;0,B45&gt;0),MIN(conv_cap,conv_beta*1*AC45*MAX(0,LN(B45/(AD44*AF44)))),0)</f>
        <v/>
      </c>
      <c r="AF45" s="65">
        <f>AF44*(1+AE45)</f>
        <v/>
      </c>
      <c r="AG45" s="47">
        <f>AB45*AF45</f>
        <v/>
      </c>
      <c r="AH45" s="67">
        <f>IF(AA45&gt;0,AG45*1000000/AA45/Economy!Q45,0)</f>
        <v/>
      </c>
      <c r="AI45" s="45" t="n">
        <v>379000000</v>
      </c>
      <c r="AJ45" s="45" t="n">
        <v>3750</v>
      </c>
      <c r="AK45" s="68" t="n">
        <v>0.142</v>
      </c>
      <c r="AL45" s="47">
        <f>IF(AI45&gt;0,AJ45*1000000/AI45,0)</f>
        <v/>
      </c>
      <c r="AM45" s="64">
        <f>IF(AND(AK45&gt;0,AL44&gt;0,B45&gt;0),MIN(conv_cap,conv_beta*1*AK45*MAX(0,LN(B45/(AL44*AN44)))),0)</f>
        <v/>
      </c>
      <c r="AN45" s="65">
        <f>AN44*(1+AM45)</f>
        <v/>
      </c>
      <c r="AO45" s="47">
        <f>AJ45*AN45</f>
        <v/>
      </c>
      <c r="AP45" s="67">
        <f>IF(AI45&gt;0,AO45*1000000/AI45/Economy!Q45,0)</f>
        <v/>
      </c>
      <c r="AQ45" s="45" t="n">
        <v>11000000</v>
      </c>
      <c r="AR45" s="45" t="n">
        <v>200</v>
      </c>
      <c r="AS45" s="68" t="n">
        <v>0.243</v>
      </c>
      <c r="AT45" s="47">
        <f>IF(AQ45&gt;0,AR45*1000000/AQ45,0)</f>
        <v/>
      </c>
      <c r="AU45" s="64">
        <f>IF(AND(AS45&gt;0,AT44&gt;0,B45&gt;0),MIN(conv_cap,conv_beta*1*AS45*MAX(0,LN(B45/(AT44*AV44)))),0)</f>
        <v/>
      </c>
      <c r="AV45" s="65">
        <f>AV44*(1+AU45)</f>
        <v/>
      </c>
      <c r="AW45" s="47">
        <f>AR45*AV45</f>
        <v/>
      </c>
      <c r="AX45" s="67">
        <f>IF(AQ45&gt;0,AW45*1000000/AQ45/Economy!Q45,0)</f>
        <v/>
      </c>
      <c r="AY45" s="45" t="n">
        <v>65000000</v>
      </c>
      <c r="AZ45" s="45" t="n">
        <v>1450</v>
      </c>
      <c r="BA45" s="68" t="n">
        <v>0.062</v>
      </c>
      <c r="BB45" s="47">
        <f>IF(AY45&gt;0,AZ45*1000000/AY45,0)</f>
        <v/>
      </c>
      <c r="BC45" s="64">
        <f>IF(AND(BA45&gt;0,BB44&gt;0,B45&gt;0),MIN(conv_cap,conv_beta*1*BA45*MAX(0,LN(B45/(BB44*BD44)))),0)</f>
        <v/>
      </c>
      <c r="BD45" s="65">
        <f>BD44*(1+BC45)</f>
        <v/>
      </c>
      <c r="BE45" s="47">
        <f>AZ45*BD45</f>
        <v/>
      </c>
      <c r="BF45" s="67">
        <f>IF(AY45&gt;0,BE45*1000000/AY45/Economy!Q45,0)</f>
        <v/>
      </c>
      <c r="BG45" s="45" t="n">
        <v>26000000</v>
      </c>
      <c r="BH45" s="45" t="n">
        <v>1600</v>
      </c>
      <c r="BI45" s="68" t="n">
        <v>0.1</v>
      </c>
      <c r="BJ45" s="47">
        <f>IF(BG45&gt;0,BH45*1000000/BG45,0)</f>
        <v/>
      </c>
      <c r="BK45" s="64">
        <f>IF(AND(BI45&gt;0,BJ44&gt;0,B45&gt;0),MIN(conv_cap,conv_beta*1*BI45*MAX(0,LN(B45/(BJ44*BL44)))),0)</f>
        <v/>
      </c>
      <c r="BL45" s="65">
        <f>BL44*(1+BK45)</f>
        <v/>
      </c>
      <c r="BM45" s="47">
        <f>BH45*BL45</f>
        <v/>
      </c>
      <c r="BN45" s="67">
        <f>IF(BG45&gt;0,BM45*1000000/BG45/Economy!Q45,0)</f>
        <v/>
      </c>
      <c r="BO45" s="45" t="n">
        <v>13000000</v>
      </c>
      <c r="BP45" s="45" t="n">
        <v>650</v>
      </c>
      <c r="BQ45" s="68" t="n">
        <v>0</v>
      </c>
      <c r="BR45" s="47">
        <f>IF(BO45&gt;0,BP45*1000000/BO45,0)</f>
        <v/>
      </c>
      <c r="BS45" s="64">
        <f>IF(AND(BQ45&gt;0,BR44&gt;0,B45&gt;0),MIN(conv_cap,conv_beta*1*BQ45*MAX(0,LN(B45/(BR44*BT44)))),0)</f>
        <v/>
      </c>
      <c r="BT45" s="65">
        <f>BT44*(1+BS45)</f>
        <v/>
      </c>
      <c r="BU45" s="47">
        <f>BP45*BT45</f>
        <v/>
      </c>
      <c r="BV45" s="67">
        <f>IF(BO45&gt;0,BU45*1000000/BO45/Economy!Q45,0)</f>
        <v/>
      </c>
      <c r="BW45" s="65">
        <f>0.25*IF(D45&gt;0,H45,1)+0.15*IF(AJ45&gt;0,AN45,1)+0.03*IF(AR45&gt;0,AV45,1)+0.08*IF(AZ45&gt;0,BD45,1)+0.12*IF(BH45&gt;0,BL45,1)+0.1*IF(L45&gt;0,P45,1)+0.07*IF(T45&gt;0,X45,1)+0.05*IF(AB45&gt;0,AF45,1)+0.05*IF(BP45&gt;0,BT45,1)+0.1</f>
        <v/>
      </c>
      <c r="BX45" s="63">
        <f>MIN(mkt_cap,mkt_elast*MAX(0,BW45-1))</f>
        <v/>
      </c>
      <c r="BY45" s="47">
        <f>I45+Q45+Y45+AG45</f>
        <v/>
      </c>
      <c r="BZ45" s="47">
        <f>D45+L45+T45+AB45</f>
        <v/>
      </c>
      <c r="CA45" s="65">
        <f>IF(BZ45&gt;0,BY45/BZ45,0)</f>
        <v/>
      </c>
    </row>
    <row r="46">
      <c r="A46" s="58" t="n">
        <v>1886</v>
      </c>
      <c r="B46" s="47">
        <f>Economy!P45</f>
        <v/>
      </c>
      <c r="C46" s="45" t="n">
        <v>38640000</v>
      </c>
      <c r="D46" s="62">
        <f>Japan!B46</f>
        <v/>
      </c>
      <c r="E46" s="68" t="n">
        <v>0.529</v>
      </c>
      <c r="F46" s="47">
        <f>IF(C46&gt;0,D46*1000000/C46,0)</f>
        <v/>
      </c>
      <c r="G46" s="64">
        <f>IF(AND(E46&gt;0,F45&gt;0,B46&gt;0),MIN(conv_cap,conv_beta*jp_uplift*E46*MAX(0,LN(B46/(F45*H45)))),0)</f>
        <v/>
      </c>
      <c r="H46" s="65">
        <f>H45*(1+G46)</f>
        <v/>
      </c>
      <c r="I46" s="47">
        <f>D46*H46</f>
        <v/>
      </c>
      <c r="J46" s="67">
        <f>IF(C46&gt;0,I46*1000000/C46/Economy!Q46,0)</f>
        <v/>
      </c>
      <c r="K46" s="62">
        <f>Gulf!B46</f>
        <v/>
      </c>
      <c r="L46" s="47">
        <f>Gulf!B46*Gulf!C46*Economy!Q46/1000000</f>
        <v/>
      </c>
      <c r="M46" s="68" t="n">
        <v>0</v>
      </c>
      <c r="N46" s="47">
        <f>IF(K46&gt;0,L46*1000000/K46,0)</f>
        <v/>
      </c>
      <c r="O46" s="64">
        <f>IF(AND(M46&gt;0,N45&gt;0,B46&gt;0),MIN(conv_cap,conv_beta*1*M46*MAX(0,LN(B46/(N45*P45)))),0)</f>
        <v/>
      </c>
      <c r="P46" s="65">
        <f>P45*(1+O46)</f>
        <v/>
      </c>
      <c r="Q46" s="47">
        <f>L46*P46</f>
        <v/>
      </c>
      <c r="R46" s="67">
        <f>IF(K46&gt;0,Q46*1000000/K46/Economy!Q46,0)</f>
        <v/>
      </c>
      <c r="S46" s="62">
        <f>People!U46</f>
        <v/>
      </c>
      <c r="T46" s="45" t="n">
        <v>118</v>
      </c>
      <c r="U46" s="68" t="n">
        <v>0.391</v>
      </c>
      <c r="V46" s="47">
        <f>IF(S46&gt;0,T46*1000000/S46,0)</f>
        <v/>
      </c>
      <c r="W46" s="64">
        <f>IF(AND(U46&gt;0,V45&gt;0,B46&gt;0),MIN(conv_cap,conv_beta*1*U46*MAX(0,LN(B46/(V45*X45)))),0)</f>
        <v/>
      </c>
      <c r="X46" s="65">
        <f>X45*(1+W46)</f>
        <v/>
      </c>
      <c r="Y46" s="47">
        <f>T46*X46</f>
        <v/>
      </c>
      <c r="Z46" s="67">
        <f>IF(S46&gt;0,Y46*1000000/S46/Economy!Q46,0)</f>
        <v/>
      </c>
      <c r="AA46" s="45" t="n">
        <v>0</v>
      </c>
      <c r="AB46" s="45" t="n">
        <v>0</v>
      </c>
      <c r="AC46" s="68" t="n">
        <v>0</v>
      </c>
      <c r="AD46" s="47">
        <f>IF(AA46&gt;0,AB46*1000000/AA46,0)</f>
        <v/>
      </c>
      <c r="AE46" s="64">
        <f>IF(AND(AC46&gt;0,AD45&gt;0,B46&gt;0),MIN(conv_cap,conv_beta*1*AC46*MAX(0,LN(B46/(AD45*AF45)))),0)</f>
        <v/>
      </c>
      <c r="AF46" s="65">
        <f>AF45*(1+AE46)</f>
        <v/>
      </c>
      <c r="AG46" s="47">
        <f>AB46*AF46</f>
        <v/>
      </c>
      <c r="AH46" s="67">
        <f>IF(AA46&gt;0,AG46*1000000/AA46/Economy!Q46,0)</f>
        <v/>
      </c>
      <c r="AI46" s="45" t="n">
        <v>380400000</v>
      </c>
      <c r="AJ46" s="45" t="n">
        <v>3767</v>
      </c>
      <c r="AK46" s="68" t="n">
        <v>0.146</v>
      </c>
      <c r="AL46" s="47">
        <f>IF(AI46&gt;0,AJ46*1000000/AI46,0)</f>
        <v/>
      </c>
      <c r="AM46" s="64">
        <f>IF(AND(AK46&gt;0,AL45&gt;0,B46&gt;0),MIN(conv_cap,conv_beta*1*AK46*MAX(0,LN(B46/(AL45*AN45)))),0)</f>
        <v/>
      </c>
      <c r="AN46" s="65">
        <f>AN45*(1+AM46)</f>
        <v/>
      </c>
      <c r="AO46" s="47">
        <f>AJ46*AN46</f>
        <v/>
      </c>
      <c r="AP46" s="67">
        <f>IF(AI46&gt;0,AO46*1000000/AI46/Economy!Q46,0)</f>
        <v/>
      </c>
      <c r="AQ46" s="45" t="n">
        <v>11070000</v>
      </c>
      <c r="AR46" s="45" t="n">
        <v>203</v>
      </c>
      <c r="AS46" s="68" t="n">
        <v>0.271</v>
      </c>
      <c r="AT46" s="47">
        <f>IF(AQ46&gt;0,AR46*1000000/AQ46,0)</f>
        <v/>
      </c>
      <c r="AU46" s="64">
        <f>IF(AND(AS46&gt;0,AT45&gt;0,B46&gt;0),MIN(conv_cap,conv_beta*1*AS46*MAX(0,LN(B46/(AT45*AV45)))),0)</f>
        <v/>
      </c>
      <c r="AV46" s="65">
        <f>AV45*(1+AU46)</f>
        <v/>
      </c>
      <c r="AW46" s="47">
        <f>AR46*AV46</f>
        <v/>
      </c>
      <c r="AX46" s="67">
        <f>IF(AQ46&gt;0,AW46*1000000/AQ46/Economy!Q46,0)</f>
        <v/>
      </c>
      <c r="AY46" s="45" t="n">
        <v>66000000</v>
      </c>
      <c r="AZ46" s="45" t="n">
        <v>1487</v>
      </c>
      <c r="BA46" s="68" t="n">
        <v>0.065</v>
      </c>
      <c r="BB46" s="47">
        <f>IF(AY46&gt;0,AZ46*1000000/AY46,0)</f>
        <v/>
      </c>
      <c r="BC46" s="64">
        <f>IF(AND(BA46&gt;0,BB45&gt;0,B46&gt;0),MIN(conv_cap,conv_beta*1*BA46*MAX(0,LN(B46/(BB45*BD45)))),0)</f>
        <v/>
      </c>
      <c r="BD46" s="65">
        <f>BD45*(1+BC46)</f>
        <v/>
      </c>
      <c r="BE46" s="47">
        <f>AZ46*BD46</f>
        <v/>
      </c>
      <c r="BF46" s="67">
        <f>IF(AY46&gt;0,BE46*1000000/AY46/Economy!Q46,0)</f>
        <v/>
      </c>
      <c r="BG46" s="45" t="n">
        <v>26300000</v>
      </c>
      <c r="BH46" s="45" t="n">
        <v>1640</v>
      </c>
      <c r="BI46" s="68" t="n">
        <v>0.106</v>
      </c>
      <c r="BJ46" s="47">
        <f>IF(BG46&gt;0,BH46*1000000/BG46,0)</f>
        <v/>
      </c>
      <c r="BK46" s="64">
        <f>IF(AND(BI46&gt;0,BJ45&gt;0,B46&gt;0),MIN(conv_cap,conv_beta*1*BI46*MAX(0,LN(B46/(BJ45*BL45)))),0)</f>
        <v/>
      </c>
      <c r="BL46" s="65">
        <f>BL45*(1+BK46)</f>
        <v/>
      </c>
      <c r="BM46" s="47">
        <f>BH46*BL46</f>
        <v/>
      </c>
      <c r="BN46" s="67">
        <f>IF(BG46&gt;0,BM46*1000000/BG46/Economy!Q46,0)</f>
        <v/>
      </c>
      <c r="BO46" s="45" t="n">
        <v>13100000</v>
      </c>
      <c r="BP46" s="45" t="n">
        <v>660</v>
      </c>
      <c r="BQ46" s="68" t="n">
        <v>0</v>
      </c>
      <c r="BR46" s="47">
        <f>IF(BO46&gt;0,BP46*1000000/BO46,0)</f>
        <v/>
      </c>
      <c r="BS46" s="64">
        <f>IF(AND(BQ46&gt;0,BR45&gt;0,B46&gt;0),MIN(conv_cap,conv_beta*1*BQ46*MAX(0,LN(B46/(BR45*BT45)))),0)</f>
        <v/>
      </c>
      <c r="BT46" s="65">
        <f>BT45*(1+BS46)</f>
        <v/>
      </c>
      <c r="BU46" s="47">
        <f>BP46*BT46</f>
        <v/>
      </c>
      <c r="BV46" s="67">
        <f>IF(BO46&gt;0,BU46*1000000/BO46/Economy!Q46,0)</f>
        <v/>
      </c>
      <c r="BW46" s="65">
        <f>0.25*IF(D46&gt;0,H46,1)+0.15*IF(AJ46&gt;0,AN46,1)+0.03*IF(AR46&gt;0,AV46,1)+0.08*IF(AZ46&gt;0,BD46,1)+0.12*IF(BH46&gt;0,BL46,1)+0.1*IF(L46&gt;0,P46,1)+0.07*IF(T46&gt;0,X46,1)+0.05*IF(AB46&gt;0,AF46,1)+0.05*IF(BP46&gt;0,BT46,1)+0.1</f>
        <v/>
      </c>
      <c r="BX46" s="63">
        <f>MIN(mkt_cap,mkt_elast*MAX(0,BW46-1))</f>
        <v/>
      </c>
      <c r="BY46" s="47">
        <f>I46+Q46+Y46+AG46</f>
        <v/>
      </c>
      <c r="BZ46" s="47">
        <f>D46+L46+T46+AB46</f>
        <v/>
      </c>
      <c r="CA46" s="65">
        <f>IF(BZ46&gt;0,BY46/BZ46,0)</f>
        <v/>
      </c>
    </row>
    <row r="47">
      <c r="A47" s="58" t="n">
        <v>1887</v>
      </c>
      <c r="B47" s="47">
        <f>Economy!P46</f>
        <v/>
      </c>
      <c r="C47" s="45" t="n">
        <v>38980000</v>
      </c>
      <c r="D47" s="62">
        <f>Japan!B47</f>
        <v/>
      </c>
      <c r="E47" s="68" t="n">
        <v>0.55</v>
      </c>
      <c r="F47" s="47">
        <f>IF(C47&gt;0,D47*1000000/C47,0)</f>
        <v/>
      </c>
      <c r="G47" s="64">
        <f>IF(AND(E47&gt;0,F46&gt;0,B47&gt;0),MIN(conv_cap,conv_beta*jp_uplift*E47*MAX(0,LN(B47/(F46*H46)))),0)</f>
        <v/>
      </c>
      <c r="H47" s="65">
        <f>H46*(1+G47)</f>
        <v/>
      </c>
      <c r="I47" s="47">
        <f>D47*H47</f>
        <v/>
      </c>
      <c r="J47" s="67">
        <f>IF(C47&gt;0,I47*1000000/C47/Economy!Q47,0)</f>
        <v/>
      </c>
      <c r="K47" s="62">
        <f>Gulf!B47</f>
        <v/>
      </c>
      <c r="L47" s="47">
        <f>Gulf!B47*Gulf!C47*Economy!Q47/1000000</f>
        <v/>
      </c>
      <c r="M47" s="68" t="n">
        <v>0</v>
      </c>
      <c r="N47" s="47">
        <f>IF(K47&gt;0,L47*1000000/K47,0)</f>
        <v/>
      </c>
      <c r="O47" s="64">
        <f>IF(AND(M47&gt;0,N46&gt;0,B47&gt;0),MIN(conv_cap,conv_beta*1*M47*MAX(0,LN(B47/(N46*P46)))),0)</f>
        <v/>
      </c>
      <c r="P47" s="65">
        <f>P46*(1+O47)</f>
        <v/>
      </c>
      <c r="Q47" s="47">
        <f>L47*P47</f>
        <v/>
      </c>
      <c r="R47" s="67">
        <f>IF(K47&gt;0,Q47*1000000/K47/Economy!Q47,0)</f>
        <v/>
      </c>
      <c r="S47" s="62">
        <f>People!U47</f>
        <v/>
      </c>
      <c r="T47" s="45" t="n">
        <v>120</v>
      </c>
      <c r="U47" s="68" t="n">
        <v>0.4</v>
      </c>
      <c r="V47" s="47">
        <f>IF(S47&gt;0,T47*1000000/S47,0)</f>
        <v/>
      </c>
      <c r="W47" s="64">
        <f>IF(AND(U47&gt;0,V46&gt;0,B47&gt;0),MIN(conv_cap,conv_beta*1*U47*MAX(0,LN(B47/(V46*X46)))),0)</f>
        <v/>
      </c>
      <c r="X47" s="65">
        <f>X46*(1+W47)</f>
        <v/>
      </c>
      <c r="Y47" s="47">
        <f>T47*X47</f>
        <v/>
      </c>
      <c r="Z47" s="67">
        <f>IF(S47&gt;0,Y47*1000000/S47/Economy!Q47,0)</f>
        <v/>
      </c>
      <c r="AA47" s="45" t="n">
        <v>0</v>
      </c>
      <c r="AB47" s="45" t="n">
        <v>0</v>
      </c>
      <c r="AC47" s="68" t="n">
        <v>0</v>
      </c>
      <c r="AD47" s="47">
        <f>IF(AA47&gt;0,AB47*1000000/AA47,0)</f>
        <v/>
      </c>
      <c r="AE47" s="64">
        <f>IF(AND(AC47&gt;0,AD46&gt;0,B47&gt;0),MIN(conv_cap,conv_beta*1*AC47*MAX(0,LN(B47/(AD46*AF46)))),0)</f>
        <v/>
      </c>
      <c r="AF47" s="65">
        <f>AF46*(1+AE47)</f>
        <v/>
      </c>
      <c r="AG47" s="47">
        <f>AB47*AF47</f>
        <v/>
      </c>
      <c r="AH47" s="67">
        <f>IF(AA47&gt;0,AG47*1000000/AA47/Economy!Q47,0)</f>
        <v/>
      </c>
      <c r="AI47" s="45" t="n">
        <v>381800000</v>
      </c>
      <c r="AJ47" s="45" t="n">
        <v>3783</v>
      </c>
      <c r="AK47" s="68" t="n">
        <v>0.15</v>
      </c>
      <c r="AL47" s="47">
        <f>IF(AI47&gt;0,AJ47*1000000/AI47,0)</f>
        <v/>
      </c>
      <c r="AM47" s="64">
        <f>IF(AND(AK47&gt;0,AL46&gt;0,B47&gt;0),MIN(conv_cap,conv_beta*1*AK47*MAX(0,LN(B47/(AL46*AN46)))),0)</f>
        <v/>
      </c>
      <c r="AN47" s="65">
        <f>AN46*(1+AM47)</f>
        <v/>
      </c>
      <c r="AO47" s="47">
        <f>AJ47*AN47</f>
        <v/>
      </c>
      <c r="AP47" s="67">
        <f>IF(AI47&gt;0,AO47*1000000/AI47/Economy!Q47,0)</f>
        <v/>
      </c>
      <c r="AQ47" s="45" t="n">
        <v>11130000</v>
      </c>
      <c r="AR47" s="45" t="n">
        <v>207</v>
      </c>
      <c r="AS47" s="68" t="n">
        <v>0.3</v>
      </c>
      <c r="AT47" s="47">
        <f>IF(AQ47&gt;0,AR47*1000000/AQ47,0)</f>
        <v/>
      </c>
      <c r="AU47" s="64">
        <f>IF(AND(AS47&gt;0,AT46&gt;0,B47&gt;0),MIN(conv_cap,conv_beta*1*AS47*MAX(0,LN(B47/(AT46*AV46)))),0)</f>
        <v/>
      </c>
      <c r="AV47" s="65">
        <f>AV46*(1+AU47)</f>
        <v/>
      </c>
      <c r="AW47" s="47">
        <f>AR47*AV47</f>
        <v/>
      </c>
      <c r="AX47" s="67">
        <f>IF(AQ47&gt;0,AW47*1000000/AQ47/Economy!Q47,0)</f>
        <v/>
      </c>
      <c r="AY47" s="45" t="n">
        <v>67000000</v>
      </c>
      <c r="AZ47" s="45" t="n">
        <v>1523</v>
      </c>
      <c r="BA47" s="68" t="n">
        <v>0.068</v>
      </c>
      <c r="BB47" s="47">
        <f>IF(AY47&gt;0,AZ47*1000000/AY47,0)</f>
        <v/>
      </c>
      <c r="BC47" s="64">
        <f>IF(AND(BA47&gt;0,BB46&gt;0,B47&gt;0),MIN(conv_cap,conv_beta*1*BA47*MAX(0,LN(B47/(BB46*BD46)))),0)</f>
        <v/>
      </c>
      <c r="BD47" s="65">
        <f>BD46*(1+BC47)</f>
        <v/>
      </c>
      <c r="BE47" s="47">
        <f>AZ47*BD47</f>
        <v/>
      </c>
      <c r="BF47" s="67">
        <f>IF(AY47&gt;0,BE47*1000000/AY47/Economy!Q47,0)</f>
        <v/>
      </c>
      <c r="BG47" s="45" t="n">
        <v>26500000</v>
      </c>
      <c r="BH47" s="45" t="n">
        <v>1680</v>
      </c>
      <c r="BI47" s="68" t="n">
        <v>0.113</v>
      </c>
      <c r="BJ47" s="47">
        <f>IF(BG47&gt;0,BH47*1000000/BG47,0)</f>
        <v/>
      </c>
      <c r="BK47" s="64">
        <f>IF(AND(BI47&gt;0,BJ46&gt;0,B47&gt;0),MIN(conv_cap,conv_beta*1*BI47*MAX(0,LN(B47/(BJ46*BL46)))),0)</f>
        <v/>
      </c>
      <c r="BL47" s="65">
        <f>BL46*(1+BK47)</f>
        <v/>
      </c>
      <c r="BM47" s="47">
        <f>BH47*BL47</f>
        <v/>
      </c>
      <c r="BN47" s="67">
        <f>IF(BG47&gt;0,BM47*1000000/BG47/Economy!Q47,0)</f>
        <v/>
      </c>
      <c r="BO47" s="45" t="n">
        <v>13100000</v>
      </c>
      <c r="BP47" s="45" t="n">
        <v>670</v>
      </c>
      <c r="BQ47" s="68" t="n">
        <v>0</v>
      </c>
      <c r="BR47" s="47">
        <f>IF(BO47&gt;0,BP47*1000000/BO47,0)</f>
        <v/>
      </c>
      <c r="BS47" s="64">
        <f>IF(AND(BQ47&gt;0,BR46&gt;0,B47&gt;0),MIN(conv_cap,conv_beta*1*BQ47*MAX(0,LN(B47/(BR46*BT46)))),0)</f>
        <v/>
      </c>
      <c r="BT47" s="65">
        <f>BT46*(1+BS47)</f>
        <v/>
      </c>
      <c r="BU47" s="47">
        <f>BP47*BT47</f>
        <v/>
      </c>
      <c r="BV47" s="67">
        <f>IF(BO47&gt;0,BU47*1000000/BO47/Economy!Q47,0)</f>
        <v/>
      </c>
      <c r="BW47" s="65">
        <f>0.25*IF(D47&gt;0,H47,1)+0.15*IF(AJ47&gt;0,AN47,1)+0.03*IF(AR47&gt;0,AV47,1)+0.08*IF(AZ47&gt;0,BD47,1)+0.12*IF(BH47&gt;0,BL47,1)+0.1*IF(L47&gt;0,P47,1)+0.07*IF(T47&gt;0,X47,1)+0.05*IF(AB47&gt;0,AF47,1)+0.05*IF(BP47&gt;0,BT47,1)+0.1</f>
        <v/>
      </c>
      <c r="BX47" s="63">
        <f>MIN(mkt_cap,mkt_elast*MAX(0,BW47-1))</f>
        <v/>
      </c>
      <c r="BY47" s="47">
        <f>I47+Q47+Y47+AG47</f>
        <v/>
      </c>
      <c r="BZ47" s="47">
        <f>D47+L47+T47+AB47</f>
        <v/>
      </c>
      <c r="CA47" s="65">
        <f>IF(BZ47&gt;0,BY47/BZ47,0)</f>
        <v/>
      </c>
    </row>
    <row r="48">
      <c r="A48" s="58" t="n">
        <v>1888</v>
      </c>
      <c r="B48" s="47">
        <f>Economy!P47</f>
        <v/>
      </c>
      <c r="C48" s="45" t="n">
        <v>39320000</v>
      </c>
      <c r="D48" s="62">
        <f>Japan!B48</f>
        <v/>
      </c>
      <c r="E48" s="68" t="n">
        <v>0.5620000000000001</v>
      </c>
      <c r="F48" s="47">
        <f>IF(C48&gt;0,D48*1000000/C48,0)</f>
        <v/>
      </c>
      <c r="G48" s="64">
        <f>IF(AND(E48&gt;0,F47&gt;0,B48&gt;0),MIN(conv_cap,conv_beta*jp_uplift*E48*MAX(0,LN(B48/(F47*H47)))),0)</f>
        <v/>
      </c>
      <c r="H48" s="65">
        <f>H47*(1+G48)</f>
        <v/>
      </c>
      <c r="I48" s="47">
        <f>D48*H48</f>
        <v/>
      </c>
      <c r="J48" s="67">
        <f>IF(C48&gt;0,I48*1000000/C48/Economy!Q48,0)</f>
        <v/>
      </c>
      <c r="K48" s="62">
        <f>Gulf!B48</f>
        <v/>
      </c>
      <c r="L48" s="47">
        <f>Gulf!B48*Gulf!C48*Economy!Q48/1000000</f>
        <v/>
      </c>
      <c r="M48" s="68" t="n">
        <v>0</v>
      </c>
      <c r="N48" s="47">
        <f>IF(K48&gt;0,L48*1000000/K48,0)</f>
        <v/>
      </c>
      <c r="O48" s="64">
        <f>IF(AND(M48&gt;0,N47&gt;0,B48&gt;0),MIN(conv_cap,conv_beta*1*M48*MAX(0,LN(B48/(N47*P47)))),0)</f>
        <v/>
      </c>
      <c r="P48" s="65">
        <f>P47*(1+O48)</f>
        <v/>
      </c>
      <c r="Q48" s="47">
        <f>L48*P48</f>
        <v/>
      </c>
      <c r="R48" s="67">
        <f>IF(K48&gt;0,Q48*1000000/K48/Economy!Q48,0)</f>
        <v/>
      </c>
      <c r="S48" s="62">
        <f>People!U48</f>
        <v/>
      </c>
      <c r="T48" s="45" t="n">
        <v>130</v>
      </c>
      <c r="U48" s="68" t="n">
        <v>0.408</v>
      </c>
      <c r="V48" s="47">
        <f>IF(S48&gt;0,T48*1000000/S48,0)</f>
        <v/>
      </c>
      <c r="W48" s="64">
        <f>IF(AND(U48&gt;0,V47&gt;0,B48&gt;0),MIN(conv_cap,conv_beta*1*U48*MAX(0,LN(B48/(V47*X47)))),0)</f>
        <v/>
      </c>
      <c r="X48" s="65">
        <f>X47*(1+W48)</f>
        <v/>
      </c>
      <c r="Y48" s="47">
        <f>T48*X48</f>
        <v/>
      </c>
      <c r="Z48" s="67">
        <f>IF(S48&gt;0,Y48*1000000/S48/Economy!Q48,0)</f>
        <v/>
      </c>
      <c r="AA48" s="45" t="n">
        <v>0</v>
      </c>
      <c r="AB48" s="45" t="n">
        <v>0</v>
      </c>
      <c r="AC48" s="68" t="n">
        <v>0</v>
      </c>
      <c r="AD48" s="47">
        <f>IF(AA48&gt;0,AB48*1000000/AA48,0)</f>
        <v/>
      </c>
      <c r="AE48" s="64">
        <f>IF(AND(AC48&gt;0,AD47&gt;0,B48&gt;0),MIN(conv_cap,conv_beta*1*AC48*MAX(0,LN(B48/(AD47*AF47)))),0)</f>
        <v/>
      </c>
      <c r="AF48" s="65">
        <f>AF47*(1+AE48)</f>
        <v/>
      </c>
      <c r="AG48" s="47">
        <f>AB48*AF48</f>
        <v/>
      </c>
      <c r="AH48" s="67">
        <f>IF(AA48&gt;0,AG48*1000000/AA48/Economy!Q48,0)</f>
        <v/>
      </c>
      <c r="AI48" s="45" t="n">
        <v>383200000</v>
      </c>
      <c r="AJ48" s="45" t="n">
        <v>3800</v>
      </c>
      <c r="AK48" s="68" t="n">
        <v>0.154</v>
      </c>
      <c r="AL48" s="47">
        <f>IF(AI48&gt;0,AJ48*1000000/AI48,0)</f>
        <v/>
      </c>
      <c r="AM48" s="64">
        <f>IF(AND(AK48&gt;0,AL47&gt;0,B48&gt;0),MIN(conv_cap,conv_beta*1*AK48*MAX(0,LN(B48/(AL47*AN47)))),0)</f>
        <v/>
      </c>
      <c r="AN48" s="65">
        <f>AN47*(1+AM48)</f>
        <v/>
      </c>
      <c r="AO48" s="47">
        <f>AJ48*AN48</f>
        <v/>
      </c>
      <c r="AP48" s="67">
        <f>IF(AI48&gt;0,AO48*1000000/AI48/Economy!Q48,0)</f>
        <v/>
      </c>
      <c r="AQ48" s="45" t="n">
        <v>11200000</v>
      </c>
      <c r="AR48" s="45" t="n">
        <v>210</v>
      </c>
      <c r="AS48" s="68" t="n">
        <v>0.312</v>
      </c>
      <c r="AT48" s="47">
        <f>IF(AQ48&gt;0,AR48*1000000/AQ48,0)</f>
        <v/>
      </c>
      <c r="AU48" s="64">
        <f>IF(AND(AS48&gt;0,AT47&gt;0,B48&gt;0),MIN(conv_cap,conv_beta*1*AS48*MAX(0,LN(B48/(AT47*AV47)))),0)</f>
        <v/>
      </c>
      <c r="AV48" s="65">
        <f>AV47*(1+AU48)</f>
        <v/>
      </c>
      <c r="AW48" s="47">
        <f>AR48*AV48</f>
        <v/>
      </c>
      <c r="AX48" s="67">
        <f>IF(AQ48&gt;0,AW48*1000000/AQ48/Economy!Q48,0)</f>
        <v/>
      </c>
      <c r="AY48" s="45" t="n">
        <v>68000000</v>
      </c>
      <c r="AZ48" s="45" t="n">
        <v>1560</v>
      </c>
      <c r="BA48" s="68" t="n">
        <v>0.07000000000000001</v>
      </c>
      <c r="BB48" s="47">
        <f>IF(AY48&gt;0,AZ48*1000000/AY48,0)</f>
        <v/>
      </c>
      <c r="BC48" s="64">
        <f>IF(AND(BA48&gt;0,BB47&gt;0,B48&gt;0),MIN(conv_cap,conv_beta*1*BA48*MAX(0,LN(B48/(BB47*BD47)))),0)</f>
        <v/>
      </c>
      <c r="BD48" s="65">
        <f>BD47*(1+BC48)</f>
        <v/>
      </c>
      <c r="BE48" s="47">
        <f>AZ48*BD48</f>
        <v/>
      </c>
      <c r="BF48" s="67">
        <f>IF(AY48&gt;0,BE48*1000000/AY48/Economy!Q48,0)</f>
        <v/>
      </c>
      <c r="BG48" s="45" t="n">
        <v>26800000</v>
      </c>
      <c r="BH48" s="45" t="n">
        <v>1720</v>
      </c>
      <c r="BI48" s="68" t="n">
        <v>0.119</v>
      </c>
      <c r="BJ48" s="47">
        <f>IF(BG48&gt;0,BH48*1000000/BG48,0)</f>
        <v/>
      </c>
      <c r="BK48" s="64">
        <f>IF(AND(BI48&gt;0,BJ47&gt;0,B48&gt;0),MIN(conv_cap,conv_beta*1*BI48*MAX(0,LN(B48/(BJ47*BL47)))),0)</f>
        <v/>
      </c>
      <c r="BL48" s="65">
        <f>BL47*(1+BK48)</f>
        <v/>
      </c>
      <c r="BM48" s="47">
        <f>BH48*BL48</f>
        <v/>
      </c>
      <c r="BN48" s="67">
        <f>IF(BG48&gt;0,BM48*1000000/BG48/Economy!Q48,0)</f>
        <v/>
      </c>
      <c r="BO48" s="45" t="n">
        <v>13200000</v>
      </c>
      <c r="BP48" s="45" t="n">
        <v>680</v>
      </c>
      <c r="BQ48" s="68" t="n">
        <v>0</v>
      </c>
      <c r="BR48" s="47">
        <f>IF(BO48&gt;0,BP48*1000000/BO48,0)</f>
        <v/>
      </c>
      <c r="BS48" s="64">
        <f>IF(AND(BQ48&gt;0,BR47&gt;0,B48&gt;0),MIN(conv_cap,conv_beta*1*BQ48*MAX(0,LN(B48/(BR47*BT47)))),0)</f>
        <v/>
      </c>
      <c r="BT48" s="65">
        <f>BT47*(1+BS48)</f>
        <v/>
      </c>
      <c r="BU48" s="47">
        <f>BP48*BT48</f>
        <v/>
      </c>
      <c r="BV48" s="67">
        <f>IF(BO48&gt;0,BU48*1000000/BO48/Economy!Q48,0)</f>
        <v/>
      </c>
      <c r="BW48" s="65">
        <f>0.25*IF(D48&gt;0,H48,1)+0.15*IF(AJ48&gt;0,AN48,1)+0.03*IF(AR48&gt;0,AV48,1)+0.08*IF(AZ48&gt;0,BD48,1)+0.12*IF(BH48&gt;0,BL48,1)+0.1*IF(L48&gt;0,P48,1)+0.07*IF(T48&gt;0,X48,1)+0.05*IF(AB48&gt;0,AF48,1)+0.05*IF(BP48&gt;0,BT48,1)+0.1</f>
        <v/>
      </c>
      <c r="BX48" s="63">
        <f>MIN(mkt_cap,mkt_elast*MAX(0,BW48-1))</f>
        <v/>
      </c>
      <c r="BY48" s="47">
        <f>I48+Q48+Y48+AG48</f>
        <v/>
      </c>
      <c r="BZ48" s="47">
        <f>D48+L48+T48+AB48</f>
        <v/>
      </c>
      <c r="CA48" s="65">
        <f>IF(BZ48&gt;0,BY48/BZ48,0)</f>
        <v/>
      </c>
    </row>
    <row r="49">
      <c r="A49" s="58" t="n">
        <v>1889</v>
      </c>
      <c r="B49" s="47">
        <f>Economy!P48</f>
        <v/>
      </c>
      <c r="C49" s="45" t="n">
        <v>39660000</v>
      </c>
      <c r="D49" s="62">
        <f>Japan!B49</f>
        <v/>
      </c>
      <c r="E49" s="68" t="n">
        <v>0.575</v>
      </c>
      <c r="F49" s="47">
        <f>IF(C49&gt;0,D49*1000000/C49,0)</f>
        <v/>
      </c>
      <c r="G49" s="64">
        <f>IF(AND(E49&gt;0,F48&gt;0,B49&gt;0),MIN(conv_cap,conv_beta*jp_uplift*E49*MAX(0,LN(B49/(F48*H48)))),0)</f>
        <v/>
      </c>
      <c r="H49" s="65">
        <f>H48*(1+G49)</f>
        <v/>
      </c>
      <c r="I49" s="47">
        <f>D49*H49</f>
        <v/>
      </c>
      <c r="J49" s="67">
        <f>IF(C49&gt;0,I49*1000000/C49/Economy!Q49,0)</f>
        <v/>
      </c>
      <c r="K49" s="62">
        <f>Gulf!B49</f>
        <v/>
      </c>
      <c r="L49" s="47">
        <f>Gulf!B49*Gulf!C49*Economy!Q49/1000000</f>
        <v/>
      </c>
      <c r="M49" s="68" t="n">
        <v>0</v>
      </c>
      <c r="N49" s="47">
        <f>IF(K49&gt;0,L49*1000000/K49,0)</f>
        <v/>
      </c>
      <c r="O49" s="64">
        <f>IF(AND(M49&gt;0,N48&gt;0,B49&gt;0),MIN(conv_cap,conv_beta*1*M49*MAX(0,LN(B49/(N48*P48)))),0)</f>
        <v/>
      </c>
      <c r="P49" s="65">
        <f>P48*(1+O49)</f>
        <v/>
      </c>
      <c r="Q49" s="47">
        <f>L49*P49</f>
        <v/>
      </c>
      <c r="R49" s="67">
        <f>IF(K49&gt;0,Q49*1000000/K49/Economy!Q49,0)</f>
        <v/>
      </c>
      <c r="S49" s="62">
        <f>People!U49</f>
        <v/>
      </c>
      <c r="T49" s="45" t="n">
        <v>140</v>
      </c>
      <c r="U49" s="68" t="n">
        <v>0.415</v>
      </c>
      <c r="V49" s="47">
        <f>IF(S49&gt;0,T49*1000000/S49,0)</f>
        <v/>
      </c>
      <c r="W49" s="64">
        <f>IF(AND(U49&gt;0,V48&gt;0,B49&gt;0),MIN(conv_cap,conv_beta*1*U49*MAX(0,LN(B49/(V48*X48)))),0)</f>
        <v/>
      </c>
      <c r="X49" s="65">
        <f>X48*(1+W49)</f>
        <v/>
      </c>
      <c r="Y49" s="47">
        <f>T49*X49</f>
        <v/>
      </c>
      <c r="Z49" s="67">
        <f>IF(S49&gt;0,Y49*1000000/S49/Economy!Q49,0)</f>
        <v/>
      </c>
      <c r="AA49" s="45" t="n">
        <v>0</v>
      </c>
      <c r="AB49" s="45" t="n">
        <v>0</v>
      </c>
      <c r="AC49" s="68" t="n">
        <v>0</v>
      </c>
      <c r="AD49" s="47">
        <f>IF(AA49&gt;0,AB49*1000000/AA49,0)</f>
        <v/>
      </c>
      <c r="AE49" s="64">
        <f>IF(AND(AC49&gt;0,AD48&gt;0,B49&gt;0),MIN(conv_cap,conv_beta*1*AC49*MAX(0,LN(B49/(AD48*AF48)))),0)</f>
        <v/>
      </c>
      <c r="AF49" s="65">
        <f>AF48*(1+AE49)</f>
        <v/>
      </c>
      <c r="AG49" s="47">
        <f>AB49*AF49</f>
        <v/>
      </c>
      <c r="AH49" s="67">
        <f>IF(AA49&gt;0,AG49*1000000/AA49/Economy!Q49,0)</f>
        <v/>
      </c>
      <c r="AI49" s="45" t="n">
        <v>384600000</v>
      </c>
      <c r="AJ49" s="45" t="n">
        <v>3817</v>
      </c>
      <c r="AK49" s="68" t="n">
        <v>0.158</v>
      </c>
      <c r="AL49" s="47">
        <f>IF(AI49&gt;0,AJ49*1000000/AI49,0)</f>
        <v/>
      </c>
      <c r="AM49" s="64">
        <f>IF(AND(AK49&gt;0,AL48&gt;0,B49&gt;0),MIN(conv_cap,conv_beta*1*AK49*MAX(0,LN(B49/(AL48*AN48)))),0)</f>
        <v/>
      </c>
      <c r="AN49" s="65">
        <f>AN48*(1+AM49)</f>
        <v/>
      </c>
      <c r="AO49" s="47">
        <f>AJ49*AN49</f>
        <v/>
      </c>
      <c r="AP49" s="67">
        <f>IF(AI49&gt;0,AO49*1000000/AI49/Economy!Q49,0)</f>
        <v/>
      </c>
      <c r="AQ49" s="45" t="n">
        <v>11270000</v>
      </c>
      <c r="AR49" s="45" t="n">
        <v>213</v>
      </c>
      <c r="AS49" s="68" t="n">
        <v>0.325</v>
      </c>
      <c r="AT49" s="47">
        <f>IF(AQ49&gt;0,AR49*1000000/AQ49,0)</f>
        <v/>
      </c>
      <c r="AU49" s="64">
        <f>IF(AND(AS49&gt;0,AT48&gt;0,B49&gt;0),MIN(conv_cap,conv_beta*1*AS49*MAX(0,LN(B49/(AT48*AV48)))),0)</f>
        <v/>
      </c>
      <c r="AV49" s="65">
        <f>AV48*(1+AU49)</f>
        <v/>
      </c>
      <c r="AW49" s="47">
        <f>AR49*AV49</f>
        <v/>
      </c>
      <c r="AX49" s="67">
        <f>IF(AQ49&gt;0,AW49*1000000/AQ49/Economy!Q49,0)</f>
        <v/>
      </c>
      <c r="AY49" s="45" t="n">
        <v>69000000</v>
      </c>
      <c r="AZ49" s="45" t="n">
        <v>1597</v>
      </c>
      <c r="BA49" s="68" t="n">
        <v>0.073</v>
      </c>
      <c r="BB49" s="47">
        <f>IF(AY49&gt;0,AZ49*1000000/AY49,0)</f>
        <v/>
      </c>
      <c r="BC49" s="64">
        <f>IF(AND(BA49&gt;0,BB48&gt;0,B49&gt;0),MIN(conv_cap,conv_beta*1*BA49*MAX(0,LN(B49/(BB48*BD48)))),0)</f>
        <v/>
      </c>
      <c r="BD49" s="65">
        <f>BD48*(1+BC49)</f>
        <v/>
      </c>
      <c r="BE49" s="47">
        <f>AZ49*BD49</f>
        <v/>
      </c>
      <c r="BF49" s="67">
        <f>IF(AY49&gt;0,BE49*1000000/AY49/Economy!Q49,0)</f>
        <v/>
      </c>
      <c r="BG49" s="45" t="n">
        <v>27100000</v>
      </c>
      <c r="BH49" s="45" t="n">
        <v>1760</v>
      </c>
      <c r="BI49" s="68" t="n">
        <v>0.125</v>
      </c>
      <c r="BJ49" s="47">
        <f>IF(BG49&gt;0,BH49*1000000/BG49,0)</f>
        <v/>
      </c>
      <c r="BK49" s="64">
        <f>IF(AND(BI49&gt;0,BJ48&gt;0,B49&gt;0),MIN(conv_cap,conv_beta*1*BI49*MAX(0,LN(B49/(BJ48*BL48)))),0)</f>
        <v/>
      </c>
      <c r="BL49" s="65">
        <f>BL48*(1+BK49)</f>
        <v/>
      </c>
      <c r="BM49" s="47">
        <f>BH49*BL49</f>
        <v/>
      </c>
      <c r="BN49" s="67">
        <f>IF(BG49&gt;0,BM49*1000000/BG49/Economy!Q49,0)</f>
        <v/>
      </c>
      <c r="BO49" s="45" t="n">
        <v>13300000</v>
      </c>
      <c r="BP49" s="45" t="n">
        <v>690</v>
      </c>
      <c r="BQ49" s="68" t="n">
        <v>0</v>
      </c>
      <c r="BR49" s="47">
        <f>IF(BO49&gt;0,BP49*1000000/BO49,0)</f>
        <v/>
      </c>
      <c r="BS49" s="64">
        <f>IF(AND(BQ49&gt;0,BR48&gt;0,B49&gt;0),MIN(conv_cap,conv_beta*1*BQ49*MAX(0,LN(B49/(BR48*BT48)))),0)</f>
        <v/>
      </c>
      <c r="BT49" s="65">
        <f>BT48*(1+BS49)</f>
        <v/>
      </c>
      <c r="BU49" s="47">
        <f>BP49*BT49</f>
        <v/>
      </c>
      <c r="BV49" s="67">
        <f>IF(BO49&gt;0,BU49*1000000/BO49/Economy!Q49,0)</f>
        <v/>
      </c>
      <c r="BW49" s="65">
        <f>0.25*IF(D49&gt;0,H49,1)+0.15*IF(AJ49&gt;0,AN49,1)+0.03*IF(AR49&gt;0,AV49,1)+0.08*IF(AZ49&gt;0,BD49,1)+0.12*IF(BH49&gt;0,BL49,1)+0.1*IF(L49&gt;0,P49,1)+0.07*IF(T49&gt;0,X49,1)+0.05*IF(AB49&gt;0,AF49,1)+0.05*IF(BP49&gt;0,BT49,1)+0.1</f>
        <v/>
      </c>
      <c r="BX49" s="63">
        <f>MIN(mkt_cap,mkt_elast*MAX(0,BW49-1))</f>
        <v/>
      </c>
      <c r="BY49" s="47">
        <f>I49+Q49+Y49+AG49</f>
        <v/>
      </c>
      <c r="BZ49" s="47">
        <f>D49+L49+T49+AB49</f>
        <v/>
      </c>
      <c r="CA49" s="65">
        <f>IF(BZ49&gt;0,BY49/BZ49,0)</f>
        <v/>
      </c>
    </row>
    <row r="50">
      <c r="A50" s="58" t="n">
        <v>1890</v>
      </c>
      <c r="B50" s="47">
        <f>Economy!P49</f>
        <v/>
      </c>
      <c r="C50" s="45" t="n">
        <v>40000000</v>
      </c>
      <c r="D50" s="62">
        <f>Japan!B50</f>
        <v/>
      </c>
      <c r="E50" s="68" t="n">
        <v>0.588</v>
      </c>
      <c r="F50" s="47">
        <f>IF(C50&gt;0,D50*1000000/C50,0)</f>
        <v/>
      </c>
      <c r="G50" s="64">
        <f>IF(AND(E50&gt;0,F49&gt;0,B50&gt;0),MIN(conv_cap,conv_beta*jp_uplift*E50*MAX(0,LN(B50/(F49*H49)))),0)</f>
        <v/>
      </c>
      <c r="H50" s="65">
        <f>H49*(1+G50)</f>
        <v/>
      </c>
      <c r="I50" s="47">
        <f>D50*H50</f>
        <v/>
      </c>
      <c r="J50" s="67">
        <f>IF(C50&gt;0,I50*1000000/C50/Economy!Q50,0)</f>
        <v/>
      </c>
      <c r="K50" s="62">
        <f>Gulf!B50</f>
        <v/>
      </c>
      <c r="L50" s="47">
        <f>Gulf!B50*Gulf!C50*Economy!Q50/1000000</f>
        <v/>
      </c>
      <c r="M50" s="68" t="n">
        <v>0</v>
      </c>
      <c r="N50" s="47">
        <f>IF(K50&gt;0,L50*1000000/K50,0)</f>
        <v/>
      </c>
      <c r="O50" s="64">
        <f>IF(AND(M50&gt;0,N49&gt;0,B50&gt;0),MIN(conv_cap,conv_beta*1*M50*MAX(0,LN(B50/(N49*P49)))),0)</f>
        <v/>
      </c>
      <c r="P50" s="65">
        <f>P49*(1+O50)</f>
        <v/>
      </c>
      <c r="Q50" s="47">
        <f>L50*P50</f>
        <v/>
      </c>
      <c r="R50" s="67">
        <f>IF(K50&gt;0,Q50*1000000/K50/Economy!Q50,0)</f>
        <v/>
      </c>
      <c r="S50" s="62">
        <f>People!U50</f>
        <v/>
      </c>
      <c r="T50" s="45" t="n">
        <v>150</v>
      </c>
      <c r="U50" s="68" t="n">
        <v>0.423</v>
      </c>
      <c r="V50" s="47">
        <f>IF(S50&gt;0,T50*1000000/S50,0)</f>
        <v/>
      </c>
      <c r="W50" s="64">
        <f>IF(AND(U50&gt;0,V49&gt;0,B50&gt;0),MIN(conv_cap,conv_beta*1*U50*MAX(0,LN(B50/(V49*X49)))),0)</f>
        <v/>
      </c>
      <c r="X50" s="65">
        <f>X49*(1+W50)</f>
        <v/>
      </c>
      <c r="Y50" s="47">
        <f>T50*X50</f>
        <v/>
      </c>
      <c r="Z50" s="67">
        <f>IF(S50&gt;0,Y50*1000000/S50/Economy!Q50,0)</f>
        <v/>
      </c>
      <c r="AA50" s="45" t="n">
        <v>0</v>
      </c>
      <c r="AB50" s="45" t="n">
        <v>0</v>
      </c>
      <c r="AC50" s="68" t="n">
        <v>0</v>
      </c>
      <c r="AD50" s="47">
        <f>IF(AA50&gt;0,AB50*1000000/AA50,0)</f>
        <v/>
      </c>
      <c r="AE50" s="64">
        <f>IF(AND(AC50&gt;0,AD49&gt;0,B50&gt;0),MIN(conv_cap,conv_beta*1*AC50*MAX(0,LN(B50/(AD49*AF49)))),0)</f>
        <v/>
      </c>
      <c r="AF50" s="65">
        <f>AF49*(1+AE50)</f>
        <v/>
      </c>
      <c r="AG50" s="47">
        <f>AB50*AF50</f>
        <v/>
      </c>
      <c r="AH50" s="67">
        <f>IF(AA50&gt;0,AG50*1000000/AA50/Economy!Q50,0)</f>
        <v/>
      </c>
      <c r="AI50" s="45" t="n">
        <v>386000000</v>
      </c>
      <c r="AJ50" s="45" t="n">
        <v>3833</v>
      </c>
      <c r="AK50" s="68" t="n">
        <v>0.162</v>
      </c>
      <c r="AL50" s="47">
        <f>IF(AI50&gt;0,AJ50*1000000/AI50,0)</f>
        <v/>
      </c>
      <c r="AM50" s="64">
        <f>IF(AND(AK50&gt;0,AL49&gt;0,B50&gt;0),MIN(conv_cap,conv_beta*1*AK50*MAX(0,LN(B50/(AL49*AN49)))),0)</f>
        <v/>
      </c>
      <c r="AN50" s="65">
        <f>AN49*(1+AM50)</f>
        <v/>
      </c>
      <c r="AO50" s="47">
        <f>AJ50*AN50</f>
        <v/>
      </c>
      <c r="AP50" s="67">
        <f>IF(AI50&gt;0,AO50*1000000/AI50/Economy!Q50,0)</f>
        <v/>
      </c>
      <c r="AQ50" s="45" t="n">
        <v>11330000</v>
      </c>
      <c r="AR50" s="45" t="n">
        <v>217</v>
      </c>
      <c r="AS50" s="68" t="n">
        <v>0.338</v>
      </c>
      <c r="AT50" s="47">
        <f>IF(AQ50&gt;0,AR50*1000000/AQ50,0)</f>
        <v/>
      </c>
      <c r="AU50" s="64">
        <f>IF(AND(AS50&gt;0,AT49&gt;0,B50&gt;0),MIN(conv_cap,conv_beta*1*AS50*MAX(0,LN(B50/(AT49*AV49)))),0)</f>
        <v/>
      </c>
      <c r="AV50" s="65">
        <f>AV49*(1+AU50)</f>
        <v/>
      </c>
      <c r="AW50" s="47">
        <f>AR50*AV50</f>
        <v/>
      </c>
      <c r="AX50" s="67">
        <f>IF(AQ50&gt;0,AW50*1000000/AQ50/Economy!Q50,0)</f>
        <v/>
      </c>
      <c r="AY50" s="45" t="n">
        <v>70000000</v>
      </c>
      <c r="AZ50" s="45" t="n">
        <v>1633</v>
      </c>
      <c r="BA50" s="68" t="n">
        <v>0.075</v>
      </c>
      <c r="BB50" s="47">
        <f>IF(AY50&gt;0,AZ50*1000000/AY50,0)</f>
        <v/>
      </c>
      <c r="BC50" s="64">
        <f>IF(AND(BA50&gt;0,BB49&gt;0,B50&gt;0),MIN(conv_cap,conv_beta*1*BA50*MAX(0,LN(B50/(BB49*BD49)))),0)</f>
        <v/>
      </c>
      <c r="BD50" s="65">
        <f>BD49*(1+BC50)</f>
        <v/>
      </c>
      <c r="BE50" s="47">
        <f>AZ50*BD50</f>
        <v/>
      </c>
      <c r="BF50" s="67">
        <f>IF(AY50&gt;0,BE50*1000000/AY50/Economy!Q50,0)</f>
        <v/>
      </c>
      <c r="BG50" s="45" t="n">
        <v>27300000</v>
      </c>
      <c r="BH50" s="45" t="n">
        <v>1800</v>
      </c>
      <c r="BI50" s="68" t="n">
        <v>0.131</v>
      </c>
      <c r="BJ50" s="47">
        <f>IF(BG50&gt;0,BH50*1000000/BG50,0)</f>
        <v/>
      </c>
      <c r="BK50" s="64">
        <f>IF(AND(BI50&gt;0,BJ49&gt;0,B50&gt;0),MIN(conv_cap,conv_beta*1*BI50*MAX(0,LN(B50/(BJ49*BL49)))),0)</f>
        <v/>
      </c>
      <c r="BL50" s="65">
        <f>BL49*(1+BK50)</f>
        <v/>
      </c>
      <c r="BM50" s="47">
        <f>BH50*BL50</f>
        <v/>
      </c>
      <c r="BN50" s="67">
        <f>IF(BG50&gt;0,BM50*1000000/BG50/Economy!Q50,0)</f>
        <v/>
      </c>
      <c r="BO50" s="45" t="n">
        <v>13300000</v>
      </c>
      <c r="BP50" s="45" t="n">
        <v>700</v>
      </c>
      <c r="BQ50" s="68" t="n">
        <v>0</v>
      </c>
      <c r="BR50" s="47">
        <f>IF(BO50&gt;0,BP50*1000000/BO50,0)</f>
        <v/>
      </c>
      <c r="BS50" s="64">
        <f>IF(AND(BQ50&gt;0,BR49&gt;0,B50&gt;0),MIN(conv_cap,conv_beta*1*BQ50*MAX(0,LN(B50/(BR49*BT49)))),0)</f>
        <v/>
      </c>
      <c r="BT50" s="65">
        <f>BT49*(1+BS50)</f>
        <v/>
      </c>
      <c r="BU50" s="47">
        <f>BP50*BT50</f>
        <v/>
      </c>
      <c r="BV50" s="67">
        <f>IF(BO50&gt;0,BU50*1000000/BO50/Economy!Q50,0)</f>
        <v/>
      </c>
      <c r="BW50" s="65">
        <f>0.25*IF(D50&gt;0,H50,1)+0.15*IF(AJ50&gt;0,AN50,1)+0.03*IF(AR50&gt;0,AV50,1)+0.08*IF(AZ50&gt;0,BD50,1)+0.12*IF(BH50&gt;0,BL50,1)+0.1*IF(L50&gt;0,P50,1)+0.07*IF(T50&gt;0,X50,1)+0.05*IF(AB50&gt;0,AF50,1)+0.05*IF(BP50&gt;0,BT50,1)+0.1</f>
        <v/>
      </c>
      <c r="BX50" s="63">
        <f>MIN(mkt_cap,mkt_elast*MAX(0,BW50-1))</f>
        <v/>
      </c>
      <c r="BY50" s="47">
        <f>I50+Q50+Y50+AG50</f>
        <v/>
      </c>
      <c r="BZ50" s="47">
        <f>D50+L50+T50+AB50</f>
        <v/>
      </c>
      <c r="CA50" s="65">
        <f>IF(BZ50&gt;0,BY50/BZ50,0)</f>
        <v/>
      </c>
    </row>
    <row r="51">
      <c r="A51" s="58" t="n">
        <v>1891</v>
      </c>
      <c r="B51" s="47">
        <f>Economy!P50</f>
        <v/>
      </c>
      <c r="C51" s="45" t="n">
        <v>40400000</v>
      </c>
      <c r="D51" s="62">
        <f>Japan!B51</f>
        <v/>
      </c>
      <c r="E51" s="68" t="n">
        <v>0.6</v>
      </c>
      <c r="F51" s="47">
        <f>IF(C51&gt;0,D51*1000000/C51,0)</f>
        <v/>
      </c>
      <c r="G51" s="64">
        <f>IF(AND(E51&gt;0,F50&gt;0,B51&gt;0),MIN(conv_cap,conv_beta*jp_uplift*E51*MAX(0,LN(B51/(F50*H50)))),0)</f>
        <v/>
      </c>
      <c r="H51" s="65">
        <f>H50*(1+G51)</f>
        <v/>
      </c>
      <c r="I51" s="47">
        <f>D51*H51</f>
        <v/>
      </c>
      <c r="J51" s="67">
        <f>IF(C51&gt;0,I51*1000000/C51/Economy!Q51,0)</f>
        <v/>
      </c>
      <c r="K51" s="62">
        <f>Gulf!B51</f>
        <v/>
      </c>
      <c r="L51" s="47">
        <f>Gulf!B51*Gulf!C51*Economy!Q51/1000000</f>
        <v/>
      </c>
      <c r="M51" s="68" t="n">
        <v>0</v>
      </c>
      <c r="N51" s="47">
        <f>IF(K51&gt;0,L51*1000000/K51,0)</f>
        <v/>
      </c>
      <c r="O51" s="64">
        <f>IF(AND(M51&gt;0,N50&gt;0,B51&gt;0),MIN(conv_cap,conv_beta*1*M51*MAX(0,LN(B51/(N50*P50)))),0)</f>
        <v/>
      </c>
      <c r="P51" s="65">
        <f>P50*(1+O51)</f>
        <v/>
      </c>
      <c r="Q51" s="47">
        <f>L51*P51</f>
        <v/>
      </c>
      <c r="R51" s="67">
        <f>IF(K51&gt;0,Q51*1000000/K51/Economy!Q51,0)</f>
        <v/>
      </c>
      <c r="S51" s="62">
        <f>People!U51</f>
        <v/>
      </c>
      <c r="T51" s="45" t="n">
        <v>160</v>
      </c>
      <c r="U51" s="68" t="n">
        <v>0.431</v>
      </c>
      <c r="V51" s="47">
        <f>IF(S51&gt;0,T51*1000000/S51,0)</f>
        <v/>
      </c>
      <c r="W51" s="64">
        <f>IF(AND(U51&gt;0,V50&gt;0,B51&gt;0),MIN(conv_cap,conv_beta*1*U51*MAX(0,LN(B51/(V50*X50)))),0)</f>
        <v/>
      </c>
      <c r="X51" s="65">
        <f>X50*(1+W51)</f>
        <v/>
      </c>
      <c r="Y51" s="47">
        <f>T51*X51</f>
        <v/>
      </c>
      <c r="Z51" s="67">
        <f>IF(S51&gt;0,Y51*1000000/S51/Economy!Q51,0)</f>
        <v/>
      </c>
      <c r="AA51" s="45" t="n">
        <v>0</v>
      </c>
      <c r="AB51" s="45" t="n">
        <v>0</v>
      </c>
      <c r="AC51" s="68" t="n">
        <v>0</v>
      </c>
      <c r="AD51" s="47">
        <f>IF(AA51&gt;0,AB51*1000000/AA51,0)</f>
        <v/>
      </c>
      <c r="AE51" s="64">
        <f>IF(AND(AC51&gt;0,AD50&gt;0,B51&gt;0),MIN(conv_cap,conv_beta*1*AC51*MAX(0,LN(B51/(AD50*AF50)))),0)</f>
        <v/>
      </c>
      <c r="AF51" s="65">
        <f>AF50*(1+AE51)</f>
        <v/>
      </c>
      <c r="AG51" s="47">
        <f>AB51*AF51</f>
        <v/>
      </c>
      <c r="AH51" s="67">
        <f>IF(AA51&gt;0,AG51*1000000/AA51/Economy!Q51,0)</f>
        <v/>
      </c>
      <c r="AI51" s="45" t="n">
        <v>387400000</v>
      </c>
      <c r="AJ51" s="45" t="n">
        <v>3850</v>
      </c>
      <c r="AK51" s="68" t="n">
        <v>0.165</v>
      </c>
      <c r="AL51" s="47">
        <f>IF(AI51&gt;0,AJ51*1000000/AI51,0)</f>
        <v/>
      </c>
      <c r="AM51" s="64">
        <f>IF(AND(AK51&gt;0,AL50&gt;0,B51&gt;0),MIN(conv_cap,conv_beta*1*AK51*MAX(0,LN(B51/(AL50*AN50)))),0)</f>
        <v/>
      </c>
      <c r="AN51" s="65">
        <f>AN50*(1+AM51)</f>
        <v/>
      </c>
      <c r="AO51" s="47">
        <f>AJ51*AN51</f>
        <v/>
      </c>
      <c r="AP51" s="67">
        <f>IF(AI51&gt;0,AO51*1000000/AI51/Economy!Q51,0)</f>
        <v/>
      </c>
      <c r="AQ51" s="45" t="n">
        <v>11400000</v>
      </c>
      <c r="AR51" s="45" t="n">
        <v>220</v>
      </c>
      <c r="AS51" s="68" t="n">
        <v>0.35</v>
      </c>
      <c r="AT51" s="47">
        <f>IF(AQ51&gt;0,AR51*1000000/AQ51,0)</f>
        <v/>
      </c>
      <c r="AU51" s="64">
        <f>IF(AND(AS51&gt;0,AT50&gt;0,B51&gt;0),MIN(conv_cap,conv_beta*1*AS51*MAX(0,LN(B51/(AT50*AV50)))),0)</f>
        <v/>
      </c>
      <c r="AV51" s="65">
        <f>AV50*(1+AU51)</f>
        <v/>
      </c>
      <c r="AW51" s="47">
        <f>AR51*AV51</f>
        <v/>
      </c>
      <c r="AX51" s="67">
        <f>IF(AQ51&gt;0,AW51*1000000/AQ51/Economy!Q51,0)</f>
        <v/>
      </c>
      <c r="AY51" s="45" t="n">
        <v>71000000</v>
      </c>
      <c r="AZ51" s="45" t="n">
        <v>1670</v>
      </c>
      <c r="BA51" s="68" t="n">
        <v>0.078</v>
      </c>
      <c r="BB51" s="47">
        <f>IF(AY51&gt;0,AZ51*1000000/AY51,0)</f>
        <v/>
      </c>
      <c r="BC51" s="64">
        <f>IF(AND(BA51&gt;0,BB50&gt;0,B51&gt;0),MIN(conv_cap,conv_beta*1*BA51*MAX(0,LN(B51/(BB50*BD50)))),0)</f>
        <v/>
      </c>
      <c r="BD51" s="65">
        <f>BD50*(1+BC51)</f>
        <v/>
      </c>
      <c r="BE51" s="47">
        <f>AZ51*BD51</f>
        <v/>
      </c>
      <c r="BF51" s="67">
        <f>IF(AY51&gt;0,BE51*1000000/AY51/Economy!Q51,0)</f>
        <v/>
      </c>
      <c r="BG51" s="45" t="n">
        <v>27600000</v>
      </c>
      <c r="BH51" s="45" t="n">
        <v>1840</v>
      </c>
      <c r="BI51" s="68" t="n">
        <v>0.138</v>
      </c>
      <c r="BJ51" s="47">
        <f>IF(BG51&gt;0,BH51*1000000/BG51,0)</f>
        <v/>
      </c>
      <c r="BK51" s="64">
        <f>IF(AND(BI51&gt;0,BJ50&gt;0,B51&gt;0),MIN(conv_cap,conv_beta*1*BI51*MAX(0,LN(B51/(BJ50*BL50)))),0)</f>
        <v/>
      </c>
      <c r="BL51" s="65">
        <f>BL50*(1+BK51)</f>
        <v/>
      </c>
      <c r="BM51" s="47">
        <f>BH51*BL51</f>
        <v/>
      </c>
      <c r="BN51" s="67">
        <f>IF(BG51&gt;0,BM51*1000000/BG51/Economy!Q51,0)</f>
        <v/>
      </c>
      <c r="BO51" s="45" t="n">
        <v>13400000</v>
      </c>
      <c r="BP51" s="45" t="n">
        <v>710</v>
      </c>
      <c r="BQ51" s="68" t="n">
        <v>0</v>
      </c>
      <c r="BR51" s="47">
        <f>IF(BO51&gt;0,BP51*1000000/BO51,0)</f>
        <v/>
      </c>
      <c r="BS51" s="64">
        <f>IF(AND(BQ51&gt;0,BR50&gt;0,B51&gt;0),MIN(conv_cap,conv_beta*1*BQ51*MAX(0,LN(B51/(BR50*BT50)))),0)</f>
        <v/>
      </c>
      <c r="BT51" s="65">
        <f>BT50*(1+BS51)</f>
        <v/>
      </c>
      <c r="BU51" s="47">
        <f>BP51*BT51</f>
        <v/>
      </c>
      <c r="BV51" s="67">
        <f>IF(BO51&gt;0,BU51*1000000/BO51/Economy!Q51,0)</f>
        <v/>
      </c>
      <c r="BW51" s="65">
        <f>0.25*IF(D51&gt;0,H51,1)+0.15*IF(AJ51&gt;0,AN51,1)+0.03*IF(AR51&gt;0,AV51,1)+0.08*IF(AZ51&gt;0,BD51,1)+0.12*IF(BH51&gt;0,BL51,1)+0.1*IF(L51&gt;0,P51,1)+0.07*IF(T51&gt;0,X51,1)+0.05*IF(AB51&gt;0,AF51,1)+0.05*IF(BP51&gt;0,BT51,1)+0.1</f>
        <v/>
      </c>
      <c r="BX51" s="63">
        <f>MIN(mkt_cap,mkt_elast*MAX(0,BW51-1))</f>
        <v/>
      </c>
      <c r="BY51" s="47">
        <f>I51+Q51+Y51+AG51</f>
        <v/>
      </c>
      <c r="BZ51" s="47">
        <f>D51+L51+T51+AB51</f>
        <v/>
      </c>
      <c r="CA51" s="65">
        <f>IF(BZ51&gt;0,BY51/BZ51,0)</f>
        <v/>
      </c>
    </row>
    <row r="52">
      <c r="A52" s="58" t="n">
        <v>1892</v>
      </c>
      <c r="B52" s="47">
        <f>Economy!P51</f>
        <v/>
      </c>
      <c r="C52" s="45" t="n">
        <v>40800000</v>
      </c>
      <c r="D52" s="62">
        <f>Japan!B52</f>
        <v/>
      </c>
      <c r="E52" s="68" t="n">
        <v>0.613</v>
      </c>
      <c r="F52" s="47">
        <f>IF(C52&gt;0,D52*1000000/C52,0)</f>
        <v/>
      </c>
      <c r="G52" s="64">
        <f>IF(AND(E52&gt;0,F51&gt;0,B52&gt;0),MIN(conv_cap,conv_beta*jp_uplift*E52*MAX(0,LN(B52/(F51*H51)))),0)</f>
        <v/>
      </c>
      <c r="H52" s="65">
        <f>H51*(1+G52)</f>
        <v/>
      </c>
      <c r="I52" s="47">
        <f>D52*H52</f>
        <v/>
      </c>
      <c r="J52" s="67">
        <f>IF(C52&gt;0,I52*1000000/C52/Economy!Q52,0)</f>
        <v/>
      </c>
      <c r="K52" s="62">
        <f>Gulf!B52</f>
        <v/>
      </c>
      <c r="L52" s="47">
        <f>Gulf!B52*Gulf!C52*Economy!Q52/1000000</f>
        <v/>
      </c>
      <c r="M52" s="68" t="n">
        <v>0</v>
      </c>
      <c r="N52" s="47">
        <f>IF(K52&gt;0,L52*1000000/K52,0)</f>
        <v/>
      </c>
      <c r="O52" s="64">
        <f>IF(AND(M52&gt;0,N51&gt;0,B52&gt;0),MIN(conv_cap,conv_beta*1*M52*MAX(0,LN(B52/(N51*P51)))),0)</f>
        <v/>
      </c>
      <c r="P52" s="65">
        <f>P51*(1+O52)</f>
        <v/>
      </c>
      <c r="Q52" s="47">
        <f>L52*P52</f>
        <v/>
      </c>
      <c r="R52" s="67">
        <f>IF(K52&gt;0,Q52*1000000/K52/Economy!Q52,0)</f>
        <v/>
      </c>
      <c r="S52" s="62">
        <f>People!U52</f>
        <v/>
      </c>
      <c r="T52" s="45" t="n">
        <v>170</v>
      </c>
      <c r="U52" s="68" t="n">
        <v>0.438</v>
      </c>
      <c r="V52" s="47">
        <f>IF(S52&gt;0,T52*1000000/S52,0)</f>
        <v/>
      </c>
      <c r="W52" s="64">
        <f>IF(AND(U52&gt;0,V51&gt;0,B52&gt;0),MIN(conv_cap,conv_beta*1*U52*MAX(0,LN(B52/(V51*X51)))),0)</f>
        <v/>
      </c>
      <c r="X52" s="65">
        <f>X51*(1+W52)</f>
        <v/>
      </c>
      <c r="Y52" s="47">
        <f>T52*X52</f>
        <v/>
      </c>
      <c r="Z52" s="67">
        <f>IF(S52&gt;0,Y52*1000000/S52/Economy!Q52,0)</f>
        <v/>
      </c>
      <c r="AA52" s="45" t="n">
        <v>0</v>
      </c>
      <c r="AB52" s="45" t="n">
        <v>0</v>
      </c>
      <c r="AC52" s="68" t="n">
        <v>0</v>
      </c>
      <c r="AD52" s="47">
        <f>IF(AA52&gt;0,AB52*1000000/AA52,0)</f>
        <v/>
      </c>
      <c r="AE52" s="64">
        <f>IF(AND(AC52&gt;0,AD51&gt;0,B52&gt;0),MIN(conv_cap,conv_beta*1*AC52*MAX(0,LN(B52/(AD51*AF51)))),0)</f>
        <v/>
      </c>
      <c r="AF52" s="65">
        <f>AF51*(1+AE52)</f>
        <v/>
      </c>
      <c r="AG52" s="47">
        <f>AB52*AF52</f>
        <v/>
      </c>
      <c r="AH52" s="67">
        <f>IF(AA52&gt;0,AG52*1000000/AA52/Economy!Q52,0)</f>
        <v/>
      </c>
      <c r="AI52" s="45" t="n">
        <v>388800000</v>
      </c>
      <c r="AJ52" s="45" t="n">
        <v>3867</v>
      </c>
      <c r="AK52" s="68" t="n">
        <v>0.169</v>
      </c>
      <c r="AL52" s="47">
        <f>IF(AI52&gt;0,AJ52*1000000/AI52,0)</f>
        <v/>
      </c>
      <c r="AM52" s="64">
        <f>IF(AND(AK52&gt;0,AL51&gt;0,B52&gt;0),MIN(conv_cap,conv_beta*1*AK52*MAX(0,LN(B52/(AL51*AN51)))),0)</f>
        <v/>
      </c>
      <c r="AN52" s="65">
        <f>AN51*(1+AM52)</f>
        <v/>
      </c>
      <c r="AO52" s="47">
        <f>AJ52*AN52</f>
        <v/>
      </c>
      <c r="AP52" s="67">
        <f>IF(AI52&gt;0,AO52*1000000/AI52/Economy!Q52,0)</f>
        <v/>
      </c>
      <c r="AQ52" s="45" t="n">
        <v>11470000</v>
      </c>
      <c r="AR52" s="45" t="n">
        <v>223</v>
      </c>
      <c r="AS52" s="68" t="n">
        <v>0.363</v>
      </c>
      <c r="AT52" s="47">
        <f>IF(AQ52&gt;0,AR52*1000000/AQ52,0)</f>
        <v/>
      </c>
      <c r="AU52" s="64">
        <f>IF(AND(AS52&gt;0,AT51&gt;0,B52&gt;0),MIN(conv_cap,conv_beta*1*AS52*MAX(0,LN(B52/(AT51*AV51)))),0)</f>
        <v/>
      </c>
      <c r="AV52" s="65">
        <f>AV51*(1+AU52)</f>
        <v/>
      </c>
      <c r="AW52" s="47">
        <f>AR52*AV52</f>
        <v/>
      </c>
      <c r="AX52" s="67">
        <f>IF(AQ52&gt;0,AW52*1000000/AQ52/Economy!Q52,0)</f>
        <v/>
      </c>
      <c r="AY52" s="45" t="n">
        <v>72000000</v>
      </c>
      <c r="AZ52" s="45" t="n">
        <v>1707</v>
      </c>
      <c r="BA52" s="68" t="n">
        <v>0.08</v>
      </c>
      <c r="BB52" s="47">
        <f>IF(AY52&gt;0,AZ52*1000000/AY52,0)</f>
        <v/>
      </c>
      <c r="BC52" s="64">
        <f>IF(AND(BA52&gt;0,BB51&gt;0,B52&gt;0),MIN(conv_cap,conv_beta*1*BA52*MAX(0,LN(B52/(BB51*BD51)))),0)</f>
        <v/>
      </c>
      <c r="BD52" s="65">
        <f>BD51*(1+BC52)</f>
        <v/>
      </c>
      <c r="BE52" s="47">
        <f>AZ52*BD52</f>
        <v/>
      </c>
      <c r="BF52" s="67">
        <f>IF(AY52&gt;0,BE52*1000000/AY52/Economy!Q52,0)</f>
        <v/>
      </c>
      <c r="BG52" s="45" t="n">
        <v>27900000</v>
      </c>
      <c r="BH52" s="45" t="n">
        <v>1880</v>
      </c>
      <c r="BI52" s="68" t="n">
        <v>0.144</v>
      </c>
      <c r="BJ52" s="47">
        <f>IF(BG52&gt;0,BH52*1000000/BG52,0)</f>
        <v/>
      </c>
      <c r="BK52" s="64">
        <f>IF(AND(BI52&gt;0,BJ51&gt;0,B52&gt;0),MIN(conv_cap,conv_beta*1*BI52*MAX(0,LN(B52/(BJ51*BL51)))),0)</f>
        <v/>
      </c>
      <c r="BL52" s="65">
        <f>BL51*(1+BK52)</f>
        <v/>
      </c>
      <c r="BM52" s="47">
        <f>BH52*BL52</f>
        <v/>
      </c>
      <c r="BN52" s="67">
        <f>IF(BG52&gt;0,BM52*1000000/BG52/Economy!Q52,0)</f>
        <v/>
      </c>
      <c r="BO52" s="45" t="n">
        <v>13500000</v>
      </c>
      <c r="BP52" s="45" t="n">
        <v>720</v>
      </c>
      <c r="BQ52" s="68" t="n">
        <v>0</v>
      </c>
      <c r="BR52" s="47">
        <f>IF(BO52&gt;0,BP52*1000000/BO52,0)</f>
        <v/>
      </c>
      <c r="BS52" s="64">
        <f>IF(AND(BQ52&gt;0,BR51&gt;0,B52&gt;0),MIN(conv_cap,conv_beta*1*BQ52*MAX(0,LN(B52/(BR51*BT51)))),0)</f>
        <v/>
      </c>
      <c r="BT52" s="65">
        <f>BT51*(1+BS52)</f>
        <v/>
      </c>
      <c r="BU52" s="47">
        <f>BP52*BT52</f>
        <v/>
      </c>
      <c r="BV52" s="67">
        <f>IF(BO52&gt;0,BU52*1000000/BO52/Economy!Q52,0)</f>
        <v/>
      </c>
      <c r="BW52" s="65">
        <f>0.25*IF(D52&gt;0,H52,1)+0.15*IF(AJ52&gt;0,AN52,1)+0.03*IF(AR52&gt;0,AV52,1)+0.08*IF(AZ52&gt;0,BD52,1)+0.12*IF(BH52&gt;0,BL52,1)+0.1*IF(L52&gt;0,P52,1)+0.07*IF(T52&gt;0,X52,1)+0.05*IF(AB52&gt;0,AF52,1)+0.05*IF(BP52&gt;0,BT52,1)+0.1</f>
        <v/>
      </c>
      <c r="BX52" s="63">
        <f>MIN(mkt_cap,mkt_elast*MAX(0,BW52-1))</f>
        <v/>
      </c>
      <c r="BY52" s="47">
        <f>I52+Q52+Y52+AG52</f>
        <v/>
      </c>
      <c r="BZ52" s="47">
        <f>D52+L52+T52+AB52</f>
        <v/>
      </c>
      <c r="CA52" s="65">
        <f>IF(BZ52&gt;0,BY52/BZ52,0)</f>
        <v/>
      </c>
    </row>
    <row r="53">
      <c r="A53" s="58" t="n">
        <v>1893</v>
      </c>
      <c r="B53" s="47">
        <f>Economy!P52</f>
        <v/>
      </c>
      <c r="C53" s="45" t="n">
        <v>41200000</v>
      </c>
      <c r="D53" s="62">
        <f>Japan!B53</f>
        <v/>
      </c>
      <c r="E53" s="68" t="n">
        <v>0.625</v>
      </c>
      <c r="F53" s="47">
        <f>IF(C53&gt;0,D53*1000000/C53,0)</f>
        <v/>
      </c>
      <c r="G53" s="64">
        <f>IF(AND(E53&gt;0,F52&gt;0,B53&gt;0),MIN(conv_cap,conv_beta*jp_uplift*E53*MAX(0,LN(B53/(F52*H52)))),0)</f>
        <v/>
      </c>
      <c r="H53" s="65">
        <f>H52*(1+G53)</f>
        <v/>
      </c>
      <c r="I53" s="47">
        <f>D53*H53</f>
        <v/>
      </c>
      <c r="J53" s="67">
        <f>IF(C53&gt;0,I53*1000000/C53/Economy!Q53,0)</f>
        <v/>
      </c>
      <c r="K53" s="62">
        <f>Gulf!B53</f>
        <v/>
      </c>
      <c r="L53" s="47">
        <f>Gulf!B53*Gulf!C53*Economy!Q53/1000000</f>
        <v/>
      </c>
      <c r="M53" s="68" t="n">
        <v>0</v>
      </c>
      <c r="N53" s="47">
        <f>IF(K53&gt;0,L53*1000000/K53,0)</f>
        <v/>
      </c>
      <c r="O53" s="64">
        <f>IF(AND(M53&gt;0,N52&gt;0,B53&gt;0),MIN(conv_cap,conv_beta*1*M53*MAX(0,LN(B53/(N52*P52)))),0)</f>
        <v/>
      </c>
      <c r="P53" s="65">
        <f>P52*(1+O53)</f>
        <v/>
      </c>
      <c r="Q53" s="47">
        <f>L53*P53</f>
        <v/>
      </c>
      <c r="R53" s="67">
        <f>IF(K53&gt;0,Q53*1000000/K53/Economy!Q53,0)</f>
        <v/>
      </c>
      <c r="S53" s="62">
        <f>People!U53</f>
        <v/>
      </c>
      <c r="T53" s="45" t="n">
        <v>180</v>
      </c>
      <c r="U53" s="68" t="n">
        <v>0.446</v>
      </c>
      <c r="V53" s="47">
        <f>IF(S53&gt;0,T53*1000000/S53,0)</f>
        <v/>
      </c>
      <c r="W53" s="64">
        <f>IF(AND(U53&gt;0,V52&gt;0,B53&gt;0),MIN(conv_cap,conv_beta*1*U53*MAX(0,LN(B53/(V52*X52)))),0)</f>
        <v/>
      </c>
      <c r="X53" s="65">
        <f>X52*(1+W53)</f>
        <v/>
      </c>
      <c r="Y53" s="47">
        <f>T53*X53</f>
        <v/>
      </c>
      <c r="Z53" s="67">
        <f>IF(S53&gt;0,Y53*1000000/S53/Economy!Q53,0)</f>
        <v/>
      </c>
      <c r="AA53" s="45" t="n">
        <v>0</v>
      </c>
      <c r="AB53" s="45" t="n">
        <v>0</v>
      </c>
      <c r="AC53" s="68" t="n">
        <v>0</v>
      </c>
      <c r="AD53" s="47">
        <f>IF(AA53&gt;0,AB53*1000000/AA53,0)</f>
        <v/>
      </c>
      <c r="AE53" s="64">
        <f>IF(AND(AC53&gt;0,AD52&gt;0,B53&gt;0),MIN(conv_cap,conv_beta*1*AC53*MAX(0,LN(B53/(AD52*AF52)))),0)</f>
        <v/>
      </c>
      <c r="AF53" s="65">
        <f>AF52*(1+AE53)</f>
        <v/>
      </c>
      <c r="AG53" s="47">
        <f>AB53*AF53</f>
        <v/>
      </c>
      <c r="AH53" s="67">
        <f>IF(AA53&gt;0,AG53*1000000/AA53/Economy!Q53,0)</f>
        <v/>
      </c>
      <c r="AI53" s="45" t="n">
        <v>390200000</v>
      </c>
      <c r="AJ53" s="45" t="n">
        <v>3883</v>
      </c>
      <c r="AK53" s="68" t="n">
        <v>0.173</v>
      </c>
      <c r="AL53" s="47">
        <f>IF(AI53&gt;0,AJ53*1000000/AI53,0)</f>
        <v/>
      </c>
      <c r="AM53" s="64">
        <f>IF(AND(AK53&gt;0,AL52&gt;0,B53&gt;0),MIN(conv_cap,conv_beta*1*AK53*MAX(0,LN(B53/(AL52*AN52)))),0)</f>
        <v/>
      </c>
      <c r="AN53" s="65">
        <f>AN52*(1+AM53)</f>
        <v/>
      </c>
      <c r="AO53" s="47">
        <f>AJ53*AN53</f>
        <v/>
      </c>
      <c r="AP53" s="67">
        <f>IF(AI53&gt;0,AO53*1000000/AI53/Economy!Q53,0)</f>
        <v/>
      </c>
      <c r="AQ53" s="45" t="n">
        <v>11530000</v>
      </c>
      <c r="AR53" s="45" t="n">
        <v>227</v>
      </c>
      <c r="AS53" s="68" t="n">
        <v>0.375</v>
      </c>
      <c r="AT53" s="47">
        <f>IF(AQ53&gt;0,AR53*1000000/AQ53,0)</f>
        <v/>
      </c>
      <c r="AU53" s="64">
        <f>IF(AND(AS53&gt;0,AT52&gt;0,B53&gt;0),MIN(conv_cap,conv_beta*1*AS53*MAX(0,LN(B53/(AT52*AV52)))),0)</f>
        <v/>
      </c>
      <c r="AV53" s="65">
        <f>AV52*(1+AU53)</f>
        <v/>
      </c>
      <c r="AW53" s="47">
        <f>AR53*AV53</f>
        <v/>
      </c>
      <c r="AX53" s="67">
        <f>IF(AQ53&gt;0,AW53*1000000/AQ53/Economy!Q53,0)</f>
        <v/>
      </c>
      <c r="AY53" s="45" t="n">
        <v>73000000</v>
      </c>
      <c r="AZ53" s="45" t="n">
        <v>1743</v>
      </c>
      <c r="BA53" s="68" t="n">
        <v>0.083</v>
      </c>
      <c r="BB53" s="47">
        <f>IF(AY53&gt;0,AZ53*1000000/AY53,0)</f>
        <v/>
      </c>
      <c r="BC53" s="64">
        <f>IF(AND(BA53&gt;0,BB52&gt;0,B53&gt;0),MIN(conv_cap,conv_beta*1*BA53*MAX(0,LN(B53/(BB52*BD52)))),0)</f>
        <v/>
      </c>
      <c r="BD53" s="65">
        <f>BD52*(1+BC53)</f>
        <v/>
      </c>
      <c r="BE53" s="47">
        <f>AZ53*BD53</f>
        <v/>
      </c>
      <c r="BF53" s="67">
        <f>IF(AY53&gt;0,BE53*1000000/AY53/Economy!Q53,0)</f>
        <v/>
      </c>
      <c r="BG53" s="45" t="n">
        <v>28100000</v>
      </c>
      <c r="BH53" s="45" t="n">
        <v>1920</v>
      </c>
      <c r="BI53" s="68" t="n">
        <v>0.15</v>
      </c>
      <c r="BJ53" s="47">
        <f>IF(BG53&gt;0,BH53*1000000/BG53,0)</f>
        <v/>
      </c>
      <c r="BK53" s="64">
        <f>IF(AND(BI53&gt;0,BJ52&gt;0,B53&gt;0),MIN(conv_cap,conv_beta*1*BI53*MAX(0,LN(B53/(BJ52*BL52)))),0)</f>
        <v/>
      </c>
      <c r="BL53" s="65">
        <f>BL52*(1+BK53)</f>
        <v/>
      </c>
      <c r="BM53" s="47">
        <f>BH53*BL53</f>
        <v/>
      </c>
      <c r="BN53" s="67">
        <f>IF(BG53&gt;0,BM53*1000000/BG53/Economy!Q53,0)</f>
        <v/>
      </c>
      <c r="BO53" s="45" t="n">
        <v>13500000</v>
      </c>
      <c r="BP53" s="45" t="n">
        <v>730</v>
      </c>
      <c r="BQ53" s="68" t="n">
        <v>0</v>
      </c>
      <c r="BR53" s="47">
        <f>IF(BO53&gt;0,BP53*1000000/BO53,0)</f>
        <v/>
      </c>
      <c r="BS53" s="64">
        <f>IF(AND(BQ53&gt;0,BR52&gt;0,B53&gt;0),MIN(conv_cap,conv_beta*1*BQ53*MAX(0,LN(B53/(BR52*BT52)))),0)</f>
        <v/>
      </c>
      <c r="BT53" s="65">
        <f>BT52*(1+BS53)</f>
        <v/>
      </c>
      <c r="BU53" s="47">
        <f>BP53*BT53</f>
        <v/>
      </c>
      <c r="BV53" s="67">
        <f>IF(BO53&gt;0,BU53*1000000/BO53/Economy!Q53,0)</f>
        <v/>
      </c>
      <c r="BW53" s="65">
        <f>0.25*IF(D53&gt;0,H53,1)+0.15*IF(AJ53&gt;0,AN53,1)+0.03*IF(AR53&gt;0,AV53,1)+0.08*IF(AZ53&gt;0,BD53,1)+0.12*IF(BH53&gt;0,BL53,1)+0.1*IF(L53&gt;0,P53,1)+0.07*IF(T53&gt;0,X53,1)+0.05*IF(AB53&gt;0,AF53,1)+0.05*IF(BP53&gt;0,BT53,1)+0.1</f>
        <v/>
      </c>
      <c r="BX53" s="63">
        <f>MIN(mkt_cap,mkt_elast*MAX(0,BW53-1))</f>
        <v/>
      </c>
      <c r="BY53" s="47">
        <f>I53+Q53+Y53+AG53</f>
        <v/>
      </c>
      <c r="BZ53" s="47">
        <f>D53+L53+T53+AB53</f>
        <v/>
      </c>
      <c r="CA53" s="65">
        <f>IF(BZ53&gt;0,BY53/BZ53,0)</f>
        <v/>
      </c>
    </row>
    <row r="54">
      <c r="A54" s="58" t="n">
        <v>1894</v>
      </c>
      <c r="B54" s="47">
        <f>Economy!P53</f>
        <v/>
      </c>
      <c r="C54" s="45" t="n">
        <v>41600000</v>
      </c>
      <c r="D54" s="62">
        <f>Japan!B54</f>
        <v/>
      </c>
      <c r="E54" s="68" t="n">
        <v>0.638</v>
      </c>
      <c r="F54" s="47">
        <f>IF(C54&gt;0,D54*1000000/C54,0)</f>
        <v/>
      </c>
      <c r="G54" s="64">
        <f>IF(AND(E54&gt;0,F53&gt;0,B54&gt;0),MIN(conv_cap,conv_beta*jp_uplift*E54*MAX(0,LN(B54/(F53*H53)))),0)</f>
        <v/>
      </c>
      <c r="H54" s="65">
        <f>H53*(1+G54)</f>
        <v/>
      </c>
      <c r="I54" s="47">
        <f>D54*H54</f>
        <v/>
      </c>
      <c r="J54" s="67">
        <f>IF(C54&gt;0,I54*1000000/C54/Economy!Q54,0)</f>
        <v/>
      </c>
      <c r="K54" s="62">
        <f>Gulf!B54</f>
        <v/>
      </c>
      <c r="L54" s="47">
        <f>Gulf!B54*Gulf!C54*Economy!Q54/1000000</f>
        <v/>
      </c>
      <c r="M54" s="68" t="n">
        <v>0</v>
      </c>
      <c r="N54" s="47">
        <f>IF(K54&gt;0,L54*1000000/K54,0)</f>
        <v/>
      </c>
      <c r="O54" s="64">
        <f>IF(AND(M54&gt;0,N53&gt;0,B54&gt;0),MIN(conv_cap,conv_beta*1*M54*MAX(0,LN(B54/(N53*P53)))),0)</f>
        <v/>
      </c>
      <c r="P54" s="65">
        <f>P53*(1+O54)</f>
        <v/>
      </c>
      <c r="Q54" s="47">
        <f>L54*P54</f>
        <v/>
      </c>
      <c r="R54" s="67">
        <f>IF(K54&gt;0,Q54*1000000/K54/Economy!Q54,0)</f>
        <v/>
      </c>
      <c r="S54" s="62">
        <f>People!U54</f>
        <v/>
      </c>
      <c r="T54" s="45" t="n">
        <v>190</v>
      </c>
      <c r="U54" s="68" t="n">
        <v>0.454</v>
      </c>
      <c r="V54" s="47">
        <f>IF(S54&gt;0,T54*1000000/S54,0)</f>
        <v/>
      </c>
      <c r="W54" s="64">
        <f>IF(AND(U54&gt;0,V53&gt;0,B54&gt;0),MIN(conv_cap,conv_beta*1*U54*MAX(0,LN(B54/(V53*X53)))),0)</f>
        <v/>
      </c>
      <c r="X54" s="65">
        <f>X53*(1+W54)</f>
        <v/>
      </c>
      <c r="Y54" s="47">
        <f>T54*X54</f>
        <v/>
      </c>
      <c r="Z54" s="67">
        <f>IF(S54&gt;0,Y54*1000000/S54/Economy!Q54,0)</f>
        <v/>
      </c>
      <c r="AA54" s="45" t="n">
        <v>0</v>
      </c>
      <c r="AB54" s="45" t="n">
        <v>0</v>
      </c>
      <c r="AC54" s="68" t="n">
        <v>0</v>
      </c>
      <c r="AD54" s="47">
        <f>IF(AA54&gt;0,AB54*1000000/AA54,0)</f>
        <v/>
      </c>
      <c r="AE54" s="64">
        <f>IF(AND(AC54&gt;0,AD53&gt;0,B54&gt;0),MIN(conv_cap,conv_beta*1*AC54*MAX(0,LN(B54/(AD53*AF53)))),0)</f>
        <v/>
      </c>
      <c r="AF54" s="65">
        <f>AF53*(1+AE54)</f>
        <v/>
      </c>
      <c r="AG54" s="47">
        <f>AB54*AF54</f>
        <v/>
      </c>
      <c r="AH54" s="67">
        <f>IF(AA54&gt;0,AG54*1000000/AA54/Economy!Q54,0)</f>
        <v/>
      </c>
      <c r="AI54" s="45" t="n">
        <v>391600000</v>
      </c>
      <c r="AJ54" s="45" t="n">
        <v>3900</v>
      </c>
      <c r="AK54" s="68" t="n">
        <v>0.177</v>
      </c>
      <c r="AL54" s="47">
        <f>IF(AI54&gt;0,AJ54*1000000/AI54,0)</f>
        <v/>
      </c>
      <c r="AM54" s="64">
        <f>IF(AND(AK54&gt;0,AL53&gt;0,B54&gt;0),MIN(conv_cap,conv_beta*1*AK54*MAX(0,LN(B54/(AL53*AN53)))),0)</f>
        <v/>
      </c>
      <c r="AN54" s="65">
        <f>AN53*(1+AM54)</f>
        <v/>
      </c>
      <c r="AO54" s="47">
        <f>AJ54*AN54</f>
        <v/>
      </c>
      <c r="AP54" s="67">
        <f>IF(AI54&gt;0,AO54*1000000/AI54/Economy!Q54,0)</f>
        <v/>
      </c>
      <c r="AQ54" s="45" t="n">
        <v>11600000</v>
      </c>
      <c r="AR54" s="45" t="n">
        <v>230</v>
      </c>
      <c r="AS54" s="68" t="n">
        <v>0.388</v>
      </c>
      <c r="AT54" s="47">
        <f>IF(AQ54&gt;0,AR54*1000000/AQ54,0)</f>
        <v/>
      </c>
      <c r="AU54" s="64">
        <f>IF(AND(AS54&gt;0,AT53&gt;0,B54&gt;0),MIN(conv_cap,conv_beta*1*AS54*MAX(0,LN(B54/(AT53*AV53)))),0)</f>
        <v/>
      </c>
      <c r="AV54" s="65">
        <f>AV53*(1+AU54)</f>
        <v/>
      </c>
      <c r="AW54" s="47">
        <f>AR54*AV54</f>
        <v/>
      </c>
      <c r="AX54" s="67">
        <f>IF(AQ54&gt;0,AW54*1000000/AQ54/Economy!Q54,0)</f>
        <v/>
      </c>
      <c r="AY54" s="45" t="n">
        <v>74000000</v>
      </c>
      <c r="AZ54" s="45" t="n">
        <v>1780</v>
      </c>
      <c r="BA54" s="68" t="n">
        <v>0.08500000000000001</v>
      </c>
      <c r="BB54" s="47">
        <f>IF(AY54&gt;0,AZ54*1000000/AY54,0)</f>
        <v/>
      </c>
      <c r="BC54" s="64">
        <f>IF(AND(BA54&gt;0,BB53&gt;0,B54&gt;0),MIN(conv_cap,conv_beta*1*BA54*MAX(0,LN(B54/(BB53*BD53)))),0)</f>
        <v/>
      </c>
      <c r="BD54" s="65">
        <f>BD53*(1+BC54)</f>
        <v/>
      </c>
      <c r="BE54" s="47">
        <f>AZ54*BD54</f>
        <v/>
      </c>
      <c r="BF54" s="67">
        <f>IF(AY54&gt;0,BE54*1000000/AY54/Economy!Q54,0)</f>
        <v/>
      </c>
      <c r="BG54" s="45" t="n">
        <v>28400000</v>
      </c>
      <c r="BH54" s="45" t="n">
        <v>1960</v>
      </c>
      <c r="BI54" s="68" t="n">
        <v>0.156</v>
      </c>
      <c r="BJ54" s="47">
        <f>IF(BG54&gt;0,BH54*1000000/BG54,0)</f>
        <v/>
      </c>
      <c r="BK54" s="64">
        <f>IF(AND(BI54&gt;0,BJ53&gt;0,B54&gt;0),MIN(conv_cap,conv_beta*1*BI54*MAX(0,LN(B54/(BJ53*BL53)))),0)</f>
        <v/>
      </c>
      <c r="BL54" s="65">
        <f>BL53*(1+BK54)</f>
        <v/>
      </c>
      <c r="BM54" s="47">
        <f>BH54*BL54</f>
        <v/>
      </c>
      <c r="BN54" s="67">
        <f>IF(BG54&gt;0,BM54*1000000/BG54/Economy!Q54,0)</f>
        <v/>
      </c>
      <c r="BO54" s="45" t="n">
        <v>13600000</v>
      </c>
      <c r="BP54" s="45" t="n">
        <v>740</v>
      </c>
      <c r="BQ54" s="68" t="n">
        <v>0</v>
      </c>
      <c r="BR54" s="47">
        <f>IF(BO54&gt;0,BP54*1000000/BO54,0)</f>
        <v/>
      </c>
      <c r="BS54" s="64">
        <f>IF(AND(BQ54&gt;0,BR53&gt;0,B54&gt;0),MIN(conv_cap,conv_beta*1*BQ54*MAX(0,LN(B54/(BR53*BT53)))),0)</f>
        <v/>
      </c>
      <c r="BT54" s="65">
        <f>BT53*(1+BS54)</f>
        <v/>
      </c>
      <c r="BU54" s="47">
        <f>BP54*BT54</f>
        <v/>
      </c>
      <c r="BV54" s="67">
        <f>IF(BO54&gt;0,BU54*1000000/BO54/Economy!Q54,0)</f>
        <v/>
      </c>
      <c r="BW54" s="65">
        <f>0.25*IF(D54&gt;0,H54,1)+0.15*IF(AJ54&gt;0,AN54,1)+0.03*IF(AR54&gt;0,AV54,1)+0.08*IF(AZ54&gt;0,BD54,1)+0.12*IF(BH54&gt;0,BL54,1)+0.1*IF(L54&gt;0,P54,1)+0.07*IF(T54&gt;0,X54,1)+0.05*IF(AB54&gt;0,AF54,1)+0.05*IF(BP54&gt;0,BT54,1)+0.1</f>
        <v/>
      </c>
      <c r="BX54" s="63">
        <f>MIN(mkt_cap,mkt_elast*MAX(0,BW54-1))</f>
        <v/>
      </c>
      <c r="BY54" s="47">
        <f>I54+Q54+Y54+AG54</f>
        <v/>
      </c>
      <c r="BZ54" s="47">
        <f>D54+L54+T54+AB54</f>
        <v/>
      </c>
      <c r="CA54" s="65">
        <f>IF(BZ54&gt;0,BY54/BZ54,0)</f>
        <v/>
      </c>
    </row>
    <row r="55">
      <c r="A55" s="58" t="n">
        <v>1895</v>
      </c>
      <c r="B55" s="47">
        <f>Economy!P54</f>
        <v/>
      </c>
      <c r="C55" s="45" t="n">
        <v>42000000</v>
      </c>
      <c r="D55" s="62">
        <f>Japan!B55</f>
        <v/>
      </c>
      <c r="E55" s="68" t="n">
        <v>0.65</v>
      </c>
      <c r="F55" s="47">
        <f>IF(C55&gt;0,D55*1000000/C55,0)</f>
        <v/>
      </c>
      <c r="G55" s="64">
        <f>IF(AND(E55&gt;0,F54&gt;0,B55&gt;0),MIN(conv_cap,conv_beta*jp_uplift*E55*MAX(0,LN(B55/(F54*H54)))),0)</f>
        <v/>
      </c>
      <c r="H55" s="65">
        <f>H54*(1+G55)</f>
        <v/>
      </c>
      <c r="I55" s="47">
        <f>D55*H55</f>
        <v/>
      </c>
      <c r="J55" s="67">
        <f>IF(C55&gt;0,I55*1000000/C55/Economy!Q55,0)</f>
        <v/>
      </c>
      <c r="K55" s="62">
        <f>Gulf!B55</f>
        <v/>
      </c>
      <c r="L55" s="47">
        <f>Gulf!B55*Gulf!C55*Economy!Q55/1000000</f>
        <v/>
      </c>
      <c r="M55" s="68" t="n">
        <v>0.3</v>
      </c>
      <c r="N55" s="47">
        <f>IF(K55&gt;0,L55*1000000/K55,0)</f>
        <v/>
      </c>
      <c r="O55" s="64">
        <f>IF(AND(M55&gt;0,N54&gt;0,B55&gt;0),MIN(conv_cap,conv_beta*1*M55*MAX(0,LN(B55/(N54*P54)))),0)</f>
        <v/>
      </c>
      <c r="P55" s="65">
        <f>P54*(1+O55)</f>
        <v/>
      </c>
      <c r="Q55" s="47">
        <f>L55*P55</f>
        <v/>
      </c>
      <c r="R55" s="67">
        <f>IF(K55&gt;0,Q55*1000000/K55/Economy!Q55,0)</f>
        <v/>
      </c>
      <c r="S55" s="62">
        <f>People!U55</f>
        <v/>
      </c>
      <c r="T55" s="45" t="n">
        <v>200</v>
      </c>
      <c r="U55" s="68" t="n">
        <v>0.462</v>
      </c>
      <c r="V55" s="47">
        <f>IF(S55&gt;0,T55*1000000/S55,0)</f>
        <v/>
      </c>
      <c r="W55" s="64">
        <f>IF(AND(U55&gt;0,V54&gt;0,B55&gt;0),MIN(conv_cap,conv_beta*1*U55*MAX(0,LN(B55/(V54*X54)))),0)</f>
        <v/>
      </c>
      <c r="X55" s="65">
        <f>X54*(1+W55)</f>
        <v/>
      </c>
      <c r="Y55" s="47">
        <f>T55*X55</f>
        <v/>
      </c>
      <c r="Z55" s="67">
        <f>IF(S55&gt;0,Y55*1000000/S55/Economy!Q55,0)</f>
        <v/>
      </c>
      <c r="AA55" s="45" t="n">
        <v>0</v>
      </c>
      <c r="AB55" s="45" t="n">
        <v>0</v>
      </c>
      <c r="AC55" s="68" t="n">
        <v>0</v>
      </c>
      <c r="AD55" s="47">
        <f>IF(AA55&gt;0,AB55*1000000/AA55,0)</f>
        <v/>
      </c>
      <c r="AE55" s="64">
        <f>IF(AND(AC55&gt;0,AD54&gt;0,B55&gt;0),MIN(conv_cap,conv_beta*1*AC55*MAX(0,LN(B55/(AD54*AF54)))),0)</f>
        <v/>
      </c>
      <c r="AF55" s="65">
        <f>AF54*(1+AE55)</f>
        <v/>
      </c>
      <c r="AG55" s="47">
        <f>AB55*AF55</f>
        <v/>
      </c>
      <c r="AH55" s="67">
        <f>IF(AA55&gt;0,AG55*1000000/AA55/Economy!Q55,0)</f>
        <v/>
      </c>
      <c r="AI55" s="45" t="n">
        <v>393000000</v>
      </c>
      <c r="AJ55" s="45" t="n">
        <v>3917</v>
      </c>
      <c r="AK55" s="68" t="n">
        <v>0.181</v>
      </c>
      <c r="AL55" s="47">
        <f>IF(AI55&gt;0,AJ55*1000000/AI55,0)</f>
        <v/>
      </c>
      <c r="AM55" s="64">
        <f>IF(AND(AK55&gt;0,AL54&gt;0,B55&gt;0),MIN(conv_cap,conv_beta*1*AK55*MAX(0,LN(B55/(AL54*AN54)))),0)</f>
        <v/>
      </c>
      <c r="AN55" s="65">
        <f>AN54*(1+AM55)</f>
        <v/>
      </c>
      <c r="AO55" s="47">
        <f>AJ55*AN55</f>
        <v/>
      </c>
      <c r="AP55" s="67">
        <f>IF(AI55&gt;0,AO55*1000000/AI55/Economy!Q55,0)</f>
        <v/>
      </c>
      <c r="AQ55" s="45" t="n">
        <v>11670000</v>
      </c>
      <c r="AR55" s="45" t="n">
        <v>233</v>
      </c>
      <c r="AS55" s="68" t="n">
        <v>0.4</v>
      </c>
      <c r="AT55" s="47">
        <f>IF(AQ55&gt;0,AR55*1000000/AQ55,0)</f>
        <v/>
      </c>
      <c r="AU55" s="64">
        <f>IF(AND(AS55&gt;0,AT54&gt;0,B55&gt;0),MIN(conv_cap,conv_beta*1*AS55*MAX(0,LN(B55/(AT54*AV54)))),0)</f>
        <v/>
      </c>
      <c r="AV55" s="65">
        <f>AV54*(1+AU55)</f>
        <v/>
      </c>
      <c r="AW55" s="47">
        <f>AR55*AV55</f>
        <v/>
      </c>
      <c r="AX55" s="67">
        <f>IF(AQ55&gt;0,AW55*1000000/AQ55/Economy!Q55,0)</f>
        <v/>
      </c>
      <c r="AY55" s="45" t="n">
        <v>75000000</v>
      </c>
      <c r="AZ55" s="45" t="n">
        <v>1817</v>
      </c>
      <c r="BA55" s="68" t="n">
        <v>0.08699999999999999</v>
      </c>
      <c r="BB55" s="47">
        <f>IF(AY55&gt;0,AZ55*1000000/AY55,0)</f>
        <v/>
      </c>
      <c r="BC55" s="64">
        <f>IF(AND(BA55&gt;0,BB54&gt;0,B55&gt;0),MIN(conv_cap,conv_beta*1*BA55*MAX(0,LN(B55/(BB54*BD54)))),0)</f>
        <v/>
      </c>
      <c r="BD55" s="65">
        <f>BD54*(1+BC55)</f>
        <v/>
      </c>
      <c r="BE55" s="47">
        <f>AZ55*BD55</f>
        <v/>
      </c>
      <c r="BF55" s="67">
        <f>IF(AY55&gt;0,BE55*1000000/AY55/Economy!Q55,0)</f>
        <v/>
      </c>
      <c r="BG55" s="45" t="n">
        <v>28700000</v>
      </c>
      <c r="BH55" s="45" t="n">
        <v>2000</v>
      </c>
      <c r="BI55" s="68" t="n">
        <v>0.163</v>
      </c>
      <c r="BJ55" s="47">
        <f>IF(BG55&gt;0,BH55*1000000/BG55,0)</f>
        <v/>
      </c>
      <c r="BK55" s="64">
        <f>IF(AND(BI55&gt;0,BJ54&gt;0,B55&gt;0),MIN(conv_cap,conv_beta*1*BI55*MAX(0,LN(B55/(BJ54*BL54)))),0)</f>
        <v/>
      </c>
      <c r="BL55" s="65">
        <f>BL54*(1+BK55)</f>
        <v/>
      </c>
      <c r="BM55" s="47">
        <f>BH55*BL55</f>
        <v/>
      </c>
      <c r="BN55" s="67">
        <f>IF(BG55&gt;0,BM55*1000000/BG55/Economy!Q55,0)</f>
        <v/>
      </c>
      <c r="BO55" s="45" t="n">
        <v>13700000</v>
      </c>
      <c r="BP55" s="45" t="n">
        <v>750</v>
      </c>
      <c r="BQ55" s="68" t="n">
        <v>0</v>
      </c>
      <c r="BR55" s="47">
        <f>IF(BO55&gt;0,BP55*1000000/BO55,0)</f>
        <v/>
      </c>
      <c r="BS55" s="64">
        <f>IF(AND(BQ55&gt;0,BR54&gt;0,B55&gt;0),MIN(conv_cap,conv_beta*1*BQ55*MAX(0,LN(B55/(BR54*BT54)))),0)</f>
        <v/>
      </c>
      <c r="BT55" s="65">
        <f>BT54*(1+BS55)</f>
        <v/>
      </c>
      <c r="BU55" s="47">
        <f>BP55*BT55</f>
        <v/>
      </c>
      <c r="BV55" s="67">
        <f>IF(BO55&gt;0,BU55*1000000/BO55/Economy!Q55,0)</f>
        <v/>
      </c>
      <c r="BW55" s="65">
        <f>0.25*IF(D55&gt;0,H55,1)+0.15*IF(AJ55&gt;0,AN55,1)+0.03*IF(AR55&gt;0,AV55,1)+0.08*IF(AZ55&gt;0,BD55,1)+0.12*IF(BH55&gt;0,BL55,1)+0.1*IF(L55&gt;0,P55,1)+0.07*IF(T55&gt;0,X55,1)+0.05*IF(AB55&gt;0,AF55,1)+0.05*IF(BP55&gt;0,BT55,1)+0.1</f>
        <v/>
      </c>
      <c r="BX55" s="63">
        <f>MIN(mkt_cap,mkt_elast*MAX(0,BW55-1))</f>
        <v/>
      </c>
      <c r="BY55" s="47">
        <f>I55+Q55+Y55+AG55</f>
        <v/>
      </c>
      <c r="BZ55" s="47">
        <f>D55+L55+T55+AB55</f>
        <v/>
      </c>
      <c r="CA55" s="65">
        <f>IF(BZ55&gt;0,BY55/BZ55,0)</f>
        <v/>
      </c>
    </row>
    <row r="56">
      <c r="A56" s="58" t="n">
        <v>1896</v>
      </c>
      <c r="B56" s="47">
        <f>Economy!P55</f>
        <v/>
      </c>
      <c r="C56" s="45" t="n">
        <v>42400000</v>
      </c>
      <c r="D56" s="62">
        <f>Japan!B56</f>
        <v/>
      </c>
      <c r="E56" s="68" t="n">
        <v>0.66</v>
      </c>
      <c r="F56" s="47">
        <f>IF(C56&gt;0,D56*1000000/C56,0)</f>
        <v/>
      </c>
      <c r="G56" s="64">
        <f>IF(AND(E56&gt;0,F55&gt;0,B56&gt;0),MIN(conv_cap,conv_beta*jp_uplift*E56*MAX(0,LN(B56/(F55*H55)))),0)</f>
        <v/>
      </c>
      <c r="H56" s="65">
        <f>H55*(1+G56)</f>
        <v/>
      </c>
      <c r="I56" s="47">
        <f>D56*H56</f>
        <v/>
      </c>
      <c r="J56" s="67">
        <f>IF(C56&gt;0,I56*1000000/C56/Economy!Q56,0)</f>
        <v/>
      </c>
      <c r="K56" s="62">
        <f>Gulf!B56</f>
        <v/>
      </c>
      <c r="L56" s="47">
        <f>Gulf!B56*Gulf!C56*Economy!Q56/1000000</f>
        <v/>
      </c>
      <c r="M56" s="68" t="n">
        <v>0.34</v>
      </c>
      <c r="N56" s="47">
        <f>IF(K56&gt;0,L56*1000000/K56,0)</f>
        <v/>
      </c>
      <c r="O56" s="64">
        <f>IF(AND(M56&gt;0,N55&gt;0,B56&gt;0),MIN(conv_cap,conv_beta*1*M56*MAX(0,LN(B56/(N55*P55)))),0)</f>
        <v/>
      </c>
      <c r="P56" s="65">
        <f>P55*(1+O56)</f>
        <v/>
      </c>
      <c r="Q56" s="47">
        <f>L56*P56</f>
        <v/>
      </c>
      <c r="R56" s="67">
        <f>IF(K56&gt;0,Q56*1000000/K56/Economy!Q56,0)</f>
        <v/>
      </c>
      <c r="S56" s="62">
        <f>People!U56</f>
        <v/>
      </c>
      <c r="T56" s="45" t="n">
        <v>210</v>
      </c>
      <c r="U56" s="68" t="n">
        <v>0.469</v>
      </c>
      <c r="V56" s="47">
        <f>IF(S56&gt;0,T56*1000000/S56,0)</f>
        <v/>
      </c>
      <c r="W56" s="64">
        <f>IF(AND(U56&gt;0,V55&gt;0,B56&gt;0),MIN(conv_cap,conv_beta*1*U56*MAX(0,LN(B56/(V55*X55)))),0)</f>
        <v/>
      </c>
      <c r="X56" s="65">
        <f>X55*(1+W56)</f>
        <v/>
      </c>
      <c r="Y56" s="47">
        <f>T56*X56</f>
        <v/>
      </c>
      <c r="Z56" s="67">
        <f>IF(S56&gt;0,Y56*1000000/S56/Economy!Q56,0)</f>
        <v/>
      </c>
      <c r="AA56" s="45" t="n">
        <v>0</v>
      </c>
      <c r="AB56" s="45" t="n">
        <v>0</v>
      </c>
      <c r="AC56" s="68" t="n">
        <v>0</v>
      </c>
      <c r="AD56" s="47">
        <f>IF(AA56&gt;0,AB56*1000000/AA56,0)</f>
        <v/>
      </c>
      <c r="AE56" s="64">
        <f>IF(AND(AC56&gt;0,AD55&gt;0,B56&gt;0),MIN(conv_cap,conv_beta*1*AC56*MAX(0,LN(B56/(AD55*AF55)))),0)</f>
        <v/>
      </c>
      <c r="AF56" s="65">
        <f>AF55*(1+AE56)</f>
        <v/>
      </c>
      <c r="AG56" s="47">
        <f>AB56*AF56</f>
        <v/>
      </c>
      <c r="AH56" s="67">
        <f>IF(AA56&gt;0,AG56*1000000/AA56/Economy!Q56,0)</f>
        <v/>
      </c>
      <c r="AI56" s="45" t="n">
        <v>394400000</v>
      </c>
      <c r="AJ56" s="45" t="n">
        <v>3933</v>
      </c>
      <c r="AK56" s="68" t="n">
        <v>0.185</v>
      </c>
      <c r="AL56" s="47">
        <f>IF(AI56&gt;0,AJ56*1000000/AI56,0)</f>
        <v/>
      </c>
      <c r="AM56" s="64">
        <f>IF(AND(AK56&gt;0,AL55&gt;0,B56&gt;0),MIN(conv_cap,conv_beta*1*AK56*MAX(0,LN(B56/(AL55*AN55)))),0)</f>
        <v/>
      </c>
      <c r="AN56" s="65">
        <f>AN55*(1+AM56)</f>
        <v/>
      </c>
      <c r="AO56" s="47">
        <f>AJ56*AN56</f>
        <v/>
      </c>
      <c r="AP56" s="67">
        <f>IF(AI56&gt;0,AO56*1000000/AI56/Economy!Q56,0)</f>
        <v/>
      </c>
      <c r="AQ56" s="45" t="n">
        <v>11730000</v>
      </c>
      <c r="AR56" s="45" t="n">
        <v>237</v>
      </c>
      <c r="AS56" s="68" t="n">
        <v>0.41</v>
      </c>
      <c r="AT56" s="47">
        <f>IF(AQ56&gt;0,AR56*1000000/AQ56,0)</f>
        <v/>
      </c>
      <c r="AU56" s="64">
        <f>IF(AND(AS56&gt;0,AT55&gt;0,B56&gt;0),MIN(conv_cap,conv_beta*1*AS56*MAX(0,LN(B56/(AT55*AV55)))),0)</f>
        <v/>
      </c>
      <c r="AV56" s="65">
        <f>AV55*(1+AU56)</f>
        <v/>
      </c>
      <c r="AW56" s="47">
        <f>AR56*AV56</f>
        <v/>
      </c>
      <c r="AX56" s="67">
        <f>IF(AQ56&gt;0,AW56*1000000/AQ56/Economy!Q56,0)</f>
        <v/>
      </c>
      <c r="AY56" s="45" t="n">
        <v>76000000</v>
      </c>
      <c r="AZ56" s="45" t="n">
        <v>1853</v>
      </c>
      <c r="BA56" s="68" t="n">
        <v>0.09</v>
      </c>
      <c r="BB56" s="47">
        <f>IF(AY56&gt;0,AZ56*1000000/AY56,0)</f>
        <v/>
      </c>
      <c r="BC56" s="64">
        <f>IF(AND(BA56&gt;0,BB55&gt;0,B56&gt;0),MIN(conv_cap,conv_beta*1*BA56*MAX(0,LN(B56/(BB55*BD55)))),0)</f>
        <v/>
      </c>
      <c r="BD56" s="65">
        <f>BD55*(1+BC56)</f>
        <v/>
      </c>
      <c r="BE56" s="47">
        <f>AZ56*BD56</f>
        <v/>
      </c>
      <c r="BF56" s="67">
        <f>IF(AY56&gt;0,BE56*1000000/AY56/Economy!Q56,0)</f>
        <v/>
      </c>
      <c r="BG56" s="45" t="n">
        <v>28900000</v>
      </c>
      <c r="BH56" s="45" t="n">
        <v>2040</v>
      </c>
      <c r="BI56" s="68" t="n">
        <v>0.169</v>
      </c>
      <c r="BJ56" s="47">
        <f>IF(BG56&gt;0,BH56*1000000/BG56,0)</f>
        <v/>
      </c>
      <c r="BK56" s="64">
        <f>IF(AND(BI56&gt;0,BJ55&gt;0,B56&gt;0),MIN(conv_cap,conv_beta*1*BI56*MAX(0,LN(B56/(BJ55*BL55)))),0)</f>
        <v/>
      </c>
      <c r="BL56" s="65">
        <f>BL55*(1+BK56)</f>
        <v/>
      </c>
      <c r="BM56" s="47">
        <f>BH56*BL56</f>
        <v/>
      </c>
      <c r="BN56" s="67">
        <f>IF(BG56&gt;0,BM56*1000000/BG56/Economy!Q56,0)</f>
        <v/>
      </c>
      <c r="BO56" s="45" t="n">
        <v>13700000</v>
      </c>
      <c r="BP56" s="45" t="n">
        <v>760</v>
      </c>
      <c r="BQ56" s="68" t="n">
        <v>0</v>
      </c>
      <c r="BR56" s="47">
        <f>IF(BO56&gt;0,BP56*1000000/BO56,0)</f>
        <v/>
      </c>
      <c r="BS56" s="64">
        <f>IF(AND(BQ56&gt;0,BR55&gt;0,B56&gt;0),MIN(conv_cap,conv_beta*1*BQ56*MAX(0,LN(B56/(BR55*BT55)))),0)</f>
        <v/>
      </c>
      <c r="BT56" s="65">
        <f>BT55*(1+BS56)</f>
        <v/>
      </c>
      <c r="BU56" s="47">
        <f>BP56*BT56</f>
        <v/>
      </c>
      <c r="BV56" s="67">
        <f>IF(BO56&gt;0,BU56*1000000/BO56/Economy!Q56,0)</f>
        <v/>
      </c>
      <c r="BW56" s="65">
        <f>0.25*IF(D56&gt;0,H56,1)+0.15*IF(AJ56&gt;0,AN56,1)+0.03*IF(AR56&gt;0,AV56,1)+0.08*IF(AZ56&gt;0,BD56,1)+0.12*IF(BH56&gt;0,BL56,1)+0.1*IF(L56&gt;0,P56,1)+0.07*IF(T56&gt;0,X56,1)+0.05*IF(AB56&gt;0,AF56,1)+0.05*IF(BP56&gt;0,BT56,1)+0.1</f>
        <v/>
      </c>
      <c r="BX56" s="63">
        <f>MIN(mkt_cap,mkt_elast*MAX(0,BW56-1))</f>
        <v/>
      </c>
      <c r="BY56" s="47">
        <f>I56+Q56+Y56+AG56</f>
        <v/>
      </c>
      <c r="BZ56" s="47">
        <f>D56+L56+T56+AB56</f>
        <v/>
      </c>
      <c r="CA56" s="65">
        <f>IF(BZ56&gt;0,BY56/BZ56,0)</f>
        <v/>
      </c>
    </row>
    <row r="57">
      <c r="A57" s="58" t="n">
        <v>1897</v>
      </c>
      <c r="B57" s="47">
        <f>Economy!P56</f>
        <v/>
      </c>
      <c r="C57" s="45" t="n">
        <v>42800000</v>
      </c>
      <c r="D57" s="62">
        <f>Japan!B57</f>
        <v/>
      </c>
      <c r="E57" s="68" t="n">
        <v>0.67</v>
      </c>
      <c r="F57" s="47">
        <f>IF(C57&gt;0,D57*1000000/C57,0)</f>
        <v/>
      </c>
      <c r="G57" s="64">
        <f>IF(AND(E57&gt;0,F56&gt;0,B57&gt;0),MIN(conv_cap,conv_beta*jp_uplift*E57*MAX(0,LN(B57/(F56*H56)))),0)</f>
        <v/>
      </c>
      <c r="H57" s="65">
        <f>H56*(1+G57)</f>
        <v/>
      </c>
      <c r="I57" s="47">
        <f>D57*H57</f>
        <v/>
      </c>
      <c r="J57" s="67">
        <f>IF(C57&gt;0,I57*1000000/C57/Economy!Q57,0)</f>
        <v/>
      </c>
      <c r="K57" s="62">
        <f>Gulf!B57</f>
        <v/>
      </c>
      <c r="L57" s="47">
        <f>Gulf!B57*Gulf!C57*Economy!Q57/1000000</f>
        <v/>
      </c>
      <c r="M57" s="68" t="n">
        <v>0.38</v>
      </c>
      <c r="N57" s="47">
        <f>IF(K57&gt;0,L57*1000000/K57,0)</f>
        <v/>
      </c>
      <c r="O57" s="64">
        <f>IF(AND(M57&gt;0,N56&gt;0,B57&gt;0),MIN(conv_cap,conv_beta*1*M57*MAX(0,LN(B57/(N56*P56)))),0)</f>
        <v/>
      </c>
      <c r="P57" s="65">
        <f>P56*(1+O57)</f>
        <v/>
      </c>
      <c r="Q57" s="47">
        <f>L57*P57</f>
        <v/>
      </c>
      <c r="R57" s="67">
        <f>IF(K57&gt;0,Q57*1000000/K57/Economy!Q57,0)</f>
        <v/>
      </c>
      <c r="S57" s="62">
        <f>People!U57</f>
        <v/>
      </c>
      <c r="T57" s="45" t="n">
        <v>220</v>
      </c>
      <c r="U57" s="68" t="n">
        <v>0.477</v>
      </c>
      <c r="V57" s="47">
        <f>IF(S57&gt;0,T57*1000000/S57,0)</f>
        <v/>
      </c>
      <c r="W57" s="64">
        <f>IF(AND(U57&gt;0,V56&gt;0,B57&gt;0),MIN(conv_cap,conv_beta*1*U57*MAX(0,LN(B57/(V56*X56)))),0)</f>
        <v/>
      </c>
      <c r="X57" s="65">
        <f>X56*(1+W57)</f>
        <v/>
      </c>
      <c r="Y57" s="47">
        <f>T57*X57</f>
        <v/>
      </c>
      <c r="Z57" s="67">
        <f>IF(S57&gt;0,Y57*1000000/S57/Economy!Q57,0)</f>
        <v/>
      </c>
      <c r="AA57" s="45" t="n">
        <v>0</v>
      </c>
      <c r="AB57" s="45" t="n">
        <v>0</v>
      </c>
      <c r="AC57" s="68" t="n">
        <v>0</v>
      </c>
      <c r="AD57" s="47">
        <f>IF(AA57&gt;0,AB57*1000000/AA57,0)</f>
        <v/>
      </c>
      <c r="AE57" s="64">
        <f>IF(AND(AC57&gt;0,AD56&gt;0,B57&gt;0),MIN(conv_cap,conv_beta*1*AC57*MAX(0,LN(B57/(AD56*AF56)))),0)</f>
        <v/>
      </c>
      <c r="AF57" s="65">
        <f>AF56*(1+AE57)</f>
        <v/>
      </c>
      <c r="AG57" s="47">
        <f>AB57*AF57</f>
        <v/>
      </c>
      <c r="AH57" s="67">
        <f>IF(AA57&gt;0,AG57*1000000/AA57/Economy!Q57,0)</f>
        <v/>
      </c>
      <c r="AI57" s="45" t="n">
        <v>395800000</v>
      </c>
      <c r="AJ57" s="45" t="n">
        <v>3950</v>
      </c>
      <c r="AK57" s="68" t="n">
        <v>0.188</v>
      </c>
      <c r="AL57" s="47">
        <f>IF(AI57&gt;0,AJ57*1000000/AI57,0)</f>
        <v/>
      </c>
      <c r="AM57" s="64">
        <f>IF(AND(AK57&gt;0,AL56&gt;0,B57&gt;0),MIN(conv_cap,conv_beta*1*AK57*MAX(0,LN(B57/(AL56*AN56)))),0)</f>
        <v/>
      </c>
      <c r="AN57" s="65">
        <f>AN56*(1+AM57)</f>
        <v/>
      </c>
      <c r="AO57" s="47">
        <f>AJ57*AN57</f>
        <v/>
      </c>
      <c r="AP57" s="67">
        <f>IF(AI57&gt;0,AO57*1000000/AI57/Economy!Q57,0)</f>
        <v/>
      </c>
      <c r="AQ57" s="45" t="n">
        <v>11800000</v>
      </c>
      <c r="AR57" s="45" t="n">
        <v>240</v>
      </c>
      <c r="AS57" s="68" t="n">
        <v>0.42</v>
      </c>
      <c r="AT57" s="47">
        <f>IF(AQ57&gt;0,AR57*1000000/AQ57,0)</f>
        <v/>
      </c>
      <c r="AU57" s="64">
        <f>IF(AND(AS57&gt;0,AT56&gt;0,B57&gt;0),MIN(conv_cap,conv_beta*1*AS57*MAX(0,LN(B57/(AT56*AV56)))),0)</f>
        <v/>
      </c>
      <c r="AV57" s="65">
        <f>AV56*(1+AU57)</f>
        <v/>
      </c>
      <c r="AW57" s="47">
        <f>AR57*AV57</f>
        <v/>
      </c>
      <c r="AX57" s="67">
        <f>IF(AQ57&gt;0,AW57*1000000/AQ57/Economy!Q57,0)</f>
        <v/>
      </c>
      <c r="AY57" s="45" t="n">
        <v>77000000</v>
      </c>
      <c r="AZ57" s="45" t="n">
        <v>1890</v>
      </c>
      <c r="BA57" s="68" t="n">
        <v>0.092</v>
      </c>
      <c r="BB57" s="47">
        <f>IF(AY57&gt;0,AZ57*1000000/AY57,0)</f>
        <v/>
      </c>
      <c r="BC57" s="64">
        <f>IF(AND(BA57&gt;0,BB56&gt;0,B57&gt;0),MIN(conv_cap,conv_beta*1*BA57*MAX(0,LN(B57/(BB56*BD56)))),0)</f>
        <v/>
      </c>
      <c r="BD57" s="65">
        <f>BD56*(1+BC57)</f>
        <v/>
      </c>
      <c r="BE57" s="47">
        <f>AZ57*BD57</f>
        <v/>
      </c>
      <c r="BF57" s="67">
        <f>IF(AY57&gt;0,BE57*1000000/AY57/Economy!Q57,0)</f>
        <v/>
      </c>
      <c r="BG57" s="45" t="n">
        <v>29200000</v>
      </c>
      <c r="BH57" s="45" t="n">
        <v>2080</v>
      </c>
      <c r="BI57" s="68" t="n">
        <v>0.175</v>
      </c>
      <c r="BJ57" s="47">
        <f>IF(BG57&gt;0,BH57*1000000/BG57,0)</f>
        <v/>
      </c>
      <c r="BK57" s="64">
        <f>IF(AND(BI57&gt;0,BJ56&gt;0,B57&gt;0),MIN(conv_cap,conv_beta*1*BI57*MAX(0,LN(B57/(BJ56*BL56)))),0)</f>
        <v/>
      </c>
      <c r="BL57" s="65">
        <f>BL56*(1+BK57)</f>
        <v/>
      </c>
      <c r="BM57" s="47">
        <f>BH57*BL57</f>
        <v/>
      </c>
      <c r="BN57" s="67">
        <f>IF(BG57&gt;0,BM57*1000000/BG57/Economy!Q57,0)</f>
        <v/>
      </c>
      <c r="BO57" s="45" t="n">
        <v>13800000</v>
      </c>
      <c r="BP57" s="45" t="n">
        <v>770</v>
      </c>
      <c r="BQ57" s="68" t="n">
        <v>0</v>
      </c>
      <c r="BR57" s="47">
        <f>IF(BO57&gt;0,BP57*1000000/BO57,0)</f>
        <v/>
      </c>
      <c r="BS57" s="64">
        <f>IF(AND(BQ57&gt;0,BR56&gt;0,B57&gt;0),MIN(conv_cap,conv_beta*1*BQ57*MAX(0,LN(B57/(BR56*BT56)))),0)</f>
        <v/>
      </c>
      <c r="BT57" s="65">
        <f>BT56*(1+BS57)</f>
        <v/>
      </c>
      <c r="BU57" s="47">
        <f>BP57*BT57</f>
        <v/>
      </c>
      <c r="BV57" s="67">
        <f>IF(BO57&gt;0,BU57*1000000/BO57/Economy!Q57,0)</f>
        <v/>
      </c>
      <c r="BW57" s="65">
        <f>0.25*IF(D57&gt;0,H57,1)+0.15*IF(AJ57&gt;0,AN57,1)+0.03*IF(AR57&gt;0,AV57,1)+0.08*IF(AZ57&gt;0,BD57,1)+0.12*IF(BH57&gt;0,BL57,1)+0.1*IF(L57&gt;0,P57,1)+0.07*IF(T57&gt;0,X57,1)+0.05*IF(AB57&gt;0,AF57,1)+0.05*IF(BP57&gt;0,BT57,1)+0.1</f>
        <v/>
      </c>
      <c r="BX57" s="63">
        <f>MIN(mkt_cap,mkt_elast*MAX(0,BW57-1))</f>
        <v/>
      </c>
      <c r="BY57" s="47">
        <f>I57+Q57+Y57+AG57</f>
        <v/>
      </c>
      <c r="BZ57" s="47">
        <f>D57+L57+T57+AB57</f>
        <v/>
      </c>
      <c r="CA57" s="65">
        <f>IF(BZ57&gt;0,BY57/BZ57,0)</f>
        <v/>
      </c>
    </row>
    <row r="58">
      <c r="A58" s="58" t="n">
        <v>1898</v>
      </c>
      <c r="B58" s="47">
        <f>Economy!P57</f>
        <v/>
      </c>
      <c r="C58" s="45" t="n">
        <v>43200000</v>
      </c>
      <c r="D58" s="62">
        <f>Japan!B58</f>
        <v/>
      </c>
      <c r="E58" s="68" t="n">
        <v>0.68</v>
      </c>
      <c r="F58" s="47">
        <f>IF(C58&gt;0,D58*1000000/C58,0)</f>
        <v/>
      </c>
      <c r="G58" s="64">
        <f>IF(AND(E58&gt;0,F57&gt;0,B58&gt;0),MIN(conv_cap,conv_beta*jp_uplift*E58*MAX(0,LN(B58/(F57*H57)))),0)</f>
        <v/>
      </c>
      <c r="H58" s="65">
        <f>H57*(1+G58)</f>
        <v/>
      </c>
      <c r="I58" s="47">
        <f>D58*H58</f>
        <v/>
      </c>
      <c r="J58" s="67">
        <f>IF(C58&gt;0,I58*1000000/C58/Economy!Q58,0)</f>
        <v/>
      </c>
      <c r="K58" s="62">
        <f>Gulf!B58</f>
        <v/>
      </c>
      <c r="L58" s="47">
        <f>Gulf!B58*Gulf!C58*Economy!Q58/1000000</f>
        <v/>
      </c>
      <c r="M58" s="68" t="n">
        <v>0.42</v>
      </c>
      <c r="N58" s="47">
        <f>IF(K58&gt;0,L58*1000000/K58,0)</f>
        <v/>
      </c>
      <c r="O58" s="64">
        <f>IF(AND(M58&gt;0,N57&gt;0,B58&gt;0),MIN(conv_cap,conv_beta*1*M58*MAX(0,LN(B58/(N57*P57)))),0)</f>
        <v/>
      </c>
      <c r="P58" s="65">
        <f>P57*(1+O58)</f>
        <v/>
      </c>
      <c r="Q58" s="47">
        <f>L58*P58</f>
        <v/>
      </c>
      <c r="R58" s="67">
        <f>IF(K58&gt;0,Q58*1000000/K58/Economy!Q58,0)</f>
        <v/>
      </c>
      <c r="S58" s="62">
        <f>People!U58</f>
        <v/>
      </c>
      <c r="T58" s="45" t="n">
        <v>230</v>
      </c>
      <c r="U58" s="68" t="n">
        <v>0.485</v>
      </c>
      <c r="V58" s="47">
        <f>IF(S58&gt;0,T58*1000000/S58,0)</f>
        <v/>
      </c>
      <c r="W58" s="64">
        <f>IF(AND(U58&gt;0,V57&gt;0,B58&gt;0),MIN(conv_cap,conv_beta*1*U58*MAX(0,LN(B58/(V57*X57)))),0)</f>
        <v/>
      </c>
      <c r="X58" s="65">
        <f>X57*(1+W58)</f>
        <v/>
      </c>
      <c r="Y58" s="47">
        <f>T58*X58</f>
        <v/>
      </c>
      <c r="Z58" s="67">
        <f>IF(S58&gt;0,Y58*1000000/S58/Economy!Q58,0)</f>
        <v/>
      </c>
      <c r="AA58" s="45" t="n">
        <v>0</v>
      </c>
      <c r="AB58" s="45" t="n">
        <v>0</v>
      </c>
      <c r="AC58" s="68" t="n">
        <v>0</v>
      </c>
      <c r="AD58" s="47">
        <f>IF(AA58&gt;0,AB58*1000000/AA58,0)</f>
        <v/>
      </c>
      <c r="AE58" s="64">
        <f>IF(AND(AC58&gt;0,AD57&gt;0,B58&gt;0),MIN(conv_cap,conv_beta*1*AC58*MAX(0,LN(B58/(AD57*AF57)))),0)</f>
        <v/>
      </c>
      <c r="AF58" s="65">
        <f>AF57*(1+AE58)</f>
        <v/>
      </c>
      <c r="AG58" s="47">
        <f>AB58*AF58</f>
        <v/>
      </c>
      <c r="AH58" s="67">
        <f>IF(AA58&gt;0,AG58*1000000/AA58/Economy!Q58,0)</f>
        <v/>
      </c>
      <c r="AI58" s="45" t="n">
        <v>397200000</v>
      </c>
      <c r="AJ58" s="45" t="n">
        <v>3967</v>
      </c>
      <c r="AK58" s="68" t="n">
        <v>0.192</v>
      </c>
      <c r="AL58" s="47">
        <f>IF(AI58&gt;0,AJ58*1000000/AI58,0)</f>
        <v/>
      </c>
      <c r="AM58" s="64">
        <f>IF(AND(AK58&gt;0,AL57&gt;0,B58&gt;0),MIN(conv_cap,conv_beta*1*AK58*MAX(0,LN(B58/(AL57*AN57)))),0)</f>
        <v/>
      </c>
      <c r="AN58" s="65">
        <f>AN57*(1+AM58)</f>
        <v/>
      </c>
      <c r="AO58" s="47">
        <f>AJ58*AN58</f>
        <v/>
      </c>
      <c r="AP58" s="67">
        <f>IF(AI58&gt;0,AO58*1000000/AI58/Economy!Q58,0)</f>
        <v/>
      </c>
      <c r="AQ58" s="45" t="n">
        <v>11870000</v>
      </c>
      <c r="AR58" s="45" t="n">
        <v>243</v>
      </c>
      <c r="AS58" s="68" t="n">
        <v>0.43</v>
      </c>
      <c r="AT58" s="47">
        <f>IF(AQ58&gt;0,AR58*1000000/AQ58,0)</f>
        <v/>
      </c>
      <c r="AU58" s="64">
        <f>IF(AND(AS58&gt;0,AT57&gt;0,B58&gt;0),MIN(conv_cap,conv_beta*1*AS58*MAX(0,LN(B58/(AT57*AV57)))),0)</f>
        <v/>
      </c>
      <c r="AV58" s="65">
        <f>AV57*(1+AU58)</f>
        <v/>
      </c>
      <c r="AW58" s="47">
        <f>AR58*AV58</f>
        <v/>
      </c>
      <c r="AX58" s="67">
        <f>IF(AQ58&gt;0,AW58*1000000/AQ58/Economy!Q58,0)</f>
        <v/>
      </c>
      <c r="AY58" s="45" t="n">
        <v>78000000</v>
      </c>
      <c r="AZ58" s="45" t="n">
        <v>1927</v>
      </c>
      <c r="BA58" s="68" t="n">
        <v>0.095</v>
      </c>
      <c r="BB58" s="47">
        <f>IF(AY58&gt;0,AZ58*1000000/AY58,0)</f>
        <v/>
      </c>
      <c r="BC58" s="64">
        <f>IF(AND(BA58&gt;0,BB57&gt;0,B58&gt;0),MIN(conv_cap,conv_beta*1*BA58*MAX(0,LN(B58/(BB57*BD57)))),0)</f>
        <v/>
      </c>
      <c r="BD58" s="65">
        <f>BD57*(1+BC58)</f>
        <v/>
      </c>
      <c r="BE58" s="47">
        <f>AZ58*BD58</f>
        <v/>
      </c>
      <c r="BF58" s="67">
        <f>IF(AY58&gt;0,BE58*1000000/AY58/Economy!Q58,0)</f>
        <v/>
      </c>
      <c r="BG58" s="45" t="n">
        <v>29500000</v>
      </c>
      <c r="BH58" s="45" t="n">
        <v>2120</v>
      </c>
      <c r="BI58" s="68" t="n">
        <v>0.181</v>
      </c>
      <c r="BJ58" s="47">
        <f>IF(BG58&gt;0,BH58*1000000/BG58,0)</f>
        <v/>
      </c>
      <c r="BK58" s="64">
        <f>IF(AND(BI58&gt;0,BJ57&gt;0,B58&gt;0),MIN(conv_cap,conv_beta*1*BI58*MAX(0,LN(B58/(BJ57*BL57)))),0)</f>
        <v/>
      </c>
      <c r="BL58" s="65">
        <f>BL57*(1+BK58)</f>
        <v/>
      </c>
      <c r="BM58" s="47">
        <f>BH58*BL58</f>
        <v/>
      </c>
      <c r="BN58" s="67">
        <f>IF(BG58&gt;0,BM58*1000000/BG58/Economy!Q58,0)</f>
        <v/>
      </c>
      <c r="BO58" s="45" t="n">
        <v>13900000</v>
      </c>
      <c r="BP58" s="45" t="n">
        <v>780</v>
      </c>
      <c r="BQ58" s="68" t="n">
        <v>0</v>
      </c>
      <c r="BR58" s="47">
        <f>IF(BO58&gt;0,BP58*1000000/BO58,0)</f>
        <v/>
      </c>
      <c r="BS58" s="64">
        <f>IF(AND(BQ58&gt;0,BR57&gt;0,B58&gt;0),MIN(conv_cap,conv_beta*1*BQ58*MAX(0,LN(B58/(BR57*BT57)))),0)</f>
        <v/>
      </c>
      <c r="BT58" s="65">
        <f>BT57*(1+BS58)</f>
        <v/>
      </c>
      <c r="BU58" s="47">
        <f>BP58*BT58</f>
        <v/>
      </c>
      <c r="BV58" s="67">
        <f>IF(BO58&gt;0,BU58*1000000/BO58/Economy!Q58,0)</f>
        <v/>
      </c>
      <c r="BW58" s="65">
        <f>0.25*IF(D58&gt;0,H58,1)+0.15*IF(AJ58&gt;0,AN58,1)+0.03*IF(AR58&gt;0,AV58,1)+0.08*IF(AZ58&gt;0,BD58,1)+0.12*IF(BH58&gt;0,BL58,1)+0.1*IF(L58&gt;0,P58,1)+0.07*IF(T58&gt;0,X58,1)+0.05*IF(AB58&gt;0,AF58,1)+0.05*IF(BP58&gt;0,BT58,1)+0.1</f>
        <v/>
      </c>
      <c r="BX58" s="63">
        <f>MIN(mkt_cap,mkt_elast*MAX(0,BW58-1))</f>
        <v/>
      </c>
      <c r="BY58" s="47">
        <f>I58+Q58+Y58+AG58</f>
        <v/>
      </c>
      <c r="BZ58" s="47">
        <f>D58+L58+T58+AB58</f>
        <v/>
      </c>
      <c r="CA58" s="65">
        <f>IF(BZ58&gt;0,BY58/BZ58,0)</f>
        <v/>
      </c>
    </row>
    <row r="59">
      <c r="A59" s="58" t="n">
        <v>1899</v>
      </c>
      <c r="B59" s="47">
        <f>Economy!P58</f>
        <v/>
      </c>
      <c r="C59" s="45" t="n">
        <v>43600000</v>
      </c>
      <c r="D59" s="62">
        <f>Japan!B59</f>
        <v/>
      </c>
      <c r="E59" s="68" t="n">
        <v>0.6899999999999999</v>
      </c>
      <c r="F59" s="47">
        <f>IF(C59&gt;0,D59*1000000/C59,0)</f>
        <v/>
      </c>
      <c r="G59" s="64">
        <f>IF(AND(E59&gt;0,F58&gt;0,B59&gt;0),MIN(conv_cap,conv_beta*jp_uplift*E59*MAX(0,LN(B59/(F58*H58)))),0)</f>
        <v/>
      </c>
      <c r="H59" s="65">
        <f>H58*(1+G59)</f>
        <v/>
      </c>
      <c r="I59" s="47">
        <f>D59*H59</f>
        <v/>
      </c>
      <c r="J59" s="67">
        <f>IF(C59&gt;0,I59*1000000/C59/Economy!Q59,0)</f>
        <v/>
      </c>
      <c r="K59" s="62">
        <f>Gulf!B59</f>
        <v/>
      </c>
      <c r="L59" s="47">
        <f>Gulf!B59*Gulf!C59*Economy!Q59/1000000</f>
        <v/>
      </c>
      <c r="M59" s="68" t="n">
        <v>0.46</v>
      </c>
      <c r="N59" s="47">
        <f>IF(K59&gt;0,L59*1000000/K59,0)</f>
        <v/>
      </c>
      <c r="O59" s="64">
        <f>IF(AND(M59&gt;0,N58&gt;0,B59&gt;0),MIN(conv_cap,conv_beta*1*M59*MAX(0,LN(B59/(N58*P58)))),0)</f>
        <v/>
      </c>
      <c r="P59" s="65">
        <f>P58*(1+O59)</f>
        <v/>
      </c>
      <c r="Q59" s="47">
        <f>L59*P59</f>
        <v/>
      </c>
      <c r="R59" s="67">
        <f>IF(K59&gt;0,Q59*1000000/K59/Economy!Q59,0)</f>
        <v/>
      </c>
      <c r="S59" s="62">
        <f>People!U59</f>
        <v/>
      </c>
      <c r="T59" s="45" t="n">
        <v>240</v>
      </c>
      <c r="U59" s="68" t="n">
        <v>0.492</v>
      </c>
      <c r="V59" s="47">
        <f>IF(S59&gt;0,T59*1000000/S59,0)</f>
        <v/>
      </c>
      <c r="W59" s="64">
        <f>IF(AND(U59&gt;0,V58&gt;0,B59&gt;0),MIN(conv_cap,conv_beta*1*U59*MAX(0,LN(B59/(V58*X58)))),0)</f>
        <v/>
      </c>
      <c r="X59" s="65">
        <f>X58*(1+W59)</f>
        <v/>
      </c>
      <c r="Y59" s="47">
        <f>T59*X59</f>
        <v/>
      </c>
      <c r="Z59" s="67">
        <f>IF(S59&gt;0,Y59*1000000/S59/Economy!Q59,0)</f>
        <v/>
      </c>
      <c r="AA59" s="45" t="n">
        <v>0</v>
      </c>
      <c r="AB59" s="45" t="n">
        <v>0</v>
      </c>
      <c r="AC59" s="68" t="n">
        <v>0</v>
      </c>
      <c r="AD59" s="47">
        <f>IF(AA59&gt;0,AB59*1000000/AA59,0)</f>
        <v/>
      </c>
      <c r="AE59" s="64">
        <f>IF(AND(AC59&gt;0,AD58&gt;0,B59&gt;0),MIN(conv_cap,conv_beta*1*AC59*MAX(0,LN(B59/(AD58*AF58)))),0)</f>
        <v/>
      </c>
      <c r="AF59" s="65">
        <f>AF58*(1+AE59)</f>
        <v/>
      </c>
      <c r="AG59" s="47">
        <f>AB59*AF59</f>
        <v/>
      </c>
      <c r="AH59" s="67">
        <f>IF(AA59&gt;0,AG59*1000000/AA59/Economy!Q59,0)</f>
        <v/>
      </c>
      <c r="AI59" s="45" t="n">
        <v>398600000</v>
      </c>
      <c r="AJ59" s="45" t="n">
        <v>3983</v>
      </c>
      <c r="AK59" s="68" t="n">
        <v>0.196</v>
      </c>
      <c r="AL59" s="47">
        <f>IF(AI59&gt;0,AJ59*1000000/AI59,0)</f>
        <v/>
      </c>
      <c r="AM59" s="64">
        <f>IF(AND(AK59&gt;0,AL58&gt;0,B59&gt;0),MIN(conv_cap,conv_beta*1*AK59*MAX(0,LN(B59/(AL58*AN58)))),0)</f>
        <v/>
      </c>
      <c r="AN59" s="65">
        <f>AN58*(1+AM59)</f>
        <v/>
      </c>
      <c r="AO59" s="47">
        <f>AJ59*AN59</f>
        <v/>
      </c>
      <c r="AP59" s="67">
        <f>IF(AI59&gt;0,AO59*1000000/AI59/Economy!Q59,0)</f>
        <v/>
      </c>
      <c r="AQ59" s="45" t="n">
        <v>11930000</v>
      </c>
      <c r="AR59" s="45" t="n">
        <v>247</v>
      </c>
      <c r="AS59" s="68" t="n">
        <v>0.44</v>
      </c>
      <c r="AT59" s="47">
        <f>IF(AQ59&gt;0,AR59*1000000/AQ59,0)</f>
        <v/>
      </c>
      <c r="AU59" s="64">
        <f>IF(AND(AS59&gt;0,AT58&gt;0,B59&gt;0),MIN(conv_cap,conv_beta*1*AS59*MAX(0,LN(B59/(AT58*AV58)))),0)</f>
        <v/>
      </c>
      <c r="AV59" s="65">
        <f>AV58*(1+AU59)</f>
        <v/>
      </c>
      <c r="AW59" s="47">
        <f>AR59*AV59</f>
        <v/>
      </c>
      <c r="AX59" s="67">
        <f>IF(AQ59&gt;0,AW59*1000000/AQ59/Economy!Q59,0)</f>
        <v/>
      </c>
      <c r="AY59" s="45" t="n">
        <v>79000000</v>
      </c>
      <c r="AZ59" s="45" t="n">
        <v>1963</v>
      </c>
      <c r="BA59" s="68" t="n">
        <v>0.098</v>
      </c>
      <c r="BB59" s="47">
        <f>IF(AY59&gt;0,AZ59*1000000/AY59,0)</f>
        <v/>
      </c>
      <c r="BC59" s="64">
        <f>IF(AND(BA59&gt;0,BB58&gt;0,B59&gt;0),MIN(conv_cap,conv_beta*1*BA59*MAX(0,LN(B59/(BB58*BD58)))),0)</f>
        <v/>
      </c>
      <c r="BD59" s="65">
        <f>BD58*(1+BC59)</f>
        <v/>
      </c>
      <c r="BE59" s="47">
        <f>AZ59*BD59</f>
        <v/>
      </c>
      <c r="BF59" s="67">
        <f>IF(AY59&gt;0,BE59*1000000/AY59/Economy!Q59,0)</f>
        <v/>
      </c>
      <c r="BG59" s="45" t="n">
        <v>29700000</v>
      </c>
      <c r="BH59" s="45" t="n">
        <v>2160</v>
      </c>
      <c r="BI59" s="68" t="n">
        <v>0.188</v>
      </c>
      <c r="BJ59" s="47">
        <f>IF(BG59&gt;0,BH59*1000000/BG59,0)</f>
        <v/>
      </c>
      <c r="BK59" s="64">
        <f>IF(AND(BI59&gt;0,BJ58&gt;0,B59&gt;0),MIN(conv_cap,conv_beta*1*BI59*MAX(0,LN(B59/(BJ58*BL58)))),0)</f>
        <v/>
      </c>
      <c r="BL59" s="65">
        <f>BL58*(1+BK59)</f>
        <v/>
      </c>
      <c r="BM59" s="47">
        <f>BH59*BL59</f>
        <v/>
      </c>
      <c r="BN59" s="67">
        <f>IF(BG59&gt;0,BM59*1000000/BG59/Economy!Q59,0)</f>
        <v/>
      </c>
      <c r="BO59" s="45" t="n">
        <v>13900000</v>
      </c>
      <c r="BP59" s="45" t="n">
        <v>790</v>
      </c>
      <c r="BQ59" s="68" t="n">
        <v>0</v>
      </c>
      <c r="BR59" s="47">
        <f>IF(BO59&gt;0,BP59*1000000/BO59,0)</f>
        <v/>
      </c>
      <c r="BS59" s="64">
        <f>IF(AND(BQ59&gt;0,BR58&gt;0,B59&gt;0),MIN(conv_cap,conv_beta*1*BQ59*MAX(0,LN(B59/(BR58*BT58)))),0)</f>
        <v/>
      </c>
      <c r="BT59" s="65">
        <f>BT58*(1+BS59)</f>
        <v/>
      </c>
      <c r="BU59" s="47">
        <f>BP59*BT59</f>
        <v/>
      </c>
      <c r="BV59" s="67">
        <f>IF(BO59&gt;0,BU59*1000000/BO59/Economy!Q59,0)</f>
        <v/>
      </c>
      <c r="BW59" s="65">
        <f>0.25*IF(D59&gt;0,H59,1)+0.15*IF(AJ59&gt;0,AN59,1)+0.03*IF(AR59&gt;0,AV59,1)+0.08*IF(AZ59&gt;0,BD59,1)+0.12*IF(BH59&gt;0,BL59,1)+0.1*IF(L59&gt;0,P59,1)+0.07*IF(T59&gt;0,X59,1)+0.05*IF(AB59&gt;0,AF59,1)+0.05*IF(BP59&gt;0,BT59,1)+0.1</f>
        <v/>
      </c>
      <c r="BX59" s="63">
        <f>MIN(mkt_cap,mkt_elast*MAX(0,BW59-1))</f>
        <v/>
      </c>
      <c r="BY59" s="47">
        <f>I59+Q59+Y59+AG59</f>
        <v/>
      </c>
      <c r="BZ59" s="47">
        <f>D59+L59+T59+AB59</f>
        <v/>
      </c>
      <c r="CA59" s="65">
        <f>IF(BZ59&gt;0,BY59/BZ59,0)</f>
        <v/>
      </c>
    </row>
    <row r="60">
      <c r="A60" s="58" t="n">
        <v>1900</v>
      </c>
      <c r="B60" s="47">
        <f>Economy!P59</f>
        <v/>
      </c>
      <c r="C60" s="45" t="n">
        <v>44000000</v>
      </c>
      <c r="D60" s="62">
        <f>Japan!B60</f>
        <v/>
      </c>
      <c r="E60" s="68" t="n">
        <v>0.7</v>
      </c>
      <c r="F60" s="47">
        <f>IF(C60&gt;0,D60*1000000/C60,0)</f>
        <v/>
      </c>
      <c r="G60" s="64">
        <f>IF(AND(E60&gt;0,F59&gt;0,B60&gt;0),MIN(conv_cap,conv_beta*jp_uplift*E60*MAX(0,LN(B60/(F59*H59)))),0)</f>
        <v/>
      </c>
      <c r="H60" s="65">
        <f>H59*(1+G60)</f>
        <v/>
      </c>
      <c r="I60" s="47">
        <f>D60*H60</f>
        <v/>
      </c>
      <c r="J60" s="67">
        <f>IF(C60&gt;0,I60*1000000/C60/Economy!Q60,0)</f>
        <v/>
      </c>
      <c r="K60" s="62">
        <f>Gulf!B60</f>
        <v/>
      </c>
      <c r="L60" s="47">
        <f>Gulf!B60*Gulf!C60*Economy!Q60/1000000</f>
        <v/>
      </c>
      <c r="M60" s="68" t="n">
        <v>0.5</v>
      </c>
      <c r="N60" s="47">
        <f>IF(K60&gt;0,L60*1000000/K60,0)</f>
        <v/>
      </c>
      <c r="O60" s="64">
        <f>IF(AND(M60&gt;0,N59&gt;0,B60&gt;0),MIN(conv_cap,conv_beta*1*M60*MAX(0,LN(B60/(N59*P59)))),0)</f>
        <v/>
      </c>
      <c r="P60" s="65">
        <f>P59*(1+O60)</f>
        <v/>
      </c>
      <c r="Q60" s="47">
        <f>L60*P60</f>
        <v/>
      </c>
      <c r="R60" s="67">
        <f>IF(K60&gt;0,Q60*1000000/K60/Economy!Q60,0)</f>
        <v/>
      </c>
      <c r="S60" s="62">
        <f>People!U60</f>
        <v/>
      </c>
      <c r="T60" s="45" t="n">
        <v>250</v>
      </c>
      <c r="U60" s="68" t="n">
        <v>0.5</v>
      </c>
      <c r="V60" s="47">
        <f>IF(S60&gt;0,T60*1000000/S60,0)</f>
        <v/>
      </c>
      <c r="W60" s="64">
        <f>IF(AND(U60&gt;0,V59&gt;0,B60&gt;0),MIN(conv_cap,conv_beta*1*U60*MAX(0,LN(B60/(V59*X59)))),0)</f>
        <v/>
      </c>
      <c r="X60" s="65">
        <f>X59*(1+W60)</f>
        <v/>
      </c>
      <c r="Y60" s="47">
        <f>T60*X60</f>
        <v/>
      </c>
      <c r="Z60" s="67">
        <f>IF(S60&gt;0,Y60*1000000/S60/Economy!Q60,0)</f>
        <v/>
      </c>
      <c r="AA60" s="45" t="n">
        <v>0</v>
      </c>
      <c r="AB60" s="45" t="n">
        <v>0</v>
      </c>
      <c r="AC60" s="68" t="n">
        <v>0</v>
      </c>
      <c r="AD60" s="47">
        <f>IF(AA60&gt;0,AB60*1000000/AA60,0)</f>
        <v/>
      </c>
      <c r="AE60" s="64">
        <f>IF(AND(AC60&gt;0,AD59&gt;0,B60&gt;0),MIN(conv_cap,conv_beta*1*AC60*MAX(0,LN(B60/(AD59*AF59)))),0)</f>
        <v/>
      </c>
      <c r="AF60" s="65">
        <f>AF59*(1+AE60)</f>
        <v/>
      </c>
      <c r="AG60" s="47">
        <f>AB60*AF60</f>
        <v/>
      </c>
      <c r="AH60" s="67">
        <f>IF(AA60&gt;0,AG60*1000000/AA60/Economy!Q60,0)</f>
        <v/>
      </c>
      <c r="AI60" s="45" t="n">
        <v>400000000</v>
      </c>
      <c r="AJ60" s="45" t="n">
        <v>4000</v>
      </c>
      <c r="AK60" s="68" t="n">
        <v>0.2</v>
      </c>
      <c r="AL60" s="47">
        <f>IF(AI60&gt;0,AJ60*1000000/AI60,0)</f>
        <v/>
      </c>
      <c r="AM60" s="64">
        <f>IF(AND(AK60&gt;0,AL59&gt;0,B60&gt;0),MIN(conv_cap,conv_beta*1*AK60*MAX(0,LN(B60/(AL59*AN59)))),0)</f>
        <v/>
      </c>
      <c r="AN60" s="65">
        <f>AN59*(1+AM60)</f>
        <v/>
      </c>
      <c r="AO60" s="47">
        <f>AJ60*AN60</f>
        <v/>
      </c>
      <c r="AP60" s="67">
        <f>IF(AI60&gt;0,AO60*1000000/AI60/Economy!Q60,0)</f>
        <v/>
      </c>
      <c r="AQ60" s="45" t="n">
        <v>12000000</v>
      </c>
      <c r="AR60" s="45" t="n">
        <v>250</v>
      </c>
      <c r="AS60" s="68" t="n">
        <v>0.45</v>
      </c>
      <c r="AT60" s="47">
        <f>IF(AQ60&gt;0,AR60*1000000/AQ60,0)</f>
        <v/>
      </c>
      <c r="AU60" s="64">
        <f>IF(AND(AS60&gt;0,AT59&gt;0,B60&gt;0),MIN(conv_cap,conv_beta*1*AS60*MAX(0,LN(B60/(AT59*AV59)))),0)</f>
        <v/>
      </c>
      <c r="AV60" s="65">
        <f>AV59*(1+AU60)</f>
        <v/>
      </c>
      <c r="AW60" s="47">
        <f>AR60*AV60</f>
        <v/>
      </c>
      <c r="AX60" s="67">
        <f>IF(AQ60&gt;0,AW60*1000000/AQ60/Economy!Q60,0)</f>
        <v/>
      </c>
      <c r="AY60" s="45" t="n">
        <v>80000000</v>
      </c>
      <c r="AZ60" s="45" t="n">
        <v>2000</v>
      </c>
      <c r="BA60" s="68" t="n">
        <v>0.1</v>
      </c>
      <c r="BB60" s="47">
        <f>IF(AY60&gt;0,AZ60*1000000/AY60,0)</f>
        <v/>
      </c>
      <c r="BC60" s="64">
        <f>IF(AND(BA60&gt;0,BB59&gt;0,B60&gt;0),MIN(conv_cap,conv_beta*1*BA60*MAX(0,LN(B60/(BB59*BD59)))),0)</f>
        <v/>
      </c>
      <c r="BD60" s="65">
        <f>BD59*(1+BC60)</f>
        <v/>
      </c>
      <c r="BE60" s="47">
        <f>AZ60*BD60</f>
        <v/>
      </c>
      <c r="BF60" s="67">
        <f>IF(AY60&gt;0,BE60*1000000/AY60/Economy!Q60,0)</f>
        <v/>
      </c>
      <c r="BG60" s="45" t="n">
        <v>30000000</v>
      </c>
      <c r="BH60" s="45" t="n">
        <v>2200</v>
      </c>
      <c r="BI60" s="68" t="n">
        <v>0.194</v>
      </c>
      <c r="BJ60" s="47">
        <f>IF(BG60&gt;0,BH60*1000000/BG60,0)</f>
        <v/>
      </c>
      <c r="BK60" s="64">
        <f>IF(AND(BI60&gt;0,BJ59&gt;0,B60&gt;0),MIN(conv_cap,conv_beta*1*BI60*MAX(0,LN(B60/(BJ59*BL59)))),0)</f>
        <v/>
      </c>
      <c r="BL60" s="65">
        <f>BL59*(1+BK60)</f>
        <v/>
      </c>
      <c r="BM60" s="47">
        <f>BH60*BL60</f>
        <v/>
      </c>
      <c r="BN60" s="67">
        <f>IF(BG60&gt;0,BM60*1000000/BG60/Economy!Q60,0)</f>
        <v/>
      </c>
      <c r="BO60" s="45" t="n">
        <v>14000000</v>
      </c>
      <c r="BP60" s="45" t="n">
        <v>800</v>
      </c>
      <c r="BQ60" s="68" t="n">
        <v>0</v>
      </c>
      <c r="BR60" s="47">
        <f>IF(BO60&gt;0,BP60*1000000/BO60,0)</f>
        <v/>
      </c>
      <c r="BS60" s="64">
        <f>IF(AND(BQ60&gt;0,BR59&gt;0,B60&gt;0),MIN(conv_cap,conv_beta*1*BQ60*MAX(0,LN(B60/(BR59*BT59)))),0)</f>
        <v/>
      </c>
      <c r="BT60" s="65">
        <f>BT59*(1+BS60)</f>
        <v/>
      </c>
      <c r="BU60" s="47">
        <f>BP60*BT60</f>
        <v/>
      </c>
      <c r="BV60" s="67">
        <f>IF(BO60&gt;0,BU60*1000000/BO60/Economy!Q60,0)</f>
        <v/>
      </c>
      <c r="BW60" s="65">
        <f>0.25*IF(D60&gt;0,H60,1)+0.15*IF(AJ60&gt;0,AN60,1)+0.03*IF(AR60&gt;0,AV60,1)+0.08*IF(AZ60&gt;0,BD60,1)+0.12*IF(BH60&gt;0,BL60,1)+0.1*IF(L60&gt;0,P60,1)+0.07*IF(T60&gt;0,X60,1)+0.05*IF(AB60&gt;0,AF60,1)+0.05*IF(BP60&gt;0,BT60,1)+0.1</f>
        <v/>
      </c>
      <c r="BX60" s="63">
        <f>MIN(mkt_cap,mkt_elast*MAX(0,BW60-1))</f>
        <v/>
      </c>
      <c r="BY60" s="47">
        <f>I60+Q60+Y60+AG60</f>
        <v/>
      </c>
      <c r="BZ60" s="47">
        <f>D60+L60+T60+AB60</f>
        <v/>
      </c>
      <c r="CA60" s="65">
        <f>IF(BZ60&gt;0,BY60/BZ60,0)</f>
        <v/>
      </c>
    </row>
    <row r="61">
      <c r="A61" s="58" t="n">
        <v>1901</v>
      </c>
      <c r="B61" s="47">
        <f>Economy!P60</f>
        <v/>
      </c>
      <c r="C61" s="45" t="n">
        <v>44560000</v>
      </c>
      <c r="D61" s="62">
        <f>Japan!B61</f>
        <v/>
      </c>
      <c r="E61" s="68" t="n">
        <v>0.71</v>
      </c>
      <c r="F61" s="47">
        <f>IF(C61&gt;0,D61*1000000/C61,0)</f>
        <v/>
      </c>
      <c r="G61" s="64">
        <f>IF(AND(E61&gt;0,F60&gt;0,B61&gt;0),MIN(conv_cap,conv_beta*jp_uplift*E61*MAX(0,LN(B61/(F60*H60)))),0)</f>
        <v/>
      </c>
      <c r="H61" s="65">
        <f>H60*(1+G61)</f>
        <v/>
      </c>
      <c r="I61" s="47">
        <f>D61*H61</f>
        <v/>
      </c>
      <c r="J61" s="67">
        <f>IF(C61&gt;0,I61*1000000/C61/Economy!Q61,0)</f>
        <v/>
      </c>
      <c r="K61" s="62">
        <f>Gulf!B61</f>
        <v/>
      </c>
      <c r="L61" s="47">
        <f>Gulf!B61*Gulf!C61*Economy!Q61/1000000</f>
        <v/>
      </c>
      <c r="M61" s="68" t="n">
        <v>0.512</v>
      </c>
      <c r="N61" s="47">
        <f>IF(K61&gt;0,L61*1000000/K61,0)</f>
        <v/>
      </c>
      <c r="O61" s="64">
        <f>IF(AND(M61&gt;0,N60&gt;0,B61&gt;0),MIN(conv_cap,conv_beta*1*M61*MAX(0,LN(B61/(N60*P60)))),0)</f>
        <v/>
      </c>
      <c r="P61" s="65">
        <f>P60*(1+O61)</f>
        <v/>
      </c>
      <c r="Q61" s="47">
        <f>L61*P61</f>
        <v/>
      </c>
      <c r="R61" s="67">
        <f>IF(K61&gt;0,Q61*1000000/K61/Economy!Q61,0)</f>
        <v/>
      </c>
      <c r="S61" s="62">
        <f>People!U61</f>
        <v/>
      </c>
      <c r="T61" s="45" t="n">
        <v>263</v>
      </c>
      <c r="U61" s="68" t="n">
        <v>0.508</v>
      </c>
      <c r="V61" s="47">
        <f>IF(S61&gt;0,T61*1000000/S61,0)</f>
        <v/>
      </c>
      <c r="W61" s="64">
        <f>IF(AND(U61&gt;0,V60&gt;0,B61&gt;0),MIN(conv_cap,conv_beta*1*U61*MAX(0,LN(B61/(V60*X60)))),0)</f>
        <v/>
      </c>
      <c r="X61" s="65">
        <f>X60*(1+W61)</f>
        <v/>
      </c>
      <c r="Y61" s="47">
        <f>T61*X61</f>
        <v/>
      </c>
      <c r="Z61" s="67">
        <f>IF(S61&gt;0,Y61*1000000/S61/Economy!Q61,0)</f>
        <v/>
      </c>
      <c r="AA61" s="45" t="n">
        <v>0</v>
      </c>
      <c r="AB61" s="45" t="n">
        <v>0</v>
      </c>
      <c r="AC61" s="68" t="n">
        <v>0</v>
      </c>
      <c r="AD61" s="47">
        <f>IF(AA61&gt;0,AB61*1000000/AA61,0)</f>
        <v/>
      </c>
      <c r="AE61" s="64">
        <f>IF(AND(AC61&gt;0,AD60&gt;0,B61&gt;0),MIN(conv_cap,conv_beta*1*AC61*MAX(0,LN(B61/(AD60*AF60)))),0)</f>
        <v/>
      </c>
      <c r="AF61" s="65">
        <f>AF60*(1+AE61)</f>
        <v/>
      </c>
      <c r="AG61" s="47">
        <f>AB61*AF61</f>
        <v/>
      </c>
      <c r="AH61" s="67">
        <f>IF(AA61&gt;0,AG61*1000000/AA61/Economy!Q61,0)</f>
        <v/>
      </c>
      <c r="AI61" s="45" t="n">
        <v>402300000</v>
      </c>
      <c r="AJ61" s="45" t="n">
        <v>4077</v>
      </c>
      <c r="AK61" s="68" t="n">
        <v>0.204</v>
      </c>
      <c r="AL61" s="47">
        <f>IF(AI61&gt;0,AJ61*1000000/AI61,0)</f>
        <v/>
      </c>
      <c r="AM61" s="64">
        <f>IF(AND(AK61&gt;0,AL60&gt;0,B61&gt;0),MIN(conv_cap,conv_beta*1*AK61*MAX(0,LN(B61/(AL60*AN60)))),0)</f>
        <v/>
      </c>
      <c r="AN61" s="65">
        <f>AN60*(1+AM61)</f>
        <v/>
      </c>
      <c r="AO61" s="47">
        <f>AJ61*AN61</f>
        <v/>
      </c>
      <c r="AP61" s="67">
        <f>IF(AI61&gt;0,AO61*1000000/AI61/Economy!Q61,0)</f>
        <v/>
      </c>
      <c r="AQ61" s="45" t="n">
        <v>12230000</v>
      </c>
      <c r="AR61" s="45" t="n">
        <v>262</v>
      </c>
      <c r="AS61" s="68" t="n">
        <v>0.46</v>
      </c>
      <c r="AT61" s="47">
        <f>IF(AQ61&gt;0,AR61*1000000/AQ61,0)</f>
        <v/>
      </c>
      <c r="AU61" s="64">
        <f>IF(AND(AS61&gt;0,AT60&gt;0,B61&gt;0),MIN(conv_cap,conv_beta*1*AS61*MAX(0,LN(B61/(AT60*AV60)))),0)</f>
        <v/>
      </c>
      <c r="AV61" s="65">
        <f>AV60*(1+AU61)</f>
        <v/>
      </c>
      <c r="AW61" s="47">
        <f>AR61*AV61</f>
        <v/>
      </c>
      <c r="AX61" s="67">
        <f>IF(AQ61&gt;0,AW61*1000000/AQ61/Economy!Q61,0)</f>
        <v/>
      </c>
      <c r="AY61" s="45" t="n">
        <v>81200000</v>
      </c>
      <c r="AZ61" s="45" t="n">
        <v>2077</v>
      </c>
      <c r="BA61" s="68" t="n">
        <v>0.104</v>
      </c>
      <c r="BB61" s="47">
        <f>IF(AY61&gt;0,AZ61*1000000/AY61,0)</f>
        <v/>
      </c>
      <c r="BC61" s="64">
        <f>IF(AND(BA61&gt;0,BB60&gt;0,B61&gt;0),MIN(conv_cap,conv_beta*1*BA61*MAX(0,LN(B61/(BB60*BD60)))),0)</f>
        <v/>
      </c>
      <c r="BD61" s="65">
        <f>BD60*(1+BC61)</f>
        <v/>
      </c>
      <c r="BE61" s="47">
        <f>AZ61*BD61</f>
        <v/>
      </c>
      <c r="BF61" s="67">
        <f>IF(AY61&gt;0,BE61*1000000/AY61/Economy!Q61,0)</f>
        <v/>
      </c>
      <c r="BG61" s="45" t="n">
        <v>30500000</v>
      </c>
      <c r="BH61" s="45" t="n">
        <v>2315</v>
      </c>
      <c r="BI61" s="68" t="n">
        <v>0.2</v>
      </c>
      <c r="BJ61" s="47">
        <f>IF(BG61&gt;0,BH61*1000000/BG61,0)</f>
        <v/>
      </c>
      <c r="BK61" s="64">
        <f>IF(AND(BI61&gt;0,BJ60&gt;0,B61&gt;0),MIN(conv_cap,conv_beta*1*BI61*MAX(0,LN(B61/(BJ60*BL60)))),0)</f>
        <v/>
      </c>
      <c r="BL61" s="65">
        <f>BL60*(1+BK61)</f>
        <v/>
      </c>
      <c r="BM61" s="47">
        <f>BH61*BL61</f>
        <v/>
      </c>
      <c r="BN61" s="67">
        <f>IF(BG61&gt;0,BM61*1000000/BG61/Economy!Q61,0)</f>
        <v/>
      </c>
      <c r="BO61" s="45" t="n">
        <v>14200000</v>
      </c>
      <c r="BP61" s="45" t="n">
        <v>823</v>
      </c>
      <c r="BQ61" s="68" t="n">
        <v>0</v>
      </c>
      <c r="BR61" s="47">
        <f>IF(BO61&gt;0,BP61*1000000/BO61,0)</f>
        <v/>
      </c>
      <c r="BS61" s="64">
        <f>IF(AND(BQ61&gt;0,BR60&gt;0,B61&gt;0),MIN(conv_cap,conv_beta*1*BQ61*MAX(0,LN(B61/(BR60*BT60)))),0)</f>
        <v/>
      </c>
      <c r="BT61" s="65">
        <f>BT60*(1+BS61)</f>
        <v/>
      </c>
      <c r="BU61" s="47">
        <f>BP61*BT61</f>
        <v/>
      </c>
      <c r="BV61" s="67">
        <f>IF(BO61&gt;0,BU61*1000000/BO61/Economy!Q61,0)</f>
        <v/>
      </c>
      <c r="BW61" s="65">
        <f>0.25*IF(D61&gt;0,H61,1)+0.15*IF(AJ61&gt;0,AN61,1)+0.03*IF(AR61&gt;0,AV61,1)+0.08*IF(AZ61&gt;0,BD61,1)+0.12*IF(BH61&gt;0,BL61,1)+0.1*IF(L61&gt;0,P61,1)+0.07*IF(T61&gt;0,X61,1)+0.05*IF(AB61&gt;0,AF61,1)+0.05*IF(BP61&gt;0,BT61,1)+0.1</f>
        <v/>
      </c>
      <c r="BX61" s="63">
        <f>MIN(mkt_cap,mkt_elast*MAX(0,BW61-1))</f>
        <v/>
      </c>
      <c r="BY61" s="47">
        <f>I61+Q61+Y61+AG61</f>
        <v/>
      </c>
      <c r="BZ61" s="47">
        <f>D61+L61+T61+AB61</f>
        <v/>
      </c>
      <c r="CA61" s="65">
        <f>IF(BZ61&gt;0,BY61/BZ61,0)</f>
        <v/>
      </c>
    </row>
    <row r="62">
      <c r="A62" s="58" t="n">
        <v>1902</v>
      </c>
      <c r="B62" s="47">
        <f>Economy!P61</f>
        <v/>
      </c>
      <c r="C62" s="45" t="n">
        <v>45120000</v>
      </c>
      <c r="D62" s="62">
        <f>Japan!B62</f>
        <v/>
      </c>
      <c r="E62" s="68" t="n">
        <v>0.72</v>
      </c>
      <c r="F62" s="47">
        <f>IF(C62&gt;0,D62*1000000/C62,0)</f>
        <v/>
      </c>
      <c r="G62" s="64">
        <f>IF(AND(E62&gt;0,F61&gt;0,B62&gt;0),MIN(conv_cap,conv_beta*jp_uplift*E62*MAX(0,LN(B62/(F61*H61)))),0)</f>
        <v/>
      </c>
      <c r="H62" s="65">
        <f>H61*(1+G62)</f>
        <v/>
      </c>
      <c r="I62" s="47">
        <f>D62*H62</f>
        <v/>
      </c>
      <c r="J62" s="67">
        <f>IF(C62&gt;0,I62*1000000/C62/Economy!Q62,0)</f>
        <v/>
      </c>
      <c r="K62" s="62">
        <f>Gulf!B62</f>
        <v/>
      </c>
      <c r="L62" s="47">
        <f>Gulf!B62*Gulf!C62*Economy!Q62/1000000</f>
        <v/>
      </c>
      <c r="M62" s="68" t="n">
        <v>0.523</v>
      </c>
      <c r="N62" s="47">
        <f>IF(K62&gt;0,L62*1000000/K62,0)</f>
        <v/>
      </c>
      <c r="O62" s="64">
        <f>IF(AND(M62&gt;0,N61&gt;0,B62&gt;0),MIN(conv_cap,conv_beta*1*M62*MAX(0,LN(B62/(N61*P61)))),0)</f>
        <v/>
      </c>
      <c r="P62" s="65">
        <f>P61*(1+O62)</f>
        <v/>
      </c>
      <c r="Q62" s="47">
        <f>L62*P62</f>
        <v/>
      </c>
      <c r="R62" s="67">
        <f>IF(K62&gt;0,Q62*1000000/K62/Economy!Q62,0)</f>
        <v/>
      </c>
      <c r="S62" s="62">
        <f>People!U62</f>
        <v/>
      </c>
      <c r="T62" s="45" t="n">
        <v>276</v>
      </c>
      <c r="U62" s="68" t="n">
        <v>0.515</v>
      </c>
      <c r="V62" s="47">
        <f>IF(S62&gt;0,T62*1000000/S62,0)</f>
        <v/>
      </c>
      <c r="W62" s="64">
        <f>IF(AND(U62&gt;0,V61&gt;0,B62&gt;0),MIN(conv_cap,conv_beta*1*U62*MAX(0,LN(B62/(V61*X61)))),0)</f>
        <v/>
      </c>
      <c r="X62" s="65">
        <f>X61*(1+W62)</f>
        <v/>
      </c>
      <c r="Y62" s="47">
        <f>T62*X62</f>
        <v/>
      </c>
      <c r="Z62" s="67">
        <f>IF(S62&gt;0,Y62*1000000/S62/Economy!Q62,0)</f>
        <v/>
      </c>
      <c r="AA62" s="45" t="n">
        <v>0</v>
      </c>
      <c r="AB62" s="45" t="n">
        <v>0</v>
      </c>
      <c r="AC62" s="68" t="n">
        <v>0</v>
      </c>
      <c r="AD62" s="47">
        <f>IF(AA62&gt;0,AB62*1000000/AA62,0)</f>
        <v/>
      </c>
      <c r="AE62" s="64">
        <f>IF(AND(AC62&gt;0,AD61&gt;0,B62&gt;0),MIN(conv_cap,conv_beta*1*AC62*MAX(0,LN(B62/(AD61*AF61)))),0)</f>
        <v/>
      </c>
      <c r="AF62" s="65">
        <f>AF61*(1+AE62)</f>
        <v/>
      </c>
      <c r="AG62" s="47">
        <f>AB62*AF62</f>
        <v/>
      </c>
      <c r="AH62" s="67">
        <f>IF(AA62&gt;0,AG62*1000000/AA62/Economy!Q62,0)</f>
        <v/>
      </c>
      <c r="AI62" s="45" t="n">
        <v>404600000</v>
      </c>
      <c r="AJ62" s="45" t="n">
        <v>4154</v>
      </c>
      <c r="AK62" s="68" t="n">
        <v>0.208</v>
      </c>
      <c r="AL62" s="47">
        <f>IF(AI62&gt;0,AJ62*1000000/AI62,0)</f>
        <v/>
      </c>
      <c r="AM62" s="64">
        <f>IF(AND(AK62&gt;0,AL61&gt;0,B62&gt;0),MIN(conv_cap,conv_beta*1*AK62*MAX(0,LN(B62/(AL61*AN61)))),0)</f>
        <v/>
      </c>
      <c r="AN62" s="65">
        <f>AN61*(1+AM62)</f>
        <v/>
      </c>
      <c r="AO62" s="47">
        <f>AJ62*AN62</f>
        <v/>
      </c>
      <c r="AP62" s="67">
        <f>IF(AI62&gt;0,AO62*1000000/AI62/Economy!Q62,0)</f>
        <v/>
      </c>
      <c r="AQ62" s="45" t="n">
        <v>12460000</v>
      </c>
      <c r="AR62" s="45" t="n">
        <v>273</v>
      </c>
      <c r="AS62" s="68" t="n">
        <v>0.47</v>
      </c>
      <c r="AT62" s="47">
        <f>IF(AQ62&gt;0,AR62*1000000/AQ62,0)</f>
        <v/>
      </c>
      <c r="AU62" s="64">
        <f>IF(AND(AS62&gt;0,AT61&gt;0,B62&gt;0),MIN(conv_cap,conv_beta*1*AS62*MAX(0,LN(B62/(AT61*AV61)))),0)</f>
        <v/>
      </c>
      <c r="AV62" s="65">
        <f>AV61*(1+AU62)</f>
        <v/>
      </c>
      <c r="AW62" s="47">
        <f>AR62*AV62</f>
        <v/>
      </c>
      <c r="AX62" s="67">
        <f>IF(AQ62&gt;0,AW62*1000000/AQ62/Economy!Q62,0)</f>
        <v/>
      </c>
      <c r="AY62" s="45" t="n">
        <v>82300000</v>
      </c>
      <c r="AZ62" s="45" t="n">
        <v>2154</v>
      </c>
      <c r="BA62" s="68" t="n">
        <v>0.108</v>
      </c>
      <c r="BB62" s="47">
        <f>IF(AY62&gt;0,AZ62*1000000/AY62,0)</f>
        <v/>
      </c>
      <c r="BC62" s="64">
        <f>IF(AND(BA62&gt;0,BB61&gt;0,B62&gt;0),MIN(conv_cap,conv_beta*1*BA62*MAX(0,LN(B62/(BB61*BD61)))),0)</f>
        <v/>
      </c>
      <c r="BD62" s="65">
        <f>BD61*(1+BC62)</f>
        <v/>
      </c>
      <c r="BE62" s="47">
        <f>AZ62*BD62</f>
        <v/>
      </c>
      <c r="BF62" s="67">
        <f>IF(AY62&gt;0,BE62*1000000/AY62/Economy!Q62,0)</f>
        <v/>
      </c>
      <c r="BG62" s="45" t="n">
        <v>31100000</v>
      </c>
      <c r="BH62" s="45" t="n">
        <v>2431</v>
      </c>
      <c r="BI62" s="68" t="n">
        <v>0.208</v>
      </c>
      <c r="BJ62" s="47">
        <f>IF(BG62&gt;0,BH62*1000000/BG62,0)</f>
        <v/>
      </c>
      <c r="BK62" s="64">
        <f>IF(AND(BI62&gt;0,BJ61&gt;0,B62&gt;0),MIN(conv_cap,conv_beta*1*BI62*MAX(0,LN(B62/(BJ61*BL61)))),0)</f>
        <v/>
      </c>
      <c r="BL62" s="65">
        <f>BL61*(1+BK62)</f>
        <v/>
      </c>
      <c r="BM62" s="47">
        <f>BH62*BL62</f>
        <v/>
      </c>
      <c r="BN62" s="67">
        <f>IF(BG62&gt;0,BM62*1000000/BG62/Economy!Q62,0)</f>
        <v/>
      </c>
      <c r="BO62" s="45" t="n">
        <v>14300000</v>
      </c>
      <c r="BP62" s="45" t="n">
        <v>846</v>
      </c>
      <c r="BQ62" s="68" t="n">
        <v>0</v>
      </c>
      <c r="BR62" s="47">
        <f>IF(BO62&gt;0,BP62*1000000/BO62,0)</f>
        <v/>
      </c>
      <c r="BS62" s="64">
        <f>IF(AND(BQ62&gt;0,BR61&gt;0,B62&gt;0),MIN(conv_cap,conv_beta*1*BQ62*MAX(0,LN(B62/(BR61*BT61)))),0)</f>
        <v/>
      </c>
      <c r="BT62" s="65">
        <f>BT61*(1+BS62)</f>
        <v/>
      </c>
      <c r="BU62" s="47">
        <f>BP62*BT62</f>
        <v/>
      </c>
      <c r="BV62" s="67">
        <f>IF(BO62&gt;0,BU62*1000000/BO62/Economy!Q62,0)</f>
        <v/>
      </c>
      <c r="BW62" s="65">
        <f>0.25*IF(D62&gt;0,H62,1)+0.15*IF(AJ62&gt;0,AN62,1)+0.03*IF(AR62&gt;0,AV62,1)+0.08*IF(AZ62&gt;0,BD62,1)+0.12*IF(BH62&gt;0,BL62,1)+0.1*IF(L62&gt;0,P62,1)+0.07*IF(T62&gt;0,X62,1)+0.05*IF(AB62&gt;0,AF62,1)+0.05*IF(BP62&gt;0,BT62,1)+0.1</f>
        <v/>
      </c>
      <c r="BX62" s="63">
        <f>MIN(mkt_cap,mkt_elast*MAX(0,BW62-1))</f>
        <v/>
      </c>
      <c r="BY62" s="47">
        <f>I62+Q62+Y62+AG62</f>
        <v/>
      </c>
      <c r="BZ62" s="47">
        <f>D62+L62+T62+AB62</f>
        <v/>
      </c>
      <c r="CA62" s="65">
        <f>IF(BZ62&gt;0,BY62/BZ62,0)</f>
        <v/>
      </c>
    </row>
    <row r="63">
      <c r="A63" s="58" t="n">
        <v>1903</v>
      </c>
      <c r="B63" s="47">
        <f>Economy!P62</f>
        <v/>
      </c>
      <c r="C63" s="45" t="n">
        <v>45680000</v>
      </c>
      <c r="D63" s="62">
        <f>Japan!B63</f>
        <v/>
      </c>
      <c r="E63" s="68" t="n">
        <v>0.73</v>
      </c>
      <c r="F63" s="47">
        <f>IF(C63&gt;0,D63*1000000/C63,0)</f>
        <v/>
      </c>
      <c r="G63" s="64">
        <f>IF(AND(E63&gt;0,F62&gt;0,B63&gt;0),MIN(conv_cap,conv_beta*jp_uplift*E63*MAX(0,LN(B63/(F62*H62)))),0)</f>
        <v/>
      </c>
      <c r="H63" s="65">
        <f>H62*(1+G63)</f>
        <v/>
      </c>
      <c r="I63" s="47">
        <f>D63*H63</f>
        <v/>
      </c>
      <c r="J63" s="67">
        <f>IF(C63&gt;0,I63*1000000/C63/Economy!Q63,0)</f>
        <v/>
      </c>
      <c r="K63" s="62">
        <f>Gulf!B63</f>
        <v/>
      </c>
      <c r="L63" s="47">
        <f>Gulf!B63*Gulf!C63*Economy!Q63/1000000</f>
        <v/>
      </c>
      <c r="M63" s="68" t="n">
        <v>0.535</v>
      </c>
      <c r="N63" s="47">
        <f>IF(K63&gt;0,L63*1000000/K63,0)</f>
        <v/>
      </c>
      <c r="O63" s="64">
        <f>IF(AND(M63&gt;0,N62&gt;0,B63&gt;0),MIN(conv_cap,conv_beta*1*M63*MAX(0,LN(B63/(N62*P62)))),0)</f>
        <v/>
      </c>
      <c r="P63" s="65">
        <f>P62*(1+O63)</f>
        <v/>
      </c>
      <c r="Q63" s="47">
        <f>L63*P63</f>
        <v/>
      </c>
      <c r="R63" s="67">
        <f>IF(K63&gt;0,Q63*1000000/K63/Economy!Q63,0)</f>
        <v/>
      </c>
      <c r="S63" s="62">
        <f>People!U63</f>
        <v/>
      </c>
      <c r="T63" s="45" t="n">
        <v>289</v>
      </c>
      <c r="U63" s="68" t="n">
        <v>0.523</v>
      </c>
      <c r="V63" s="47">
        <f>IF(S63&gt;0,T63*1000000/S63,0)</f>
        <v/>
      </c>
      <c r="W63" s="64">
        <f>IF(AND(U63&gt;0,V62&gt;0,B63&gt;0),MIN(conv_cap,conv_beta*1*U63*MAX(0,LN(B63/(V62*X62)))),0)</f>
        <v/>
      </c>
      <c r="X63" s="65">
        <f>X62*(1+W63)</f>
        <v/>
      </c>
      <c r="Y63" s="47">
        <f>T63*X63</f>
        <v/>
      </c>
      <c r="Z63" s="67">
        <f>IF(S63&gt;0,Y63*1000000/S63/Economy!Q63,0)</f>
        <v/>
      </c>
      <c r="AA63" s="45" t="n">
        <v>0</v>
      </c>
      <c r="AB63" s="45" t="n">
        <v>0</v>
      </c>
      <c r="AC63" s="68" t="n">
        <v>0</v>
      </c>
      <c r="AD63" s="47">
        <f>IF(AA63&gt;0,AB63*1000000/AA63,0)</f>
        <v/>
      </c>
      <c r="AE63" s="64">
        <f>IF(AND(AC63&gt;0,AD62&gt;0,B63&gt;0),MIN(conv_cap,conv_beta*1*AC63*MAX(0,LN(B63/(AD62*AF62)))),0)</f>
        <v/>
      </c>
      <c r="AF63" s="65">
        <f>AF62*(1+AE63)</f>
        <v/>
      </c>
      <c r="AG63" s="47">
        <f>AB63*AF63</f>
        <v/>
      </c>
      <c r="AH63" s="67">
        <f>IF(AA63&gt;0,AG63*1000000/AA63/Economy!Q63,0)</f>
        <v/>
      </c>
      <c r="AI63" s="45" t="n">
        <v>406900000</v>
      </c>
      <c r="AJ63" s="45" t="n">
        <v>4231</v>
      </c>
      <c r="AK63" s="68" t="n">
        <v>0.213</v>
      </c>
      <c r="AL63" s="47">
        <f>IF(AI63&gt;0,AJ63*1000000/AI63,0)</f>
        <v/>
      </c>
      <c r="AM63" s="64">
        <f>IF(AND(AK63&gt;0,AL62&gt;0,B63&gt;0),MIN(conv_cap,conv_beta*1*AK63*MAX(0,LN(B63/(AL62*AN62)))),0)</f>
        <v/>
      </c>
      <c r="AN63" s="65">
        <f>AN62*(1+AM63)</f>
        <v/>
      </c>
      <c r="AO63" s="47">
        <f>AJ63*AN63</f>
        <v/>
      </c>
      <c r="AP63" s="67">
        <f>IF(AI63&gt;0,AO63*1000000/AI63/Economy!Q63,0)</f>
        <v/>
      </c>
      <c r="AQ63" s="45" t="n">
        <v>12690000</v>
      </c>
      <c r="AR63" s="45" t="n">
        <v>285</v>
      </c>
      <c r="AS63" s="68" t="n">
        <v>0.48</v>
      </c>
      <c r="AT63" s="47">
        <f>IF(AQ63&gt;0,AR63*1000000/AQ63,0)</f>
        <v/>
      </c>
      <c r="AU63" s="64">
        <f>IF(AND(AS63&gt;0,AT62&gt;0,B63&gt;0),MIN(conv_cap,conv_beta*1*AS63*MAX(0,LN(B63/(AT62*AV62)))),0)</f>
        <v/>
      </c>
      <c r="AV63" s="65">
        <f>AV62*(1+AU63)</f>
        <v/>
      </c>
      <c r="AW63" s="47">
        <f>AR63*AV63</f>
        <v/>
      </c>
      <c r="AX63" s="67">
        <f>IF(AQ63&gt;0,AW63*1000000/AQ63/Economy!Q63,0)</f>
        <v/>
      </c>
      <c r="AY63" s="45" t="n">
        <v>83500000</v>
      </c>
      <c r="AZ63" s="45" t="n">
        <v>2231</v>
      </c>
      <c r="BA63" s="68" t="n">
        <v>0.112</v>
      </c>
      <c r="BB63" s="47">
        <f>IF(AY63&gt;0,AZ63*1000000/AY63,0)</f>
        <v/>
      </c>
      <c r="BC63" s="64">
        <f>IF(AND(BA63&gt;0,BB62&gt;0,B63&gt;0),MIN(conv_cap,conv_beta*1*BA63*MAX(0,LN(B63/(BB62*BD62)))),0)</f>
        <v/>
      </c>
      <c r="BD63" s="65">
        <f>BD62*(1+BC63)</f>
        <v/>
      </c>
      <c r="BE63" s="47">
        <f>AZ63*BD63</f>
        <v/>
      </c>
      <c r="BF63" s="67">
        <f>IF(AY63&gt;0,BE63*1000000/AY63/Economy!Q63,0)</f>
        <v/>
      </c>
      <c r="BG63" s="45" t="n">
        <v>31600000</v>
      </c>
      <c r="BH63" s="45" t="n">
        <v>2546</v>
      </c>
      <c r="BI63" s="68" t="n">
        <v>0.217</v>
      </c>
      <c r="BJ63" s="47">
        <f>IF(BG63&gt;0,BH63*1000000/BG63,0)</f>
        <v/>
      </c>
      <c r="BK63" s="64">
        <f>IF(AND(BI63&gt;0,BJ62&gt;0,B63&gt;0),MIN(conv_cap,conv_beta*1*BI63*MAX(0,LN(B63/(BJ62*BL62)))),0)</f>
        <v/>
      </c>
      <c r="BL63" s="65">
        <f>BL62*(1+BK63)</f>
        <v/>
      </c>
      <c r="BM63" s="47">
        <f>BH63*BL63</f>
        <v/>
      </c>
      <c r="BN63" s="67">
        <f>IF(BG63&gt;0,BM63*1000000/BG63/Economy!Q63,0)</f>
        <v/>
      </c>
      <c r="BO63" s="45" t="n">
        <v>14500000</v>
      </c>
      <c r="BP63" s="45" t="n">
        <v>869</v>
      </c>
      <c r="BQ63" s="68" t="n">
        <v>0</v>
      </c>
      <c r="BR63" s="47">
        <f>IF(BO63&gt;0,BP63*1000000/BO63,0)</f>
        <v/>
      </c>
      <c r="BS63" s="64">
        <f>IF(AND(BQ63&gt;0,BR62&gt;0,B63&gt;0),MIN(conv_cap,conv_beta*1*BQ63*MAX(0,LN(B63/(BR62*BT62)))),0)</f>
        <v/>
      </c>
      <c r="BT63" s="65">
        <f>BT62*(1+BS63)</f>
        <v/>
      </c>
      <c r="BU63" s="47">
        <f>BP63*BT63</f>
        <v/>
      </c>
      <c r="BV63" s="67">
        <f>IF(BO63&gt;0,BU63*1000000/BO63/Economy!Q63,0)</f>
        <v/>
      </c>
      <c r="BW63" s="65">
        <f>0.25*IF(D63&gt;0,H63,1)+0.15*IF(AJ63&gt;0,AN63,1)+0.03*IF(AR63&gt;0,AV63,1)+0.08*IF(AZ63&gt;0,BD63,1)+0.12*IF(BH63&gt;0,BL63,1)+0.1*IF(L63&gt;0,P63,1)+0.07*IF(T63&gt;0,X63,1)+0.05*IF(AB63&gt;0,AF63,1)+0.05*IF(BP63&gt;0,BT63,1)+0.1</f>
        <v/>
      </c>
      <c r="BX63" s="63">
        <f>MIN(mkt_cap,mkt_elast*MAX(0,BW63-1))</f>
        <v/>
      </c>
      <c r="BY63" s="47">
        <f>I63+Q63+Y63+AG63</f>
        <v/>
      </c>
      <c r="BZ63" s="47">
        <f>D63+L63+T63+AB63</f>
        <v/>
      </c>
      <c r="CA63" s="65">
        <f>IF(BZ63&gt;0,BY63/BZ63,0)</f>
        <v/>
      </c>
    </row>
    <row r="64">
      <c r="A64" s="58" t="n">
        <v>1904</v>
      </c>
      <c r="B64" s="47">
        <f>Economy!P63</f>
        <v/>
      </c>
      <c r="C64" s="45" t="n">
        <v>46250000</v>
      </c>
      <c r="D64" s="62">
        <f>Japan!B64</f>
        <v/>
      </c>
      <c r="E64" s="68" t="n">
        <v>0.74</v>
      </c>
      <c r="F64" s="47">
        <f>IF(C64&gt;0,D64*1000000/C64,0)</f>
        <v/>
      </c>
      <c r="G64" s="64">
        <f>IF(AND(E64&gt;0,F63&gt;0,B64&gt;0),MIN(conv_cap,conv_beta*jp_uplift*E64*MAX(0,LN(B64/(F63*H63)))),0)</f>
        <v/>
      </c>
      <c r="H64" s="65">
        <f>H63*(1+G64)</f>
        <v/>
      </c>
      <c r="I64" s="47">
        <f>D64*H64</f>
        <v/>
      </c>
      <c r="J64" s="67">
        <f>IF(C64&gt;0,I64*1000000/C64/Economy!Q64,0)</f>
        <v/>
      </c>
      <c r="K64" s="62">
        <f>Gulf!B64</f>
        <v/>
      </c>
      <c r="L64" s="47">
        <f>Gulf!B64*Gulf!C64*Economy!Q64/1000000</f>
        <v/>
      </c>
      <c r="M64" s="68" t="n">
        <v>0.546</v>
      </c>
      <c r="N64" s="47">
        <f>IF(K64&gt;0,L64*1000000/K64,0)</f>
        <v/>
      </c>
      <c r="O64" s="64">
        <f>IF(AND(M64&gt;0,N63&gt;0,B64&gt;0),MIN(conv_cap,conv_beta*1*M64*MAX(0,LN(B64/(N63*P63)))),0)</f>
        <v/>
      </c>
      <c r="P64" s="65">
        <f>P63*(1+O64)</f>
        <v/>
      </c>
      <c r="Q64" s="47">
        <f>L64*P64</f>
        <v/>
      </c>
      <c r="R64" s="67">
        <f>IF(K64&gt;0,Q64*1000000/K64/Economy!Q64,0)</f>
        <v/>
      </c>
      <c r="S64" s="62">
        <f>People!U64</f>
        <v/>
      </c>
      <c r="T64" s="45" t="n">
        <v>302</v>
      </c>
      <c r="U64" s="68" t="n">
        <v>0.531</v>
      </c>
      <c r="V64" s="47">
        <f>IF(S64&gt;0,T64*1000000/S64,0)</f>
        <v/>
      </c>
      <c r="W64" s="64">
        <f>IF(AND(U64&gt;0,V63&gt;0,B64&gt;0),MIN(conv_cap,conv_beta*1*U64*MAX(0,LN(B64/(V63*X63)))),0)</f>
        <v/>
      </c>
      <c r="X64" s="65">
        <f>X63*(1+W64)</f>
        <v/>
      </c>
      <c r="Y64" s="47">
        <f>T64*X64</f>
        <v/>
      </c>
      <c r="Z64" s="67">
        <f>IF(S64&gt;0,Y64*1000000/S64/Economy!Q64,0)</f>
        <v/>
      </c>
      <c r="AA64" s="45" t="n">
        <v>0</v>
      </c>
      <c r="AB64" s="45" t="n">
        <v>0</v>
      </c>
      <c r="AC64" s="68" t="n">
        <v>0</v>
      </c>
      <c r="AD64" s="47">
        <f>IF(AA64&gt;0,AB64*1000000/AA64,0)</f>
        <v/>
      </c>
      <c r="AE64" s="64">
        <f>IF(AND(AC64&gt;0,AD63&gt;0,B64&gt;0),MIN(conv_cap,conv_beta*1*AC64*MAX(0,LN(B64/(AD63*AF63)))),0)</f>
        <v/>
      </c>
      <c r="AF64" s="65">
        <f>AF63*(1+AE64)</f>
        <v/>
      </c>
      <c r="AG64" s="47">
        <f>AB64*AF64</f>
        <v/>
      </c>
      <c r="AH64" s="67">
        <f>IF(AA64&gt;0,AG64*1000000/AA64/Economy!Q64,0)</f>
        <v/>
      </c>
      <c r="AI64" s="45" t="n">
        <v>409200000</v>
      </c>
      <c r="AJ64" s="45" t="n">
        <v>4308</v>
      </c>
      <c r="AK64" s="68" t="n">
        <v>0.217</v>
      </c>
      <c r="AL64" s="47">
        <f>IF(AI64&gt;0,AJ64*1000000/AI64,0)</f>
        <v/>
      </c>
      <c r="AM64" s="64">
        <f>IF(AND(AK64&gt;0,AL63&gt;0,B64&gt;0),MIN(conv_cap,conv_beta*1*AK64*MAX(0,LN(B64/(AL63*AN63)))),0)</f>
        <v/>
      </c>
      <c r="AN64" s="65">
        <f>AN63*(1+AM64)</f>
        <v/>
      </c>
      <c r="AO64" s="47">
        <f>AJ64*AN64</f>
        <v/>
      </c>
      <c r="AP64" s="67">
        <f>IF(AI64&gt;0,AO64*1000000/AI64/Economy!Q64,0)</f>
        <v/>
      </c>
      <c r="AQ64" s="45" t="n">
        <v>12920000</v>
      </c>
      <c r="AR64" s="45" t="n">
        <v>296</v>
      </c>
      <c r="AS64" s="68" t="n">
        <v>0.49</v>
      </c>
      <c r="AT64" s="47">
        <f>IF(AQ64&gt;0,AR64*1000000/AQ64,0)</f>
        <v/>
      </c>
      <c r="AU64" s="64">
        <f>IF(AND(AS64&gt;0,AT63&gt;0,B64&gt;0),MIN(conv_cap,conv_beta*1*AS64*MAX(0,LN(B64/(AT63*AV63)))),0)</f>
        <v/>
      </c>
      <c r="AV64" s="65">
        <f>AV63*(1+AU64)</f>
        <v/>
      </c>
      <c r="AW64" s="47">
        <f>AR64*AV64</f>
        <v/>
      </c>
      <c r="AX64" s="67">
        <f>IF(AQ64&gt;0,AW64*1000000/AQ64/Economy!Q64,0)</f>
        <v/>
      </c>
      <c r="AY64" s="45" t="n">
        <v>84600000</v>
      </c>
      <c r="AZ64" s="45" t="n">
        <v>2308</v>
      </c>
      <c r="BA64" s="68" t="n">
        <v>0.115</v>
      </c>
      <c r="BB64" s="47">
        <f>IF(AY64&gt;0,AZ64*1000000/AY64,0)</f>
        <v/>
      </c>
      <c r="BC64" s="64">
        <f>IF(AND(BA64&gt;0,BB63&gt;0,B64&gt;0),MIN(conv_cap,conv_beta*1*BA64*MAX(0,LN(B64/(BB63*BD63)))),0)</f>
        <v/>
      </c>
      <c r="BD64" s="65">
        <f>BD63*(1+BC64)</f>
        <v/>
      </c>
      <c r="BE64" s="47">
        <f>AZ64*BD64</f>
        <v/>
      </c>
      <c r="BF64" s="67">
        <f>IF(AY64&gt;0,BE64*1000000/AY64/Economy!Q64,0)</f>
        <v/>
      </c>
      <c r="BG64" s="45" t="n">
        <v>32200000</v>
      </c>
      <c r="BH64" s="45" t="n">
        <v>2662</v>
      </c>
      <c r="BI64" s="68" t="n">
        <v>0.225</v>
      </c>
      <c r="BJ64" s="47">
        <f>IF(BG64&gt;0,BH64*1000000/BG64,0)</f>
        <v/>
      </c>
      <c r="BK64" s="64">
        <f>IF(AND(BI64&gt;0,BJ63&gt;0,B64&gt;0),MIN(conv_cap,conv_beta*1*BI64*MAX(0,LN(B64/(BJ63*BL63)))),0)</f>
        <v/>
      </c>
      <c r="BL64" s="65">
        <f>BL63*(1+BK64)</f>
        <v/>
      </c>
      <c r="BM64" s="47">
        <f>BH64*BL64</f>
        <v/>
      </c>
      <c r="BN64" s="67">
        <f>IF(BG64&gt;0,BM64*1000000/BG64/Economy!Q64,0)</f>
        <v/>
      </c>
      <c r="BO64" s="45" t="n">
        <v>14600000</v>
      </c>
      <c r="BP64" s="45" t="n">
        <v>892</v>
      </c>
      <c r="BQ64" s="68" t="n">
        <v>0</v>
      </c>
      <c r="BR64" s="47">
        <f>IF(BO64&gt;0,BP64*1000000/BO64,0)</f>
        <v/>
      </c>
      <c r="BS64" s="64">
        <f>IF(AND(BQ64&gt;0,BR63&gt;0,B64&gt;0),MIN(conv_cap,conv_beta*1*BQ64*MAX(0,LN(B64/(BR63*BT63)))),0)</f>
        <v/>
      </c>
      <c r="BT64" s="65">
        <f>BT63*(1+BS64)</f>
        <v/>
      </c>
      <c r="BU64" s="47">
        <f>BP64*BT64</f>
        <v/>
      </c>
      <c r="BV64" s="67">
        <f>IF(BO64&gt;0,BU64*1000000/BO64/Economy!Q64,0)</f>
        <v/>
      </c>
      <c r="BW64" s="65">
        <f>0.25*IF(D64&gt;0,H64,1)+0.15*IF(AJ64&gt;0,AN64,1)+0.03*IF(AR64&gt;0,AV64,1)+0.08*IF(AZ64&gt;0,BD64,1)+0.12*IF(BH64&gt;0,BL64,1)+0.1*IF(L64&gt;0,P64,1)+0.07*IF(T64&gt;0,X64,1)+0.05*IF(AB64&gt;0,AF64,1)+0.05*IF(BP64&gt;0,BT64,1)+0.1</f>
        <v/>
      </c>
      <c r="BX64" s="63">
        <f>MIN(mkt_cap,mkt_elast*MAX(0,BW64-1))</f>
        <v/>
      </c>
      <c r="BY64" s="47">
        <f>I64+Q64+Y64+AG64</f>
        <v/>
      </c>
      <c r="BZ64" s="47">
        <f>D64+L64+T64+AB64</f>
        <v/>
      </c>
      <c r="CA64" s="65">
        <f>IF(BZ64&gt;0,BY64/BZ64,0)</f>
        <v/>
      </c>
    </row>
    <row r="65">
      <c r="A65" s="58" t="n">
        <v>1905</v>
      </c>
      <c r="B65" s="47">
        <f>Economy!P64</f>
        <v/>
      </c>
      <c r="C65" s="45" t="n">
        <v>46810000</v>
      </c>
      <c r="D65" s="62">
        <f>Japan!B65</f>
        <v/>
      </c>
      <c r="E65" s="68" t="n">
        <v>0.75</v>
      </c>
      <c r="F65" s="47">
        <f>IF(C65&gt;0,D65*1000000/C65,0)</f>
        <v/>
      </c>
      <c r="G65" s="64">
        <f>IF(AND(E65&gt;0,F64&gt;0,B65&gt;0),MIN(conv_cap,conv_beta*jp_uplift*E65*MAX(0,LN(B65/(F64*H64)))),0)</f>
        <v/>
      </c>
      <c r="H65" s="65">
        <f>H64*(1+G65)</f>
        <v/>
      </c>
      <c r="I65" s="47">
        <f>D65*H65</f>
        <v/>
      </c>
      <c r="J65" s="67">
        <f>IF(C65&gt;0,I65*1000000/C65/Economy!Q65,0)</f>
        <v/>
      </c>
      <c r="K65" s="62">
        <f>Gulf!B65</f>
        <v/>
      </c>
      <c r="L65" s="47">
        <f>Gulf!B65*Gulf!C65*Economy!Q65/1000000</f>
        <v/>
      </c>
      <c r="M65" s="68" t="n">
        <v>0.5580000000000001</v>
      </c>
      <c r="N65" s="47">
        <f>IF(K65&gt;0,L65*1000000/K65,0)</f>
        <v/>
      </c>
      <c r="O65" s="64">
        <f>IF(AND(M65&gt;0,N64&gt;0,B65&gt;0),MIN(conv_cap,conv_beta*1*M65*MAX(0,LN(B65/(N64*P64)))),0)</f>
        <v/>
      </c>
      <c r="P65" s="65">
        <f>P64*(1+O65)</f>
        <v/>
      </c>
      <c r="Q65" s="47">
        <f>L65*P65</f>
        <v/>
      </c>
      <c r="R65" s="67">
        <f>IF(K65&gt;0,Q65*1000000/K65/Economy!Q65,0)</f>
        <v/>
      </c>
      <c r="S65" s="62">
        <f>People!U65</f>
        <v/>
      </c>
      <c r="T65" s="45" t="n">
        <v>315</v>
      </c>
      <c r="U65" s="68" t="n">
        <v>0.538</v>
      </c>
      <c r="V65" s="47">
        <f>IF(S65&gt;0,T65*1000000/S65,0)</f>
        <v/>
      </c>
      <c r="W65" s="64">
        <f>IF(AND(U65&gt;0,V64&gt;0,B65&gt;0),MIN(conv_cap,conv_beta*1*U65*MAX(0,LN(B65/(V64*X64)))),0)</f>
        <v/>
      </c>
      <c r="X65" s="65">
        <f>X64*(1+W65)</f>
        <v/>
      </c>
      <c r="Y65" s="47">
        <f>T65*X65</f>
        <v/>
      </c>
      <c r="Z65" s="67">
        <f>IF(S65&gt;0,Y65*1000000/S65/Economy!Q65,0)</f>
        <v/>
      </c>
      <c r="AA65" s="45" t="n">
        <v>0</v>
      </c>
      <c r="AB65" s="45" t="n">
        <v>0</v>
      </c>
      <c r="AC65" s="68" t="n">
        <v>0</v>
      </c>
      <c r="AD65" s="47">
        <f>IF(AA65&gt;0,AB65*1000000/AA65,0)</f>
        <v/>
      </c>
      <c r="AE65" s="64">
        <f>IF(AND(AC65&gt;0,AD64&gt;0,B65&gt;0),MIN(conv_cap,conv_beta*1*AC65*MAX(0,LN(B65/(AD64*AF64)))),0)</f>
        <v/>
      </c>
      <c r="AF65" s="65">
        <f>AF64*(1+AE65)</f>
        <v/>
      </c>
      <c r="AG65" s="47">
        <f>AB65*AF65</f>
        <v/>
      </c>
      <c r="AH65" s="67">
        <f>IF(AA65&gt;0,AG65*1000000/AA65/Economy!Q65,0)</f>
        <v/>
      </c>
      <c r="AI65" s="45" t="n">
        <v>411500000</v>
      </c>
      <c r="AJ65" s="45" t="n">
        <v>4385</v>
      </c>
      <c r="AK65" s="68" t="n">
        <v>0.221</v>
      </c>
      <c r="AL65" s="47">
        <f>IF(AI65&gt;0,AJ65*1000000/AI65,0)</f>
        <v/>
      </c>
      <c r="AM65" s="64">
        <f>IF(AND(AK65&gt;0,AL64&gt;0,B65&gt;0),MIN(conv_cap,conv_beta*1*AK65*MAX(0,LN(B65/(AL64*AN64)))),0)</f>
        <v/>
      </c>
      <c r="AN65" s="65">
        <f>AN64*(1+AM65)</f>
        <v/>
      </c>
      <c r="AO65" s="47">
        <f>AJ65*AN65</f>
        <v/>
      </c>
      <c r="AP65" s="67">
        <f>IF(AI65&gt;0,AO65*1000000/AI65/Economy!Q65,0)</f>
        <v/>
      </c>
      <c r="AQ65" s="45" t="n">
        <v>13150000</v>
      </c>
      <c r="AR65" s="45" t="n">
        <v>308</v>
      </c>
      <c r="AS65" s="68" t="n">
        <v>0.5</v>
      </c>
      <c r="AT65" s="47">
        <f>IF(AQ65&gt;0,AR65*1000000/AQ65,0)</f>
        <v/>
      </c>
      <c r="AU65" s="64">
        <f>IF(AND(AS65&gt;0,AT64&gt;0,B65&gt;0),MIN(conv_cap,conv_beta*1*AS65*MAX(0,LN(B65/(AT64*AV64)))),0)</f>
        <v/>
      </c>
      <c r="AV65" s="65">
        <f>AV64*(1+AU65)</f>
        <v/>
      </c>
      <c r="AW65" s="47">
        <f>AR65*AV65</f>
        <v/>
      </c>
      <c r="AX65" s="67">
        <f>IF(AQ65&gt;0,AW65*1000000/AQ65/Economy!Q65,0)</f>
        <v/>
      </c>
      <c r="AY65" s="45" t="n">
        <v>85800000</v>
      </c>
      <c r="AZ65" s="45" t="n">
        <v>2385</v>
      </c>
      <c r="BA65" s="68" t="n">
        <v>0.119</v>
      </c>
      <c r="BB65" s="47">
        <f>IF(AY65&gt;0,AZ65*1000000/AY65,0)</f>
        <v/>
      </c>
      <c r="BC65" s="64">
        <f>IF(AND(BA65&gt;0,BB64&gt;0,B65&gt;0),MIN(conv_cap,conv_beta*1*BA65*MAX(0,LN(B65/(BB64*BD64)))),0)</f>
        <v/>
      </c>
      <c r="BD65" s="65">
        <f>BD64*(1+BC65)</f>
        <v/>
      </c>
      <c r="BE65" s="47">
        <f>AZ65*BD65</f>
        <v/>
      </c>
      <c r="BF65" s="67">
        <f>IF(AY65&gt;0,BE65*1000000/AY65/Economy!Q65,0)</f>
        <v/>
      </c>
      <c r="BG65" s="45" t="n">
        <v>32700000</v>
      </c>
      <c r="BH65" s="45" t="n">
        <v>2777</v>
      </c>
      <c r="BI65" s="68" t="n">
        <v>0.233</v>
      </c>
      <c r="BJ65" s="47">
        <f>IF(BG65&gt;0,BH65*1000000/BG65,0)</f>
        <v/>
      </c>
      <c r="BK65" s="64">
        <f>IF(AND(BI65&gt;0,BJ64&gt;0,B65&gt;0),MIN(conv_cap,conv_beta*1*BI65*MAX(0,LN(B65/(BJ64*BL64)))),0)</f>
        <v/>
      </c>
      <c r="BL65" s="65">
        <f>BL64*(1+BK65)</f>
        <v/>
      </c>
      <c r="BM65" s="47">
        <f>BH65*BL65</f>
        <v/>
      </c>
      <c r="BN65" s="67">
        <f>IF(BG65&gt;0,BM65*1000000/BG65/Economy!Q65,0)</f>
        <v/>
      </c>
      <c r="BO65" s="45" t="n">
        <v>14800000</v>
      </c>
      <c r="BP65" s="45" t="n">
        <v>915</v>
      </c>
      <c r="BQ65" s="68" t="n">
        <v>0.05</v>
      </c>
      <c r="BR65" s="47">
        <f>IF(BO65&gt;0,BP65*1000000/BO65,0)</f>
        <v/>
      </c>
      <c r="BS65" s="64">
        <f>IF(AND(BQ65&gt;0,BR64&gt;0,B65&gt;0),MIN(conv_cap,conv_beta*1*BQ65*MAX(0,LN(B65/(BR64*BT64)))),0)</f>
        <v/>
      </c>
      <c r="BT65" s="65">
        <f>BT64*(1+BS65)</f>
        <v/>
      </c>
      <c r="BU65" s="47">
        <f>BP65*BT65</f>
        <v/>
      </c>
      <c r="BV65" s="67">
        <f>IF(BO65&gt;0,BU65*1000000/BO65/Economy!Q65,0)</f>
        <v/>
      </c>
      <c r="BW65" s="65">
        <f>0.25*IF(D65&gt;0,H65,1)+0.15*IF(AJ65&gt;0,AN65,1)+0.03*IF(AR65&gt;0,AV65,1)+0.08*IF(AZ65&gt;0,BD65,1)+0.12*IF(BH65&gt;0,BL65,1)+0.1*IF(L65&gt;0,P65,1)+0.07*IF(T65&gt;0,X65,1)+0.05*IF(AB65&gt;0,AF65,1)+0.05*IF(BP65&gt;0,BT65,1)+0.1</f>
        <v/>
      </c>
      <c r="BX65" s="63">
        <f>MIN(mkt_cap,mkt_elast*MAX(0,BW65-1))</f>
        <v/>
      </c>
      <c r="BY65" s="47">
        <f>I65+Q65+Y65+AG65</f>
        <v/>
      </c>
      <c r="BZ65" s="47">
        <f>D65+L65+T65+AB65</f>
        <v/>
      </c>
      <c r="CA65" s="65">
        <f>IF(BZ65&gt;0,BY65/BZ65,0)</f>
        <v/>
      </c>
    </row>
    <row r="66">
      <c r="A66" s="58" t="n">
        <v>1906</v>
      </c>
      <c r="B66" s="47">
        <f>Economy!P65</f>
        <v/>
      </c>
      <c r="C66" s="45" t="n">
        <v>47370000</v>
      </c>
      <c r="D66" s="62">
        <f>Japan!B66</f>
        <v/>
      </c>
      <c r="E66" s="68" t="n">
        <v>0.756</v>
      </c>
      <c r="F66" s="47">
        <f>IF(C66&gt;0,D66*1000000/C66,0)</f>
        <v/>
      </c>
      <c r="G66" s="64">
        <f>IF(AND(E66&gt;0,F65&gt;0,B66&gt;0),MIN(conv_cap,conv_beta*jp_uplift*E66*MAX(0,LN(B66/(F65*H65)))),0)</f>
        <v/>
      </c>
      <c r="H66" s="65">
        <f>H65*(1+G66)</f>
        <v/>
      </c>
      <c r="I66" s="47">
        <f>D66*H66</f>
        <v/>
      </c>
      <c r="J66" s="67">
        <f>IF(C66&gt;0,I66*1000000/C66/Economy!Q66,0)</f>
        <v/>
      </c>
      <c r="K66" s="62">
        <f>Gulf!B66</f>
        <v/>
      </c>
      <c r="L66" s="47">
        <f>Gulf!B66*Gulf!C66*Economy!Q66/1000000</f>
        <v/>
      </c>
      <c r="M66" s="68" t="n">
        <v>0.569</v>
      </c>
      <c r="N66" s="47">
        <f>IF(K66&gt;0,L66*1000000/K66,0)</f>
        <v/>
      </c>
      <c r="O66" s="64">
        <f>IF(AND(M66&gt;0,N65&gt;0,B66&gt;0),MIN(conv_cap,conv_beta*1*M66*MAX(0,LN(B66/(N65*P65)))),0)</f>
        <v/>
      </c>
      <c r="P66" s="65">
        <f>P65*(1+O66)</f>
        <v/>
      </c>
      <c r="Q66" s="47">
        <f>L66*P66</f>
        <v/>
      </c>
      <c r="R66" s="67">
        <f>IF(K66&gt;0,Q66*1000000/K66/Economy!Q66,0)</f>
        <v/>
      </c>
      <c r="S66" s="62">
        <f>People!U66</f>
        <v/>
      </c>
      <c r="T66" s="45" t="n">
        <v>328</v>
      </c>
      <c r="U66" s="68" t="n">
        <v>0.546</v>
      </c>
      <c r="V66" s="47">
        <f>IF(S66&gt;0,T66*1000000/S66,0)</f>
        <v/>
      </c>
      <c r="W66" s="64">
        <f>IF(AND(U66&gt;0,V65&gt;0,B66&gt;0),MIN(conv_cap,conv_beta*1*U66*MAX(0,LN(B66/(V65*X65)))),0)</f>
        <v/>
      </c>
      <c r="X66" s="65">
        <f>X65*(1+W66)</f>
        <v/>
      </c>
      <c r="Y66" s="47">
        <f>T66*X66</f>
        <v/>
      </c>
      <c r="Z66" s="67">
        <f>IF(S66&gt;0,Y66*1000000/S66/Economy!Q66,0)</f>
        <v/>
      </c>
      <c r="AA66" s="45" t="n">
        <v>0</v>
      </c>
      <c r="AB66" s="45" t="n">
        <v>0</v>
      </c>
      <c r="AC66" s="68" t="n">
        <v>0</v>
      </c>
      <c r="AD66" s="47">
        <f>IF(AA66&gt;0,AB66*1000000/AA66,0)</f>
        <v/>
      </c>
      <c r="AE66" s="64">
        <f>IF(AND(AC66&gt;0,AD65&gt;0,B66&gt;0),MIN(conv_cap,conv_beta*1*AC66*MAX(0,LN(B66/(AD65*AF65)))),0)</f>
        <v/>
      </c>
      <c r="AF66" s="65">
        <f>AF65*(1+AE66)</f>
        <v/>
      </c>
      <c r="AG66" s="47">
        <f>AB66*AF66</f>
        <v/>
      </c>
      <c r="AH66" s="67">
        <f>IF(AA66&gt;0,AG66*1000000/AA66/Economy!Q66,0)</f>
        <v/>
      </c>
      <c r="AI66" s="45" t="n">
        <v>413800000</v>
      </c>
      <c r="AJ66" s="45" t="n">
        <v>4462</v>
      </c>
      <c r="AK66" s="68" t="n">
        <v>0.225</v>
      </c>
      <c r="AL66" s="47">
        <f>IF(AI66&gt;0,AJ66*1000000/AI66,0)</f>
        <v/>
      </c>
      <c r="AM66" s="64">
        <f>IF(AND(AK66&gt;0,AL65&gt;0,B66&gt;0),MIN(conv_cap,conv_beta*1*AK66*MAX(0,LN(B66/(AL65*AN65)))),0)</f>
        <v/>
      </c>
      <c r="AN66" s="65">
        <f>AN65*(1+AM66)</f>
        <v/>
      </c>
      <c r="AO66" s="47">
        <f>AJ66*AN66</f>
        <v/>
      </c>
      <c r="AP66" s="67">
        <f>IF(AI66&gt;0,AO66*1000000/AI66/Economy!Q66,0)</f>
        <v/>
      </c>
      <c r="AQ66" s="45" t="n">
        <v>13380000</v>
      </c>
      <c r="AR66" s="45" t="n">
        <v>319</v>
      </c>
      <c r="AS66" s="68" t="n">
        <v>0.504</v>
      </c>
      <c r="AT66" s="47">
        <f>IF(AQ66&gt;0,AR66*1000000/AQ66,0)</f>
        <v/>
      </c>
      <c r="AU66" s="64">
        <f>IF(AND(AS66&gt;0,AT65&gt;0,B66&gt;0),MIN(conv_cap,conv_beta*1*AS66*MAX(0,LN(B66/(AT65*AV65)))),0)</f>
        <v/>
      </c>
      <c r="AV66" s="65">
        <f>AV65*(1+AU66)</f>
        <v/>
      </c>
      <c r="AW66" s="47">
        <f>AR66*AV66</f>
        <v/>
      </c>
      <c r="AX66" s="67">
        <f>IF(AQ66&gt;0,AW66*1000000/AQ66/Economy!Q66,0)</f>
        <v/>
      </c>
      <c r="AY66" s="45" t="n">
        <v>86900000</v>
      </c>
      <c r="AZ66" s="45" t="n">
        <v>2462</v>
      </c>
      <c r="BA66" s="68" t="n">
        <v>0.123</v>
      </c>
      <c r="BB66" s="47">
        <f>IF(AY66&gt;0,AZ66*1000000/AY66,0)</f>
        <v/>
      </c>
      <c r="BC66" s="64">
        <f>IF(AND(BA66&gt;0,BB65&gt;0,B66&gt;0),MIN(conv_cap,conv_beta*1*BA66*MAX(0,LN(B66/(BB65*BD65)))),0)</f>
        <v/>
      </c>
      <c r="BD66" s="65">
        <f>BD65*(1+BC66)</f>
        <v/>
      </c>
      <c r="BE66" s="47">
        <f>AZ66*BD66</f>
        <v/>
      </c>
      <c r="BF66" s="67">
        <f>IF(AY66&gt;0,BE66*1000000/AY66/Economy!Q66,0)</f>
        <v/>
      </c>
      <c r="BG66" s="45" t="n">
        <v>33200000</v>
      </c>
      <c r="BH66" s="45" t="n">
        <v>2892</v>
      </c>
      <c r="BI66" s="68" t="n">
        <v>0.242</v>
      </c>
      <c r="BJ66" s="47">
        <f>IF(BG66&gt;0,BH66*1000000/BG66,0)</f>
        <v/>
      </c>
      <c r="BK66" s="64">
        <f>IF(AND(BI66&gt;0,BJ65&gt;0,B66&gt;0),MIN(conv_cap,conv_beta*1*BI66*MAX(0,LN(B66/(BJ65*BL65)))),0)</f>
        <v/>
      </c>
      <c r="BL66" s="65">
        <f>BL65*(1+BK66)</f>
        <v/>
      </c>
      <c r="BM66" s="47">
        <f>BH66*BL66</f>
        <v/>
      </c>
      <c r="BN66" s="67">
        <f>IF(BG66&gt;0,BM66*1000000/BG66/Economy!Q66,0)</f>
        <v/>
      </c>
      <c r="BO66" s="45" t="n">
        <v>14900000</v>
      </c>
      <c r="BP66" s="45" t="n">
        <v>938</v>
      </c>
      <c r="BQ66" s="68" t="n">
        <v>0.056</v>
      </c>
      <c r="BR66" s="47">
        <f>IF(BO66&gt;0,BP66*1000000/BO66,0)</f>
        <v/>
      </c>
      <c r="BS66" s="64">
        <f>IF(AND(BQ66&gt;0,BR65&gt;0,B66&gt;0),MIN(conv_cap,conv_beta*1*BQ66*MAX(0,LN(B66/(BR65*BT65)))),0)</f>
        <v/>
      </c>
      <c r="BT66" s="65">
        <f>BT65*(1+BS66)</f>
        <v/>
      </c>
      <c r="BU66" s="47">
        <f>BP66*BT66</f>
        <v/>
      </c>
      <c r="BV66" s="67">
        <f>IF(BO66&gt;0,BU66*1000000/BO66/Economy!Q66,0)</f>
        <v/>
      </c>
      <c r="BW66" s="65">
        <f>0.25*IF(D66&gt;0,H66,1)+0.15*IF(AJ66&gt;0,AN66,1)+0.03*IF(AR66&gt;0,AV66,1)+0.08*IF(AZ66&gt;0,BD66,1)+0.12*IF(BH66&gt;0,BL66,1)+0.1*IF(L66&gt;0,P66,1)+0.07*IF(T66&gt;0,X66,1)+0.05*IF(AB66&gt;0,AF66,1)+0.05*IF(BP66&gt;0,BT66,1)+0.1</f>
        <v/>
      </c>
      <c r="BX66" s="63">
        <f>MIN(mkt_cap,mkt_elast*MAX(0,BW66-1))</f>
        <v/>
      </c>
      <c r="BY66" s="47">
        <f>I66+Q66+Y66+AG66</f>
        <v/>
      </c>
      <c r="BZ66" s="47">
        <f>D66+L66+T66+AB66</f>
        <v/>
      </c>
      <c r="CA66" s="65">
        <f>IF(BZ66&gt;0,BY66/BZ66,0)</f>
        <v/>
      </c>
    </row>
    <row r="67">
      <c r="A67" s="58" t="n">
        <v>1907</v>
      </c>
      <c r="B67" s="47">
        <f>Economy!P66</f>
        <v/>
      </c>
      <c r="C67" s="45" t="n">
        <v>47930000</v>
      </c>
      <c r="D67" s="62">
        <f>Japan!B67</f>
        <v/>
      </c>
      <c r="E67" s="68" t="n">
        <v>0.761</v>
      </c>
      <c r="F67" s="47">
        <f>IF(C67&gt;0,D67*1000000/C67,0)</f>
        <v/>
      </c>
      <c r="G67" s="64">
        <f>IF(AND(E67&gt;0,F66&gt;0,B67&gt;0),MIN(conv_cap,conv_beta*jp_uplift*E67*MAX(0,LN(B67/(F66*H66)))),0)</f>
        <v/>
      </c>
      <c r="H67" s="65">
        <f>H66*(1+G67)</f>
        <v/>
      </c>
      <c r="I67" s="47">
        <f>D67*H67</f>
        <v/>
      </c>
      <c r="J67" s="67">
        <f>IF(C67&gt;0,I67*1000000/C67/Economy!Q67,0)</f>
        <v/>
      </c>
      <c r="K67" s="62">
        <f>Gulf!B67</f>
        <v/>
      </c>
      <c r="L67" s="47">
        <f>Gulf!B67*Gulf!C67*Economy!Q67/1000000</f>
        <v/>
      </c>
      <c r="M67" s="68" t="n">
        <v>0.581</v>
      </c>
      <c r="N67" s="47">
        <f>IF(K67&gt;0,L67*1000000/K67,0)</f>
        <v/>
      </c>
      <c r="O67" s="64">
        <f>IF(AND(M67&gt;0,N66&gt;0,B67&gt;0),MIN(conv_cap,conv_beta*1*M67*MAX(0,LN(B67/(N66*P66)))),0)</f>
        <v/>
      </c>
      <c r="P67" s="65">
        <f>P66*(1+O67)</f>
        <v/>
      </c>
      <c r="Q67" s="47">
        <f>L67*P67</f>
        <v/>
      </c>
      <c r="R67" s="67">
        <f>IF(K67&gt;0,Q67*1000000/K67/Economy!Q67,0)</f>
        <v/>
      </c>
      <c r="S67" s="62">
        <f>People!U67</f>
        <v/>
      </c>
      <c r="T67" s="45" t="n">
        <v>342</v>
      </c>
      <c r="U67" s="68" t="n">
        <v>0.554</v>
      </c>
      <c r="V67" s="47">
        <f>IF(S67&gt;0,T67*1000000/S67,0)</f>
        <v/>
      </c>
      <c r="W67" s="64">
        <f>IF(AND(U67&gt;0,V66&gt;0,B67&gt;0),MIN(conv_cap,conv_beta*1*U67*MAX(0,LN(B67/(V66*X66)))),0)</f>
        <v/>
      </c>
      <c r="X67" s="65">
        <f>X66*(1+W67)</f>
        <v/>
      </c>
      <c r="Y67" s="47">
        <f>T67*X67</f>
        <v/>
      </c>
      <c r="Z67" s="67">
        <f>IF(S67&gt;0,Y67*1000000/S67/Economy!Q67,0)</f>
        <v/>
      </c>
      <c r="AA67" s="45" t="n">
        <v>0</v>
      </c>
      <c r="AB67" s="45" t="n">
        <v>0</v>
      </c>
      <c r="AC67" s="68" t="n">
        <v>0</v>
      </c>
      <c r="AD67" s="47">
        <f>IF(AA67&gt;0,AB67*1000000/AA67,0)</f>
        <v/>
      </c>
      <c r="AE67" s="64">
        <f>IF(AND(AC67&gt;0,AD66&gt;0,B67&gt;0),MIN(conv_cap,conv_beta*1*AC67*MAX(0,LN(B67/(AD66*AF66)))),0)</f>
        <v/>
      </c>
      <c r="AF67" s="65">
        <f>AF66*(1+AE67)</f>
        <v/>
      </c>
      <c r="AG67" s="47">
        <f>AB67*AF67</f>
        <v/>
      </c>
      <c r="AH67" s="67">
        <f>IF(AA67&gt;0,AG67*1000000/AA67/Economy!Q67,0)</f>
        <v/>
      </c>
      <c r="AI67" s="45" t="n">
        <v>416200000</v>
      </c>
      <c r="AJ67" s="45" t="n">
        <v>4538</v>
      </c>
      <c r="AK67" s="68" t="n">
        <v>0.229</v>
      </c>
      <c r="AL67" s="47">
        <f>IF(AI67&gt;0,AJ67*1000000/AI67,0)</f>
        <v/>
      </c>
      <c r="AM67" s="64">
        <f>IF(AND(AK67&gt;0,AL66&gt;0,B67&gt;0),MIN(conv_cap,conv_beta*1*AK67*MAX(0,LN(B67/(AL66*AN66)))),0)</f>
        <v/>
      </c>
      <c r="AN67" s="65">
        <f>AN66*(1+AM67)</f>
        <v/>
      </c>
      <c r="AO67" s="47">
        <f>AJ67*AN67</f>
        <v/>
      </c>
      <c r="AP67" s="67">
        <f>IF(AI67&gt;0,AO67*1000000/AI67/Economy!Q67,0)</f>
        <v/>
      </c>
      <c r="AQ67" s="45" t="n">
        <v>13620000</v>
      </c>
      <c r="AR67" s="45" t="n">
        <v>331</v>
      </c>
      <c r="AS67" s="68" t="n">
        <v>0.508</v>
      </c>
      <c r="AT67" s="47">
        <f>IF(AQ67&gt;0,AR67*1000000/AQ67,0)</f>
        <v/>
      </c>
      <c r="AU67" s="64">
        <f>IF(AND(AS67&gt;0,AT66&gt;0,B67&gt;0),MIN(conv_cap,conv_beta*1*AS67*MAX(0,LN(B67/(AT66*AV66)))),0)</f>
        <v/>
      </c>
      <c r="AV67" s="65">
        <f>AV66*(1+AU67)</f>
        <v/>
      </c>
      <c r="AW67" s="47">
        <f>AR67*AV67</f>
        <v/>
      </c>
      <c r="AX67" s="67">
        <f>IF(AQ67&gt;0,AW67*1000000/AQ67/Economy!Q67,0)</f>
        <v/>
      </c>
      <c r="AY67" s="45" t="n">
        <v>88100000</v>
      </c>
      <c r="AZ67" s="45" t="n">
        <v>2538</v>
      </c>
      <c r="BA67" s="68" t="n">
        <v>0.127</v>
      </c>
      <c r="BB67" s="47">
        <f>IF(AY67&gt;0,AZ67*1000000/AY67,0)</f>
        <v/>
      </c>
      <c r="BC67" s="64">
        <f>IF(AND(BA67&gt;0,BB66&gt;0,B67&gt;0),MIN(conv_cap,conv_beta*1*BA67*MAX(0,LN(B67/(BB66*BD66)))),0)</f>
        <v/>
      </c>
      <c r="BD67" s="65">
        <f>BD66*(1+BC67)</f>
        <v/>
      </c>
      <c r="BE67" s="47">
        <f>AZ67*BD67</f>
        <v/>
      </c>
      <c r="BF67" s="67">
        <f>IF(AY67&gt;0,BE67*1000000/AY67/Economy!Q67,0)</f>
        <v/>
      </c>
      <c r="BG67" s="45" t="n">
        <v>33800000</v>
      </c>
      <c r="BH67" s="45" t="n">
        <v>3008</v>
      </c>
      <c r="BI67" s="68" t="n">
        <v>0.25</v>
      </c>
      <c r="BJ67" s="47">
        <f>IF(BG67&gt;0,BH67*1000000/BG67,0)</f>
        <v/>
      </c>
      <c r="BK67" s="64">
        <f>IF(AND(BI67&gt;0,BJ66&gt;0,B67&gt;0),MIN(conv_cap,conv_beta*1*BI67*MAX(0,LN(B67/(BJ66*BL66)))),0)</f>
        <v/>
      </c>
      <c r="BL67" s="65">
        <f>BL66*(1+BK67)</f>
        <v/>
      </c>
      <c r="BM67" s="47">
        <f>BH67*BL67</f>
        <v/>
      </c>
      <c r="BN67" s="67">
        <f>IF(BG67&gt;0,BM67*1000000/BG67/Economy!Q67,0)</f>
        <v/>
      </c>
      <c r="BO67" s="45" t="n">
        <v>15100000</v>
      </c>
      <c r="BP67" s="45" t="n">
        <v>962</v>
      </c>
      <c r="BQ67" s="68" t="n">
        <v>0.062</v>
      </c>
      <c r="BR67" s="47">
        <f>IF(BO67&gt;0,BP67*1000000/BO67,0)</f>
        <v/>
      </c>
      <c r="BS67" s="64">
        <f>IF(AND(BQ67&gt;0,BR66&gt;0,B67&gt;0),MIN(conv_cap,conv_beta*1*BQ67*MAX(0,LN(B67/(BR66*BT66)))),0)</f>
        <v/>
      </c>
      <c r="BT67" s="65">
        <f>BT66*(1+BS67)</f>
        <v/>
      </c>
      <c r="BU67" s="47">
        <f>BP67*BT67</f>
        <v/>
      </c>
      <c r="BV67" s="67">
        <f>IF(BO67&gt;0,BU67*1000000/BO67/Economy!Q67,0)</f>
        <v/>
      </c>
      <c r="BW67" s="65">
        <f>0.25*IF(D67&gt;0,H67,1)+0.15*IF(AJ67&gt;0,AN67,1)+0.03*IF(AR67&gt;0,AV67,1)+0.08*IF(AZ67&gt;0,BD67,1)+0.12*IF(BH67&gt;0,BL67,1)+0.1*IF(L67&gt;0,P67,1)+0.07*IF(T67&gt;0,X67,1)+0.05*IF(AB67&gt;0,AF67,1)+0.05*IF(BP67&gt;0,BT67,1)+0.1</f>
        <v/>
      </c>
      <c r="BX67" s="63">
        <f>MIN(mkt_cap,mkt_elast*MAX(0,BW67-1))</f>
        <v/>
      </c>
      <c r="BY67" s="47">
        <f>I67+Q67+Y67+AG67</f>
        <v/>
      </c>
      <c r="BZ67" s="47">
        <f>D67+L67+T67+AB67</f>
        <v/>
      </c>
      <c r="CA67" s="65">
        <f>IF(BZ67&gt;0,BY67/BZ67,0)</f>
        <v/>
      </c>
    </row>
    <row r="68">
      <c r="A68" s="58" t="n">
        <v>1908</v>
      </c>
      <c r="B68" s="47">
        <f>Economy!P67</f>
        <v/>
      </c>
      <c r="C68" s="45" t="n">
        <v>48490000</v>
      </c>
      <c r="D68" s="62">
        <f>Japan!B68</f>
        <v/>
      </c>
      <c r="E68" s="68" t="n">
        <v>0.767</v>
      </c>
      <c r="F68" s="47">
        <f>IF(C68&gt;0,D68*1000000/C68,0)</f>
        <v/>
      </c>
      <c r="G68" s="64">
        <f>IF(AND(E68&gt;0,F67&gt;0,B68&gt;0),MIN(conv_cap,conv_beta*jp_uplift*E68*MAX(0,LN(B68/(F67*H67)))),0)</f>
        <v/>
      </c>
      <c r="H68" s="65">
        <f>H67*(1+G68)</f>
        <v/>
      </c>
      <c r="I68" s="47">
        <f>D68*H68</f>
        <v/>
      </c>
      <c r="J68" s="67">
        <f>IF(C68&gt;0,I68*1000000/C68/Economy!Q68,0)</f>
        <v/>
      </c>
      <c r="K68" s="62">
        <f>Gulf!B68</f>
        <v/>
      </c>
      <c r="L68" s="47">
        <f>Gulf!B68*Gulf!C68*Economy!Q68/1000000</f>
        <v/>
      </c>
      <c r="M68" s="68" t="n">
        <v>0.592</v>
      </c>
      <c r="N68" s="47">
        <f>IF(K68&gt;0,L68*1000000/K68,0)</f>
        <v/>
      </c>
      <c r="O68" s="64">
        <f>IF(AND(M68&gt;0,N67&gt;0,B68&gt;0),MIN(conv_cap,conv_beta*1*M68*MAX(0,LN(B68/(N67*P67)))),0)</f>
        <v/>
      </c>
      <c r="P68" s="65">
        <f>P67*(1+O68)</f>
        <v/>
      </c>
      <c r="Q68" s="47">
        <f>L68*P68</f>
        <v/>
      </c>
      <c r="R68" s="67">
        <f>IF(K68&gt;0,Q68*1000000/K68/Economy!Q68,0)</f>
        <v/>
      </c>
      <c r="S68" s="62">
        <f>People!U68</f>
        <v/>
      </c>
      <c r="T68" s="45" t="n">
        <v>355</v>
      </c>
      <c r="U68" s="68" t="n">
        <v>0.5620000000000001</v>
      </c>
      <c r="V68" s="47">
        <f>IF(S68&gt;0,T68*1000000/S68,0)</f>
        <v/>
      </c>
      <c r="W68" s="64">
        <f>IF(AND(U68&gt;0,V67&gt;0,B68&gt;0),MIN(conv_cap,conv_beta*1*U68*MAX(0,LN(B68/(V67*X67)))),0)</f>
        <v/>
      </c>
      <c r="X68" s="65">
        <f>X67*(1+W68)</f>
        <v/>
      </c>
      <c r="Y68" s="47">
        <f>T68*X68</f>
        <v/>
      </c>
      <c r="Z68" s="67">
        <f>IF(S68&gt;0,Y68*1000000/S68/Economy!Q68,0)</f>
        <v/>
      </c>
      <c r="AA68" s="45" t="n">
        <v>0</v>
      </c>
      <c r="AB68" s="45" t="n">
        <v>0</v>
      </c>
      <c r="AC68" s="68" t="n">
        <v>0</v>
      </c>
      <c r="AD68" s="47">
        <f>IF(AA68&gt;0,AB68*1000000/AA68,0)</f>
        <v/>
      </c>
      <c r="AE68" s="64">
        <f>IF(AND(AC68&gt;0,AD67&gt;0,B68&gt;0),MIN(conv_cap,conv_beta*1*AC68*MAX(0,LN(B68/(AD67*AF67)))),0)</f>
        <v/>
      </c>
      <c r="AF68" s="65">
        <f>AF67*(1+AE68)</f>
        <v/>
      </c>
      <c r="AG68" s="47">
        <f>AB68*AF68</f>
        <v/>
      </c>
      <c r="AH68" s="67">
        <f>IF(AA68&gt;0,AG68*1000000/AA68/Economy!Q68,0)</f>
        <v/>
      </c>
      <c r="AI68" s="45" t="n">
        <v>418500000</v>
      </c>
      <c r="AJ68" s="45" t="n">
        <v>4615</v>
      </c>
      <c r="AK68" s="68" t="n">
        <v>0.233</v>
      </c>
      <c r="AL68" s="47">
        <f>IF(AI68&gt;0,AJ68*1000000/AI68,0)</f>
        <v/>
      </c>
      <c r="AM68" s="64">
        <f>IF(AND(AK68&gt;0,AL67&gt;0,B68&gt;0),MIN(conv_cap,conv_beta*1*AK68*MAX(0,LN(B68/(AL67*AN67)))),0)</f>
        <v/>
      </c>
      <c r="AN68" s="65">
        <f>AN67*(1+AM68)</f>
        <v/>
      </c>
      <c r="AO68" s="47">
        <f>AJ68*AN68</f>
        <v/>
      </c>
      <c r="AP68" s="67">
        <f>IF(AI68&gt;0,AO68*1000000/AI68/Economy!Q68,0)</f>
        <v/>
      </c>
      <c r="AQ68" s="45" t="n">
        <v>13850000</v>
      </c>
      <c r="AR68" s="45" t="n">
        <v>342</v>
      </c>
      <c r="AS68" s="68" t="n">
        <v>0.512</v>
      </c>
      <c r="AT68" s="47">
        <f>IF(AQ68&gt;0,AR68*1000000/AQ68,0)</f>
        <v/>
      </c>
      <c r="AU68" s="64">
        <f>IF(AND(AS68&gt;0,AT67&gt;0,B68&gt;0),MIN(conv_cap,conv_beta*1*AS68*MAX(0,LN(B68/(AT67*AV67)))),0)</f>
        <v/>
      </c>
      <c r="AV68" s="65">
        <f>AV67*(1+AU68)</f>
        <v/>
      </c>
      <c r="AW68" s="47">
        <f>AR68*AV68</f>
        <v/>
      </c>
      <c r="AX68" s="67">
        <f>IF(AQ68&gt;0,AW68*1000000/AQ68/Economy!Q68,0)</f>
        <v/>
      </c>
      <c r="AY68" s="45" t="n">
        <v>89200000</v>
      </c>
      <c r="AZ68" s="45" t="n">
        <v>2615</v>
      </c>
      <c r="BA68" s="68" t="n">
        <v>0.131</v>
      </c>
      <c r="BB68" s="47">
        <f>IF(AY68&gt;0,AZ68*1000000/AY68,0)</f>
        <v/>
      </c>
      <c r="BC68" s="64">
        <f>IF(AND(BA68&gt;0,BB67&gt;0,B68&gt;0),MIN(conv_cap,conv_beta*1*BA68*MAX(0,LN(B68/(BB67*BD67)))),0)</f>
        <v/>
      </c>
      <c r="BD68" s="65">
        <f>BD67*(1+BC68)</f>
        <v/>
      </c>
      <c r="BE68" s="47">
        <f>AZ68*BD68</f>
        <v/>
      </c>
      <c r="BF68" s="67">
        <f>IF(AY68&gt;0,BE68*1000000/AY68/Economy!Q68,0)</f>
        <v/>
      </c>
      <c r="BG68" s="45" t="n">
        <v>34300000</v>
      </c>
      <c r="BH68" s="45" t="n">
        <v>3123</v>
      </c>
      <c r="BI68" s="68" t="n">
        <v>0.258</v>
      </c>
      <c r="BJ68" s="47">
        <f>IF(BG68&gt;0,BH68*1000000/BG68,0)</f>
        <v/>
      </c>
      <c r="BK68" s="64">
        <f>IF(AND(BI68&gt;0,BJ67&gt;0,B68&gt;0),MIN(conv_cap,conv_beta*1*BI68*MAX(0,LN(B68/(BJ67*BL67)))),0)</f>
        <v/>
      </c>
      <c r="BL68" s="65">
        <f>BL67*(1+BK68)</f>
        <v/>
      </c>
      <c r="BM68" s="47">
        <f>BH68*BL68</f>
        <v/>
      </c>
      <c r="BN68" s="67">
        <f>IF(BG68&gt;0,BM68*1000000/BG68/Economy!Q68,0)</f>
        <v/>
      </c>
      <c r="BO68" s="45" t="n">
        <v>15200000</v>
      </c>
      <c r="BP68" s="45" t="n">
        <v>985</v>
      </c>
      <c r="BQ68" s="68" t="n">
        <v>0.06900000000000001</v>
      </c>
      <c r="BR68" s="47">
        <f>IF(BO68&gt;0,BP68*1000000/BO68,0)</f>
        <v/>
      </c>
      <c r="BS68" s="64">
        <f>IF(AND(BQ68&gt;0,BR67&gt;0,B68&gt;0),MIN(conv_cap,conv_beta*1*BQ68*MAX(0,LN(B68/(BR67*BT67)))),0)</f>
        <v/>
      </c>
      <c r="BT68" s="65">
        <f>BT67*(1+BS68)</f>
        <v/>
      </c>
      <c r="BU68" s="47">
        <f>BP68*BT68</f>
        <v/>
      </c>
      <c r="BV68" s="67">
        <f>IF(BO68&gt;0,BU68*1000000/BO68/Economy!Q68,0)</f>
        <v/>
      </c>
      <c r="BW68" s="65">
        <f>0.25*IF(D68&gt;0,H68,1)+0.15*IF(AJ68&gt;0,AN68,1)+0.03*IF(AR68&gt;0,AV68,1)+0.08*IF(AZ68&gt;0,BD68,1)+0.12*IF(BH68&gt;0,BL68,1)+0.1*IF(L68&gt;0,P68,1)+0.07*IF(T68&gt;0,X68,1)+0.05*IF(AB68&gt;0,AF68,1)+0.05*IF(BP68&gt;0,BT68,1)+0.1</f>
        <v/>
      </c>
      <c r="BX68" s="63">
        <f>MIN(mkt_cap,mkt_elast*MAX(0,BW68-1))</f>
        <v/>
      </c>
      <c r="BY68" s="47">
        <f>I68+Q68+Y68+AG68</f>
        <v/>
      </c>
      <c r="BZ68" s="47">
        <f>D68+L68+T68+AB68</f>
        <v/>
      </c>
      <c r="CA68" s="65">
        <f>IF(BZ68&gt;0,BY68/BZ68,0)</f>
        <v/>
      </c>
    </row>
    <row r="69">
      <c r="A69" s="58" t="n">
        <v>1909</v>
      </c>
      <c r="B69" s="47">
        <f>Economy!P68</f>
        <v/>
      </c>
      <c r="C69" s="45" t="n">
        <v>49050000</v>
      </c>
      <c r="D69" s="62">
        <f>Japan!B69</f>
        <v/>
      </c>
      <c r="E69" s="68" t="n">
        <v>0.772</v>
      </c>
      <c r="F69" s="47">
        <f>IF(C69&gt;0,D69*1000000/C69,0)</f>
        <v/>
      </c>
      <c r="G69" s="64">
        <f>IF(AND(E69&gt;0,F68&gt;0,B69&gt;0),MIN(conv_cap,conv_beta*jp_uplift*E69*MAX(0,LN(B69/(F68*H68)))),0)</f>
        <v/>
      </c>
      <c r="H69" s="65">
        <f>H68*(1+G69)</f>
        <v/>
      </c>
      <c r="I69" s="47">
        <f>D69*H69</f>
        <v/>
      </c>
      <c r="J69" s="67">
        <f>IF(C69&gt;0,I69*1000000/C69/Economy!Q69,0)</f>
        <v/>
      </c>
      <c r="K69" s="62">
        <f>Gulf!B69</f>
        <v/>
      </c>
      <c r="L69" s="47">
        <f>Gulf!B69*Gulf!C69*Economy!Q69/1000000</f>
        <v/>
      </c>
      <c r="M69" s="68" t="n">
        <v>0.604</v>
      </c>
      <c r="N69" s="47">
        <f>IF(K69&gt;0,L69*1000000/K69,0)</f>
        <v/>
      </c>
      <c r="O69" s="64">
        <f>IF(AND(M69&gt;0,N68&gt;0,B69&gt;0),MIN(conv_cap,conv_beta*1*M69*MAX(0,LN(B69/(N68*P68)))),0)</f>
        <v/>
      </c>
      <c r="P69" s="65">
        <f>P68*(1+O69)</f>
        <v/>
      </c>
      <c r="Q69" s="47">
        <f>L69*P69</f>
        <v/>
      </c>
      <c r="R69" s="67">
        <f>IF(K69&gt;0,Q69*1000000/K69/Economy!Q69,0)</f>
        <v/>
      </c>
      <c r="S69" s="62">
        <f>People!U69</f>
        <v/>
      </c>
      <c r="T69" s="45" t="n">
        <v>368</v>
      </c>
      <c r="U69" s="68" t="n">
        <v>0.569</v>
      </c>
      <c r="V69" s="47">
        <f>IF(S69&gt;0,T69*1000000/S69,0)</f>
        <v/>
      </c>
      <c r="W69" s="64">
        <f>IF(AND(U69&gt;0,V68&gt;0,B69&gt;0),MIN(conv_cap,conv_beta*1*U69*MAX(0,LN(B69/(V68*X68)))),0)</f>
        <v/>
      </c>
      <c r="X69" s="65">
        <f>X68*(1+W69)</f>
        <v/>
      </c>
      <c r="Y69" s="47">
        <f>T69*X69</f>
        <v/>
      </c>
      <c r="Z69" s="67">
        <f>IF(S69&gt;0,Y69*1000000/S69/Economy!Q69,0)</f>
        <v/>
      </c>
      <c r="AA69" s="45" t="n">
        <v>0</v>
      </c>
      <c r="AB69" s="45" t="n">
        <v>0</v>
      </c>
      <c r="AC69" s="68" t="n">
        <v>0</v>
      </c>
      <c r="AD69" s="47">
        <f>IF(AA69&gt;0,AB69*1000000/AA69,0)</f>
        <v/>
      </c>
      <c r="AE69" s="64">
        <f>IF(AND(AC69&gt;0,AD68&gt;0,B69&gt;0),MIN(conv_cap,conv_beta*1*AC69*MAX(0,LN(B69/(AD68*AF68)))),0)</f>
        <v/>
      </c>
      <c r="AF69" s="65">
        <f>AF68*(1+AE69)</f>
        <v/>
      </c>
      <c r="AG69" s="47">
        <f>AB69*AF69</f>
        <v/>
      </c>
      <c r="AH69" s="67">
        <f>IF(AA69&gt;0,AG69*1000000/AA69/Economy!Q69,0)</f>
        <v/>
      </c>
      <c r="AI69" s="45" t="n">
        <v>420800000</v>
      </c>
      <c r="AJ69" s="45" t="n">
        <v>4692</v>
      </c>
      <c r="AK69" s="68" t="n">
        <v>0.237</v>
      </c>
      <c r="AL69" s="47">
        <f>IF(AI69&gt;0,AJ69*1000000/AI69,0)</f>
        <v/>
      </c>
      <c r="AM69" s="64">
        <f>IF(AND(AK69&gt;0,AL68&gt;0,B69&gt;0),MIN(conv_cap,conv_beta*1*AK69*MAX(0,LN(B69/(AL68*AN68)))),0)</f>
        <v/>
      </c>
      <c r="AN69" s="65">
        <f>AN68*(1+AM69)</f>
        <v/>
      </c>
      <c r="AO69" s="47">
        <f>AJ69*AN69</f>
        <v/>
      </c>
      <c r="AP69" s="67">
        <f>IF(AI69&gt;0,AO69*1000000/AI69/Economy!Q69,0)</f>
        <v/>
      </c>
      <c r="AQ69" s="45" t="n">
        <v>14080000</v>
      </c>
      <c r="AR69" s="45" t="n">
        <v>354</v>
      </c>
      <c r="AS69" s="68" t="n">
        <v>0.517</v>
      </c>
      <c r="AT69" s="47">
        <f>IF(AQ69&gt;0,AR69*1000000/AQ69,0)</f>
        <v/>
      </c>
      <c r="AU69" s="64">
        <f>IF(AND(AS69&gt;0,AT68&gt;0,B69&gt;0),MIN(conv_cap,conv_beta*1*AS69*MAX(0,LN(B69/(AT68*AV68)))),0)</f>
        <v/>
      </c>
      <c r="AV69" s="65">
        <f>AV68*(1+AU69)</f>
        <v/>
      </c>
      <c r="AW69" s="47">
        <f>AR69*AV69</f>
        <v/>
      </c>
      <c r="AX69" s="67">
        <f>IF(AQ69&gt;0,AW69*1000000/AQ69/Economy!Q69,0)</f>
        <v/>
      </c>
      <c r="AY69" s="45" t="n">
        <v>90400000</v>
      </c>
      <c r="AZ69" s="45" t="n">
        <v>2692</v>
      </c>
      <c r="BA69" s="68" t="n">
        <v>0.135</v>
      </c>
      <c r="BB69" s="47">
        <f>IF(AY69&gt;0,AZ69*1000000/AY69,0)</f>
        <v/>
      </c>
      <c r="BC69" s="64">
        <f>IF(AND(BA69&gt;0,BB68&gt;0,B69&gt;0),MIN(conv_cap,conv_beta*1*BA69*MAX(0,LN(B69/(BB68*BD68)))),0)</f>
        <v/>
      </c>
      <c r="BD69" s="65">
        <f>BD68*(1+BC69)</f>
        <v/>
      </c>
      <c r="BE69" s="47">
        <f>AZ69*BD69</f>
        <v/>
      </c>
      <c r="BF69" s="67">
        <f>IF(AY69&gt;0,BE69*1000000/AY69/Economy!Q69,0)</f>
        <v/>
      </c>
      <c r="BG69" s="45" t="n">
        <v>34800000</v>
      </c>
      <c r="BH69" s="45" t="n">
        <v>3238</v>
      </c>
      <c r="BI69" s="68" t="n">
        <v>0.267</v>
      </c>
      <c r="BJ69" s="47">
        <f>IF(BG69&gt;0,BH69*1000000/BG69,0)</f>
        <v/>
      </c>
      <c r="BK69" s="64">
        <f>IF(AND(BI69&gt;0,BJ68&gt;0,B69&gt;0),MIN(conv_cap,conv_beta*1*BI69*MAX(0,LN(B69/(BJ68*BL68)))),0)</f>
        <v/>
      </c>
      <c r="BL69" s="65">
        <f>BL68*(1+BK69)</f>
        <v/>
      </c>
      <c r="BM69" s="47">
        <f>BH69*BL69</f>
        <v/>
      </c>
      <c r="BN69" s="67">
        <f>IF(BG69&gt;0,BM69*1000000/BG69/Economy!Q69,0)</f>
        <v/>
      </c>
      <c r="BO69" s="45" t="n">
        <v>15400000</v>
      </c>
      <c r="BP69" s="45" t="n">
        <v>1008</v>
      </c>
      <c r="BQ69" s="68" t="n">
        <v>0.075</v>
      </c>
      <c r="BR69" s="47">
        <f>IF(BO69&gt;0,BP69*1000000/BO69,0)</f>
        <v/>
      </c>
      <c r="BS69" s="64">
        <f>IF(AND(BQ69&gt;0,BR68&gt;0,B69&gt;0),MIN(conv_cap,conv_beta*1*BQ69*MAX(0,LN(B69/(BR68*BT68)))),0)</f>
        <v/>
      </c>
      <c r="BT69" s="65">
        <f>BT68*(1+BS69)</f>
        <v/>
      </c>
      <c r="BU69" s="47">
        <f>BP69*BT69</f>
        <v/>
      </c>
      <c r="BV69" s="67">
        <f>IF(BO69&gt;0,BU69*1000000/BO69/Economy!Q69,0)</f>
        <v/>
      </c>
      <c r="BW69" s="65">
        <f>0.25*IF(D69&gt;0,H69,1)+0.15*IF(AJ69&gt;0,AN69,1)+0.03*IF(AR69&gt;0,AV69,1)+0.08*IF(AZ69&gt;0,BD69,1)+0.12*IF(BH69&gt;0,BL69,1)+0.1*IF(L69&gt;0,P69,1)+0.07*IF(T69&gt;0,X69,1)+0.05*IF(AB69&gt;0,AF69,1)+0.05*IF(BP69&gt;0,BT69,1)+0.1</f>
        <v/>
      </c>
      <c r="BX69" s="63">
        <f>MIN(mkt_cap,mkt_elast*MAX(0,BW69-1))</f>
        <v/>
      </c>
      <c r="BY69" s="47">
        <f>I69+Q69+Y69+AG69</f>
        <v/>
      </c>
      <c r="BZ69" s="47">
        <f>D69+L69+T69+AB69</f>
        <v/>
      </c>
      <c r="CA69" s="65">
        <f>IF(BZ69&gt;0,BY69/BZ69,0)</f>
        <v/>
      </c>
    </row>
    <row r="70">
      <c r="A70" s="58" t="n">
        <v>1910</v>
      </c>
      <c r="B70" s="47">
        <f>Economy!P69</f>
        <v/>
      </c>
      <c r="C70" s="45" t="n">
        <v>49620000</v>
      </c>
      <c r="D70" s="62">
        <f>Japan!B70</f>
        <v/>
      </c>
      <c r="E70" s="68" t="n">
        <v>0.778</v>
      </c>
      <c r="F70" s="47">
        <f>IF(C70&gt;0,D70*1000000/C70,0)</f>
        <v/>
      </c>
      <c r="G70" s="64">
        <f>IF(AND(E70&gt;0,F69&gt;0,B70&gt;0),MIN(conv_cap,conv_beta*jp_uplift*E70*MAX(0,LN(B70/(F69*H69)))),0)</f>
        <v/>
      </c>
      <c r="H70" s="65">
        <f>H69*(1+G70)</f>
        <v/>
      </c>
      <c r="I70" s="47">
        <f>D70*H70</f>
        <v/>
      </c>
      <c r="J70" s="67">
        <f>IF(C70&gt;0,I70*1000000/C70/Economy!Q70,0)</f>
        <v/>
      </c>
      <c r="K70" s="62">
        <f>Gulf!B70</f>
        <v/>
      </c>
      <c r="L70" s="47">
        <f>Gulf!B70*Gulf!C70*Economy!Q70/1000000</f>
        <v/>
      </c>
      <c r="M70" s="68" t="n">
        <v>0.615</v>
      </c>
      <c r="N70" s="47">
        <f>IF(K70&gt;0,L70*1000000/K70,0)</f>
        <v/>
      </c>
      <c r="O70" s="64">
        <f>IF(AND(M70&gt;0,N69&gt;0,B70&gt;0),MIN(conv_cap,conv_beta*1*M70*MAX(0,LN(B70/(N69*P69)))),0)</f>
        <v/>
      </c>
      <c r="P70" s="65">
        <f>P69*(1+O70)</f>
        <v/>
      </c>
      <c r="Q70" s="47">
        <f>L70*P70</f>
        <v/>
      </c>
      <c r="R70" s="67">
        <f>IF(K70&gt;0,Q70*1000000/K70/Economy!Q70,0)</f>
        <v/>
      </c>
      <c r="S70" s="62">
        <f>People!U70</f>
        <v/>
      </c>
      <c r="T70" s="45" t="n">
        <v>381</v>
      </c>
      <c r="U70" s="68" t="n">
        <v>0.577</v>
      </c>
      <c r="V70" s="47">
        <f>IF(S70&gt;0,T70*1000000/S70,0)</f>
        <v/>
      </c>
      <c r="W70" s="64">
        <f>IF(AND(U70&gt;0,V69&gt;0,B70&gt;0),MIN(conv_cap,conv_beta*1*U70*MAX(0,LN(B70/(V69*X69)))),0)</f>
        <v/>
      </c>
      <c r="X70" s="65">
        <f>X69*(1+W70)</f>
        <v/>
      </c>
      <c r="Y70" s="47">
        <f>T70*X70</f>
        <v/>
      </c>
      <c r="Z70" s="67">
        <f>IF(S70&gt;0,Y70*1000000/S70/Economy!Q70,0)</f>
        <v/>
      </c>
      <c r="AA70" s="45" t="n">
        <v>0</v>
      </c>
      <c r="AB70" s="45" t="n">
        <v>0</v>
      </c>
      <c r="AC70" s="68" t="n">
        <v>0</v>
      </c>
      <c r="AD70" s="47">
        <f>IF(AA70&gt;0,AB70*1000000/AA70,0)</f>
        <v/>
      </c>
      <c r="AE70" s="64">
        <f>IF(AND(AC70&gt;0,AD69&gt;0,B70&gt;0),MIN(conv_cap,conv_beta*1*AC70*MAX(0,LN(B70/(AD69*AF69)))),0)</f>
        <v/>
      </c>
      <c r="AF70" s="65">
        <f>AF69*(1+AE70)</f>
        <v/>
      </c>
      <c r="AG70" s="47">
        <f>AB70*AF70</f>
        <v/>
      </c>
      <c r="AH70" s="67">
        <f>IF(AA70&gt;0,AG70*1000000/AA70/Economy!Q70,0)</f>
        <v/>
      </c>
      <c r="AI70" s="45" t="n">
        <v>423100000</v>
      </c>
      <c r="AJ70" s="45" t="n">
        <v>4769</v>
      </c>
      <c r="AK70" s="68" t="n">
        <v>0.242</v>
      </c>
      <c r="AL70" s="47">
        <f>IF(AI70&gt;0,AJ70*1000000/AI70,0)</f>
        <v/>
      </c>
      <c r="AM70" s="64">
        <f>IF(AND(AK70&gt;0,AL69&gt;0,B70&gt;0),MIN(conv_cap,conv_beta*1*AK70*MAX(0,LN(B70/(AL69*AN69)))),0)</f>
        <v/>
      </c>
      <c r="AN70" s="65">
        <f>AN69*(1+AM70)</f>
        <v/>
      </c>
      <c r="AO70" s="47">
        <f>AJ70*AN70</f>
        <v/>
      </c>
      <c r="AP70" s="67">
        <f>IF(AI70&gt;0,AO70*1000000/AI70/Economy!Q70,0)</f>
        <v/>
      </c>
      <c r="AQ70" s="45" t="n">
        <v>14310000</v>
      </c>
      <c r="AR70" s="45" t="n">
        <v>365</v>
      </c>
      <c r="AS70" s="68" t="n">
        <v>0.521</v>
      </c>
      <c r="AT70" s="47">
        <f>IF(AQ70&gt;0,AR70*1000000/AQ70,0)</f>
        <v/>
      </c>
      <c r="AU70" s="64">
        <f>IF(AND(AS70&gt;0,AT69&gt;0,B70&gt;0),MIN(conv_cap,conv_beta*1*AS70*MAX(0,LN(B70/(AT69*AV69)))),0)</f>
        <v/>
      </c>
      <c r="AV70" s="65">
        <f>AV69*(1+AU70)</f>
        <v/>
      </c>
      <c r="AW70" s="47">
        <f>AR70*AV70</f>
        <v/>
      </c>
      <c r="AX70" s="67">
        <f>IF(AQ70&gt;0,AW70*1000000/AQ70/Economy!Q70,0)</f>
        <v/>
      </c>
      <c r="AY70" s="45" t="n">
        <v>91500000</v>
      </c>
      <c r="AZ70" s="45" t="n">
        <v>2769</v>
      </c>
      <c r="BA70" s="68" t="n">
        <v>0.138</v>
      </c>
      <c r="BB70" s="47">
        <f>IF(AY70&gt;0,AZ70*1000000/AY70,0)</f>
        <v/>
      </c>
      <c r="BC70" s="64">
        <f>IF(AND(BA70&gt;0,BB69&gt;0,B70&gt;0),MIN(conv_cap,conv_beta*1*BA70*MAX(0,LN(B70/(BB69*BD69)))),0)</f>
        <v/>
      </c>
      <c r="BD70" s="65">
        <f>BD69*(1+BC70)</f>
        <v/>
      </c>
      <c r="BE70" s="47">
        <f>AZ70*BD70</f>
        <v/>
      </c>
      <c r="BF70" s="67">
        <f>IF(AY70&gt;0,BE70*1000000/AY70/Economy!Q70,0)</f>
        <v/>
      </c>
      <c r="BG70" s="45" t="n">
        <v>35400000</v>
      </c>
      <c r="BH70" s="45" t="n">
        <v>3354</v>
      </c>
      <c r="BI70" s="68" t="n">
        <v>0.275</v>
      </c>
      <c r="BJ70" s="47">
        <f>IF(BG70&gt;0,BH70*1000000/BG70,0)</f>
        <v/>
      </c>
      <c r="BK70" s="64">
        <f>IF(AND(BI70&gt;0,BJ69&gt;0,B70&gt;0),MIN(conv_cap,conv_beta*1*BI70*MAX(0,LN(B70/(BJ69*BL69)))),0)</f>
        <v/>
      </c>
      <c r="BL70" s="65">
        <f>BL69*(1+BK70)</f>
        <v/>
      </c>
      <c r="BM70" s="47">
        <f>BH70*BL70</f>
        <v/>
      </c>
      <c r="BN70" s="67">
        <f>IF(BG70&gt;0,BM70*1000000/BG70/Economy!Q70,0)</f>
        <v/>
      </c>
      <c r="BO70" s="45" t="n">
        <v>15500000</v>
      </c>
      <c r="BP70" s="45" t="n">
        <v>1031</v>
      </c>
      <c r="BQ70" s="68" t="n">
        <v>0.081</v>
      </c>
      <c r="BR70" s="47">
        <f>IF(BO70&gt;0,BP70*1000000/BO70,0)</f>
        <v/>
      </c>
      <c r="BS70" s="64">
        <f>IF(AND(BQ70&gt;0,BR69&gt;0,B70&gt;0),MIN(conv_cap,conv_beta*1*BQ70*MAX(0,LN(B70/(BR69*BT69)))),0)</f>
        <v/>
      </c>
      <c r="BT70" s="65">
        <f>BT69*(1+BS70)</f>
        <v/>
      </c>
      <c r="BU70" s="47">
        <f>BP70*BT70</f>
        <v/>
      </c>
      <c r="BV70" s="67">
        <f>IF(BO70&gt;0,BU70*1000000/BO70/Economy!Q70,0)</f>
        <v/>
      </c>
      <c r="BW70" s="65">
        <f>0.25*IF(D70&gt;0,H70,1)+0.15*IF(AJ70&gt;0,AN70,1)+0.03*IF(AR70&gt;0,AV70,1)+0.08*IF(AZ70&gt;0,BD70,1)+0.12*IF(BH70&gt;0,BL70,1)+0.1*IF(L70&gt;0,P70,1)+0.07*IF(T70&gt;0,X70,1)+0.05*IF(AB70&gt;0,AF70,1)+0.05*IF(BP70&gt;0,BT70,1)+0.1</f>
        <v/>
      </c>
      <c r="BX70" s="63">
        <f>MIN(mkt_cap,mkt_elast*MAX(0,BW70-1))</f>
        <v/>
      </c>
      <c r="BY70" s="47">
        <f>I70+Q70+Y70+AG70</f>
        <v/>
      </c>
      <c r="BZ70" s="47">
        <f>D70+L70+T70+AB70</f>
        <v/>
      </c>
      <c r="CA70" s="65">
        <f>IF(BZ70&gt;0,BY70/BZ70,0)</f>
        <v/>
      </c>
    </row>
    <row r="71">
      <c r="A71" s="58" t="n">
        <v>1911</v>
      </c>
      <c r="B71" s="47">
        <f>Economy!P70</f>
        <v/>
      </c>
      <c r="C71" s="45" t="n">
        <v>50180000</v>
      </c>
      <c r="D71" s="62">
        <f>Japan!B71</f>
        <v/>
      </c>
      <c r="E71" s="68" t="n">
        <v>0.783</v>
      </c>
      <c r="F71" s="47">
        <f>IF(C71&gt;0,D71*1000000/C71,0)</f>
        <v/>
      </c>
      <c r="G71" s="64">
        <f>IF(AND(E71&gt;0,F70&gt;0,B71&gt;0),MIN(conv_cap,conv_beta*jp_uplift*E71*MAX(0,LN(B71/(F70*H70)))),0)</f>
        <v/>
      </c>
      <c r="H71" s="65">
        <f>H70*(1+G71)</f>
        <v/>
      </c>
      <c r="I71" s="47">
        <f>D71*H71</f>
        <v/>
      </c>
      <c r="J71" s="67">
        <f>IF(C71&gt;0,I71*1000000/C71/Economy!Q71,0)</f>
        <v/>
      </c>
      <c r="K71" s="62">
        <f>Gulf!B71</f>
        <v/>
      </c>
      <c r="L71" s="47">
        <f>Gulf!B71*Gulf!C71*Economy!Q71/1000000</f>
        <v/>
      </c>
      <c r="M71" s="68" t="n">
        <v>0.627</v>
      </c>
      <c r="N71" s="47">
        <f>IF(K71&gt;0,L71*1000000/K71,0)</f>
        <v/>
      </c>
      <c r="O71" s="64">
        <f>IF(AND(M71&gt;0,N70&gt;0,B71&gt;0),MIN(conv_cap,conv_beta*1*M71*MAX(0,LN(B71/(N70*P70)))),0)</f>
        <v/>
      </c>
      <c r="P71" s="65">
        <f>P70*(1+O71)</f>
        <v/>
      </c>
      <c r="Q71" s="47">
        <f>L71*P71</f>
        <v/>
      </c>
      <c r="R71" s="67">
        <f>IF(K71&gt;0,Q71*1000000/K71/Economy!Q71,0)</f>
        <v/>
      </c>
      <c r="S71" s="62">
        <f>People!U71</f>
        <v/>
      </c>
      <c r="T71" s="45" t="n">
        <v>394</v>
      </c>
      <c r="U71" s="68" t="n">
        <v>0.585</v>
      </c>
      <c r="V71" s="47">
        <f>IF(S71&gt;0,T71*1000000/S71,0)</f>
        <v/>
      </c>
      <c r="W71" s="64">
        <f>IF(AND(U71&gt;0,V70&gt;0,B71&gt;0),MIN(conv_cap,conv_beta*1*U71*MAX(0,LN(B71/(V70*X70)))),0)</f>
        <v/>
      </c>
      <c r="X71" s="65">
        <f>X70*(1+W71)</f>
        <v/>
      </c>
      <c r="Y71" s="47">
        <f>T71*X71</f>
        <v/>
      </c>
      <c r="Z71" s="67">
        <f>IF(S71&gt;0,Y71*1000000/S71/Economy!Q71,0)</f>
        <v/>
      </c>
      <c r="AA71" s="45" t="n">
        <v>0</v>
      </c>
      <c r="AB71" s="45" t="n">
        <v>0</v>
      </c>
      <c r="AC71" s="68" t="n">
        <v>0</v>
      </c>
      <c r="AD71" s="47">
        <f>IF(AA71&gt;0,AB71*1000000/AA71,0)</f>
        <v/>
      </c>
      <c r="AE71" s="64">
        <f>IF(AND(AC71&gt;0,AD70&gt;0,B71&gt;0),MIN(conv_cap,conv_beta*1*AC71*MAX(0,LN(B71/(AD70*AF70)))),0)</f>
        <v/>
      </c>
      <c r="AF71" s="65">
        <f>AF70*(1+AE71)</f>
        <v/>
      </c>
      <c r="AG71" s="47">
        <f>AB71*AF71</f>
        <v/>
      </c>
      <c r="AH71" s="67">
        <f>IF(AA71&gt;0,AG71*1000000/AA71/Economy!Q71,0)</f>
        <v/>
      </c>
      <c r="AI71" s="45" t="n">
        <v>425400000</v>
      </c>
      <c r="AJ71" s="45" t="n">
        <v>4846</v>
      </c>
      <c r="AK71" s="68" t="n">
        <v>0.246</v>
      </c>
      <c r="AL71" s="47">
        <f>IF(AI71&gt;0,AJ71*1000000/AI71,0)</f>
        <v/>
      </c>
      <c r="AM71" s="64">
        <f>IF(AND(AK71&gt;0,AL70&gt;0,B71&gt;0),MIN(conv_cap,conv_beta*1*AK71*MAX(0,LN(B71/(AL70*AN70)))),0)</f>
        <v/>
      </c>
      <c r="AN71" s="65">
        <f>AN70*(1+AM71)</f>
        <v/>
      </c>
      <c r="AO71" s="47">
        <f>AJ71*AN71</f>
        <v/>
      </c>
      <c r="AP71" s="67">
        <f>IF(AI71&gt;0,AO71*1000000/AI71/Economy!Q71,0)</f>
        <v/>
      </c>
      <c r="AQ71" s="45" t="n">
        <v>14540000</v>
      </c>
      <c r="AR71" s="45" t="n">
        <v>377</v>
      </c>
      <c r="AS71" s="68" t="n">
        <v>0.525</v>
      </c>
      <c r="AT71" s="47">
        <f>IF(AQ71&gt;0,AR71*1000000/AQ71,0)</f>
        <v/>
      </c>
      <c r="AU71" s="64">
        <f>IF(AND(AS71&gt;0,AT70&gt;0,B71&gt;0),MIN(conv_cap,conv_beta*1*AS71*MAX(0,LN(B71/(AT70*AV70)))),0)</f>
        <v/>
      </c>
      <c r="AV71" s="65">
        <f>AV70*(1+AU71)</f>
        <v/>
      </c>
      <c r="AW71" s="47">
        <f>AR71*AV71</f>
        <v/>
      </c>
      <c r="AX71" s="67">
        <f>IF(AQ71&gt;0,AW71*1000000/AQ71/Economy!Q71,0)</f>
        <v/>
      </c>
      <c r="AY71" s="45" t="n">
        <v>92700000</v>
      </c>
      <c r="AZ71" s="45" t="n">
        <v>2846</v>
      </c>
      <c r="BA71" s="68" t="n">
        <v>0.142</v>
      </c>
      <c r="BB71" s="47">
        <f>IF(AY71&gt;0,AZ71*1000000/AY71,0)</f>
        <v/>
      </c>
      <c r="BC71" s="64">
        <f>IF(AND(BA71&gt;0,BB70&gt;0,B71&gt;0),MIN(conv_cap,conv_beta*1*BA71*MAX(0,LN(B71/(BB70*BD70)))),0)</f>
        <v/>
      </c>
      <c r="BD71" s="65">
        <f>BD70*(1+BC71)</f>
        <v/>
      </c>
      <c r="BE71" s="47">
        <f>AZ71*BD71</f>
        <v/>
      </c>
      <c r="BF71" s="67">
        <f>IF(AY71&gt;0,BE71*1000000/AY71/Economy!Q71,0)</f>
        <v/>
      </c>
      <c r="BG71" s="45" t="n">
        <v>35900000</v>
      </c>
      <c r="BH71" s="45" t="n">
        <v>3469</v>
      </c>
      <c r="BI71" s="68" t="n">
        <v>0.283</v>
      </c>
      <c r="BJ71" s="47">
        <f>IF(BG71&gt;0,BH71*1000000/BG71,0)</f>
        <v/>
      </c>
      <c r="BK71" s="64">
        <f>IF(AND(BI71&gt;0,BJ70&gt;0,B71&gt;0),MIN(conv_cap,conv_beta*1*BI71*MAX(0,LN(B71/(BJ70*BL70)))),0)</f>
        <v/>
      </c>
      <c r="BL71" s="65">
        <f>BL70*(1+BK71)</f>
        <v/>
      </c>
      <c r="BM71" s="47">
        <f>BH71*BL71</f>
        <v/>
      </c>
      <c r="BN71" s="67">
        <f>IF(BG71&gt;0,BM71*1000000/BG71/Economy!Q71,0)</f>
        <v/>
      </c>
      <c r="BO71" s="45" t="n">
        <v>15700000</v>
      </c>
      <c r="BP71" s="45" t="n">
        <v>1054</v>
      </c>
      <c r="BQ71" s="68" t="n">
        <v>0.08799999999999999</v>
      </c>
      <c r="BR71" s="47">
        <f>IF(BO71&gt;0,BP71*1000000/BO71,0)</f>
        <v/>
      </c>
      <c r="BS71" s="64">
        <f>IF(AND(BQ71&gt;0,BR70&gt;0,B71&gt;0),MIN(conv_cap,conv_beta*1*BQ71*MAX(0,LN(B71/(BR70*BT70)))),0)</f>
        <v/>
      </c>
      <c r="BT71" s="65">
        <f>BT70*(1+BS71)</f>
        <v/>
      </c>
      <c r="BU71" s="47">
        <f>BP71*BT71</f>
        <v/>
      </c>
      <c r="BV71" s="67">
        <f>IF(BO71&gt;0,BU71*1000000/BO71/Economy!Q71,0)</f>
        <v/>
      </c>
      <c r="BW71" s="65">
        <f>0.25*IF(D71&gt;0,H71,1)+0.15*IF(AJ71&gt;0,AN71,1)+0.03*IF(AR71&gt;0,AV71,1)+0.08*IF(AZ71&gt;0,BD71,1)+0.12*IF(BH71&gt;0,BL71,1)+0.1*IF(L71&gt;0,P71,1)+0.07*IF(T71&gt;0,X71,1)+0.05*IF(AB71&gt;0,AF71,1)+0.05*IF(BP71&gt;0,BT71,1)+0.1</f>
        <v/>
      </c>
      <c r="BX71" s="63">
        <f>MIN(mkt_cap,mkt_elast*MAX(0,BW71-1))</f>
        <v/>
      </c>
      <c r="BY71" s="47">
        <f>I71+Q71+Y71+AG71</f>
        <v/>
      </c>
      <c r="BZ71" s="47">
        <f>D71+L71+T71+AB71</f>
        <v/>
      </c>
      <c r="CA71" s="65">
        <f>IF(BZ71&gt;0,BY71/BZ71,0)</f>
        <v/>
      </c>
    </row>
    <row r="72">
      <c r="A72" s="58" t="n">
        <v>1912</v>
      </c>
      <c r="B72" s="47">
        <f>Economy!P71</f>
        <v/>
      </c>
      <c r="C72" s="45" t="n">
        <v>50740000</v>
      </c>
      <c r="D72" s="62">
        <f>Japan!B72</f>
        <v/>
      </c>
      <c r="E72" s="68" t="n">
        <v>0.789</v>
      </c>
      <c r="F72" s="47">
        <f>IF(C72&gt;0,D72*1000000/C72,0)</f>
        <v/>
      </c>
      <c r="G72" s="64">
        <f>IF(AND(E72&gt;0,F71&gt;0,B72&gt;0),MIN(conv_cap,conv_beta*jp_uplift*E72*MAX(0,LN(B72/(F71*H71)))),0)</f>
        <v/>
      </c>
      <c r="H72" s="65">
        <f>H71*(1+G72)</f>
        <v/>
      </c>
      <c r="I72" s="47">
        <f>D72*H72</f>
        <v/>
      </c>
      <c r="J72" s="67">
        <f>IF(C72&gt;0,I72*1000000/C72/Economy!Q72,0)</f>
        <v/>
      </c>
      <c r="K72" s="62">
        <f>Gulf!B72</f>
        <v/>
      </c>
      <c r="L72" s="47">
        <f>Gulf!B72*Gulf!C72*Economy!Q72/1000000</f>
        <v/>
      </c>
      <c r="M72" s="68" t="n">
        <v>0.638</v>
      </c>
      <c r="N72" s="47">
        <f>IF(K72&gt;0,L72*1000000/K72,0)</f>
        <v/>
      </c>
      <c r="O72" s="64">
        <f>IF(AND(M72&gt;0,N71&gt;0,B72&gt;0),MIN(conv_cap,conv_beta*1*M72*MAX(0,LN(B72/(N71*P71)))),0)</f>
        <v/>
      </c>
      <c r="P72" s="65">
        <f>P71*(1+O72)</f>
        <v/>
      </c>
      <c r="Q72" s="47">
        <f>L72*P72</f>
        <v/>
      </c>
      <c r="R72" s="67">
        <f>IF(K72&gt;0,Q72*1000000/K72/Economy!Q72,0)</f>
        <v/>
      </c>
      <c r="S72" s="62">
        <f>People!U72</f>
        <v/>
      </c>
      <c r="T72" s="45" t="n">
        <v>407</v>
      </c>
      <c r="U72" s="68" t="n">
        <v>0.592</v>
      </c>
      <c r="V72" s="47">
        <f>IF(S72&gt;0,T72*1000000/S72,0)</f>
        <v/>
      </c>
      <c r="W72" s="64">
        <f>IF(AND(U72&gt;0,V71&gt;0,B72&gt;0),MIN(conv_cap,conv_beta*1*U72*MAX(0,LN(B72/(V71*X71)))),0)</f>
        <v/>
      </c>
      <c r="X72" s="65">
        <f>X71*(1+W72)</f>
        <v/>
      </c>
      <c r="Y72" s="47">
        <f>T72*X72</f>
        <v/>
      </c>
      <c r="Z72" s="67">
        <f>IF(S72&gt;0,Y72*1000000/S72/Economy!Q72,0)</f>
        <v/>
      </c>
      <c r="AA72" s="45" t="n">
        <v>0</v>
      </c>
      <c r="AB72" s="45" t="n">
        <v>0</v>
      </c>
      <c r="AC72" s="68" t="n">
        <v>0</v>
      </c>
      <c r="AD72" s="47">
        <f>IF(AA72&gt;0,AB72*1000000/AA72,0)</f>
        <v/>
      </c>
      <c r="AE72" s="64">
        <f>IF(AND(AC72&gt;0,AD71&gt;0,B72&gt;0),MIN(conv_cap,conv_beta*1*AC72*MAX(0,LN(B72/(AD71*AF71)))),0)</f>
        <v/>
      </c>
      <c r="AF72" s="65">
        <f>AF71*(1+AE72)</f>
        <v/>
      </c>
      <c r="AG72" s="47">
        <f>AB72*AF72</f>
        <v/>
      </c>
      <c r="AH72" s="67">
        <f>IF(AA72&gt;0,AG72*1000000/AA72/Economy!Q72,0)</f>
        <v/>
      </c>
      <c r="AI72" s="45" t="n">
        <v>427700000</v>
      </c>
      <c r="AJ72" s="45" t="n">
        <v>4923</v>
      </c>
      <c r="AK72" s="68" t="n">
        <v>0.25</v>
      </c>
      <c r="AL72" s="47">
        <f>IF(AI72&gt;0,AJ72*1000000/AI72,0)</f>
        <v/>
      </c>
      <c r="AM72" s="64">
        <f>IF(AND(AK72&gt;0,AL71&gt;0,B72&gt;0),MIN(conv_cap,conv_beta*1*AK72*MAX(0,LN(B72/(AL71*AN71)))),0)</f>
        <v/>
      </c>
      <c r="AN72" s="65">
        <f>AN71*(1+AM72)</f>
        <v/>
      </c>
      <c r="AO72" s="47">
        <f>AJ72*AN72</f>
        <v/>
      </c>
      <c r="AP72" s="67">
        <f>IF(AI72&gt;0,AO72*1000000/AI72/Economy!Q72,0)</f>
        <v/>
      </c>
      <c r="AQ72" s="45" t="n">
        <v>14770000</v>
      </c>
      <c r="AR72" s="45" t="n">
        <v>388</v>
      </c>
      <c r="AS72" s="68" t="n">
        <v>0.529</v>
      </c>
      <c r="AT72" s="47">
        <f>IF(AQ72&gt;0,AR72*1000000/AQ72,0)</f>
        <v/>
      </c>
      <c r="AU72" s="64">
        <f>IF(AND(AS72&gt;0,AT71&gt;0,B72&gt;0),MIN(conv_cap,conv_beta*1*AS72*MAX(0,LN(B72/(AT71*AV71)))),0)</f>
        <v/>
      </c>
      <c r="AV72" s="65">
        <f>AV71*(1+AU72)</f>
        <v/>
      </c>
      <c r="AW72" s="47">
        <f>AR72*AV72</f>
        <v/>
      </c>
      <c r="AX72" s="67">
        <f>IF(AQ72&gt;0,AW72*1000000/AQ72/Economy!Q72,0)</f>
        <v/>
      </c>
      <c r="AY72" s="45" t="n">
        <v>93800000</v>
      </c>
      <c r="AZ72" s="45" t="n">
        <v>2923</v>
      </c>
      <c r="BA72" s="68" t="n">
        <v>0.146</v>
      </c>
      <c r="BB72" s="47">
        <f>IF(AY72&gt;0,AZ72*1000000/AY72,0)</f>
        <v/>
      </c>
      <c r="BC72" s="64">
        <f>IF(AND(BA72&gt;0,BB71&gt;0,B72&gt;0),MIN(conv_cap,conv_beta*1*BA72*MAX(0,LN(B72/(BB71*BD71)))),0)</f>
        <v/>
      </c>
      <c r="BD72" s="65">
        <f>BD71*(1+BC72)</f>
        <v/>
      </c>
      <c r="BE72" s="47">
        <f>AZ72*BD72</f>
        <v/>
      </c>
      <c r="BF72" s="67">
        <f>IF(AY72&gt;0,BE72*1000000/AY72/Economy!Q72,0)</f>
        <v/>
      </c>
      <c r="BG72" s="45" t="n">
        <v>36500000</v>
      </c>
      <c r="BH72" s="45" t="n">
        <v>3585</v>
      </c>
      <c r="BI72" s="68" t="n">
        <v>0.292</v>
      </c>
      <c r="BJ72" s="47">
        <f>IF(BG72&gt;0,BH72*1000000/BG72,0)</f>
        <v/>
      </c>
      <c r="BK72" s="64">
        <f>IF(AND(BI72&gt;0,BJ71&gt;0,B72&gt;0),MIN(conv_cap,conv_beta*1*BI72*MAX(0,LN(B72/(BJ71*BL71)))),0)</f>
        <v/>
      </c>
      <c r="BL72" s="65">
        <f>BL71*(1+BK72)</f>
        <v/>
      </c>
      <c r="BM72" s="47">
        <f>BH72*BL72</f>
        <v/>
      </c>
      <c r="BN72" s="67">
        <f>IF(BG72&gt;0,BM72*1000000/BG72/Economy!Q72,0)</f>
        <v/>
      </c>
      <c r="BO72" s="45" t="n">
        <v>15800000</v>
      </c>
      <c r="BP72" s="45" t="n">
        <v>1077</v>
      </c>
      <c r="BQ72" s="68" t="n">
        <v>0.094</v>
      </c>
      <c r="BR72" s="47">
        <f>IF(BO72&gt;0,BP72*1000000/BO72,0)</f>
        <v/>
      </c>
      <c r="BS72" s="64">
        <f>IF(AND(BQ72&gt;0,BR71&gt;0,B72&gt;0),MIN(conv_cap,conv_beta*1*BQ72*MAX(0,LN(B72/(BR71*BT71)))),0)</f>
        <v/>
      </c>
      <c r="BT72" s="65">
        <f>BT71*(1+BS72)</f>
        <v/>
      </c>
      <c r="BU72" s="47">
        <f>BP72*BT72</f>
        <v/>
      </c>
      <c r="BV72" s="67">
        <f>IF(BO72&gt;0,BU72*1000000/BO72/Economy!Q72,0)</f>
        <v/>
      </c>
      <c r="BW72" s="65">
        <f>0.25*IF(D72&gt;0,H72,1)+0.15*IF(AJ72&gt;0,AN72,1)+0.03*IF(AR72&gt;0,AV72,1)+0.08*IF(AZ72&gt;0,BD72,1)+0.12*IF(BH72&gt;0,BL72,1)+0.1*IF(L72&gt;0,P72,1)+0.07*IF(T72&gt;0,X72,1)+0.05*IF(AB72&gt;0,AF72,1)+0.05*IF(BP72&gt;0,BT72,1)+0.1</f>
        <v/>
      </c>
      <c r="BX72" s="63">
        <f>MIN(mkt_cap,mkt_elast*MAX(0,BW72-1))</f>
        <v/>
      </c>
      <c r="BY72" s="47">
        <f>I72+Q72+Y72+AG72</f>
        <v/>
      </c>
      <c r="BZ72" s="47">
        <f>D72+L72+T72+AB72</f>
        <v/>
      </c>
      <c r="CA72" s="65">
        <f>IF(BZ72&gt;0,BY72/BZ72,0)</f>
        <v/>
      </c>
    </row>
    <row r="73">
      <c r="A73" s="58" t="n">
        <v>1913</v>
      </c>
      <c r="B73" s="47">
        <f>Economy!P72</f>
        <v/>
      </c>
      <c r="C73" s="45" t="n">
        <v>51300000</v>
      </c>
      <c r="D73" s="62">
        <f>Japan!B73</f>
        <v/>
      </c>
      <c r="E73" s="68" t="n">
        <v>0.794</v>
      </c>
      <c r="F73" s="47">
        <f>IF(C73&gt;0,D73*1000000/C73,0)</f>
        <v/>
      </c>
      <c r="G73" s="64">
        <f>IF(AND(E73&gt;0,F72&gt;0,B73&gt;0),MIN(conv_cap,conv_beta*jp_uplift*E73*MAX(0,LN(B73/(F72*H72)))),0)</f>
        <v/>
      </c>
      <c r="H73" s="65">
        <f>H72*(1+G73)</f>
        <v/>
      </c>
      <c r="I73" s="47">
        <f>D73*H73</f>
        <v/>
      </c>
      <c r="J73" s="67">
        <f>IF(C73&gt;0,I73*1000000/C73/Economy!Q73,0)</f>
        <v/>
      </c>
      <c r="K73" s="62">
        <f>Gulf!B73</f>
        <v/>
      </c>
      <c r="L73" s="47">
        <f>Gulf!B73*Gulf!C73*Economy!Q73/1000000</f>
        <v/>
      </c>
      <c r="M73" s="68" t="n">
        <v>0.65</v>
      </c>
      <c r="N73" s="47">
        <f>IF(K73&gt;0,L73*1000000/K73,0)</f>
        <v/>
      </c>
      <c r="O73" s="64">
        <f>IF(AND(M73&gt;0,N72&gt;0,B73&gt;0),MIN(conv_cap,conv_beta*1*M73*MAX(0,LN(B73/(N72*P72)))),0)</f>
        <v/>
      </c>
      <c r="P73" s="65">
        <f>P72*(1+O73)</f>
        <v/>
      </c>
      <c r="Q73" s="47">
        <f>L73*P73</f>
        <v/>
      </c>
      <c r="R73" s="67">
        <f>IF(K73&gt;0,Q73*1000000/K73/Economy!Q73,0)</f>
        <v/>
      </c>
      <c r="S73" s="62">
        <f>People!U73</f>
        <v/>
      </c>
      <c r="T73" s="45" t="n">
        <v>420</v>
      </c>
      <c r="U73" s="68" t="n">
        <v>0.6</v>
      </c>
      <c r="V73" s="47">
        <f>IF(S73&gt;0,T73*1000000/S73,0)</f>
        <v/>
      </c>
      <c r="W73" s="64">
        <f>IF(AND(U73&gt;0,V72&gt;0,B73&gt;0),MIN(conv_cap,conv_beta*1*U73*MAX(0,LN(B73/(V72*X72)))),0)</f>
        <v/>
      </c>
      <c r="X73" s="65">
        <f>X72*(1+W73)</f>
        <v/>
      </c>
      <c r="Y73" s="47">
        <f>T73*X73</f>
        <v/>
      </c>
      <c r="Z73" s="67">
        <f>IF(S73&gt;0,Y73*1000000/S73/Economy!Q73,0)</f>
        <v/>
      </c>
      <c r="AA73" s="45" t="n">
        <v>0</v>
      </c>
      <c r="AB73" s="45" t="n">
        <v>0</v>
      </c>
      <c r="AC73" s="68" t="n">
        <v>0</v>
      </c>
      <c r="AD73" s="47">
        <f>IF(AA73&gt;0,AB73*1000000/AA73,0)</f>
        <v/>
      </c>
      <c r="AE73" s="64">
        <f>IF(AND(AC73&gt;0,AD72&gt;0,B73&gt;0),MIN(conv_cap,conv_beta*1*AC73*MAX(0,LN(B73/(AD72*AF72)))),0)</f>
        <v/>
      </c>
      <c r="AF73" s="65">
        <f>AF72*(1+AE73)</f>
        <v/>
      </c>
      <c r="AG73" s="47">
        <f>AB73*AF73</f>
        <v/>
      </c>
      <c r="AH73" s="67">
        <f>IF(AA73&gt;0,AG73*1000000/AA73/Economy!Q73,0)</f>
        <v/>
      </c>
      <c r="AI73" s="45" t="n">
        <v>430000000</v>
      </c>
      <c r="AJ73" s="45" t="n">
        <v>5000</v>
      </c>
      <c r="AK73" s="68" t="n">
        <v>0.255</v>
      </c>
      <c r="AL73" s="47">
        <f>IF(AI73&gt;0,AJ73*1000000/AI73,0)</f>
        <v/>
      </c>
      <c r="AM73" s="64">
        <f>IF(AND(AK73&gt;0,AL72&gt;0,B73&gt;0),MIN(conv_cap,conv_beta*1*AK73*MAX(0,LN(B73/(AL72*AN72)))),0)</f>
        <v/>
      </c>
      <c r="AN73" s="65">
        <f>AN72*(1+AM73)</f>
        <v/>
      </c>
      <c r="AO73" s="47">
        <f>AJ73*AN73</f>
        <v/>
      </c>
      <c r="AP73" s="67">
        <f>IF(AI73&gt;0,AO73*1000000/AI73/Economy!Q73,0)</f>
        <v/>
      </c>
      <c r="AQ73" s="45" t="n">
        <v>15000000</v>
      </c>
      <c r="AR73" s="45" t="n">
        <v>400</v>
      </c>
      <c r="AS73" s="68" t="n">
        <v>0.533</v>
      </c>
      <c r="AT73" s="47">
        <f>IF(AQ73&gt;0,AR73*1000000/AQ73,0)</f>
        <v/>
      </c>
      <c r="AU73" s="64">
        <f>IF(AND(AS73&gt;0,AT72&gt;0,B73&gt;0),MIN(conv_cap,conv_beta*1*AS73*MAX(0,LN(B73/(AT72*AV72)))),0)</f>
        <v/>
      </c>
      <c r="AV73" s="65">
        <f>AV72*(1+AU73)</f>
        <v/>
      </c>
      <c r="AW73" s="47">
        <f>AR73*AV73</f>
        <v/>
      </c>
      <c r="AX73" s="67">
        <f>IF(AQ73&gt;0,AW73*1000000/AQ73/Economy!Q73,0)</f>
        <v/>
      </c>
      <c r="AY73" s="45" t="n">
        <v>95000000</v>
      </c>
      <c r="AZ73" s="45" t="n">
        <v>3000</v>
      </c>
      <c r="BA73" s="68" t="n">
        <v>0.15</v>
      </c>
      <c r="BB73" s="47">
        <f>IF(AY73&gt;0,AZ73*1000000/AY73,0)</f>
        <v/>
      </c>
      <c r="BC73" s="64">
        <f>IF(AND(BA73&gt;0,BB72&gt;0,B73&gt;0),MIN(conv_cap,conv_beta*1*BA73*MAX(0,LN(B73/(BB72*BD72)))),0)</f>
        <v/>
      </c>
      <c r="BD73" s="65">
        <f>BD72*(1+BC73)</f>
        <v/>
      </c>
      <c r="BE73" s="47">
        <f>AZ73*BD73</f>
        <v/>
      </c>
      <c r="BF73" s="67">
        <f>IF(AY73&gt;0,BE73*1000000/AY73/Economy!Q73,0)</f>
        <v/>
      </c>
      <c r="BG73" s="45" t="n">
        <v>37000000</v>
      </c>
      <c r="BH73" s="45" t="n">
        <v>3700</v>
      </c>
      <c r="BI73" s="68" t="n">
        <v>0.3</v>
      </c>
      <c r="BJ73" s="47">
        <f>IF(BG73&gt;0,BH73*1000000/BG73,0)</f>
        <v/>
      </c>
      <c r="BK73" s="64">
        <f>IF(AND(BI73&gt;0,BJ72&gt;0,B73&gt;0),MIN(conv_cap,conv_beta*1*BI73*MAX(0,LN(B73/(BJ72*BL72)))),0)</f>
        <v/>
      </c>
      <c r="BL73" s="65">
        <f>BL72*(1+BK73)</f>
        <v/>
      </c>
      <c r="BM73" s="47">
        <f>BH73*BL73</f>
        <v/>
      </c>
      <c r="BN73" s="67">
        <f>IF(BG73&gt;0,BM73*1000000/BG73/Economy!Q73,0)</f>
        <v/>
      </c>
      <c r="BO73" s="45" t="n">
        <v>16000000</v>
      </c>
      <c r="BP73" s="45" t="n">
        <v>1100</v>
      </c>
      <c r="BQ73" s="68" t="n">
        <v>0.1</v>
      </c>
      <c r="BR73" s="47">
        <f>IF(BO73&gt;0,BP73*1000000/BO73,0)</f>
        <v/>
      </c>
      <c r="BS73" s="64">
        <f>IF(AND(BQ73&gt;0,BR72&gt;0,B73&gt;0),MIN(conv_cap,conv_beta*1*BQ73*MAX(0,LN(B73/(BR72*BT72)))),0)</f>
        <v/>
      </c>
      <c r="BT73" s="65">
        <f>BT72*(1+BS73)</f>
        <v/>
      </c>
      <c r="BU73" s="47">
        <f>BP73*BT73</f>
        <v/>
      </c>
      <c r="BV73" s="67">
        <f>IF(BO73&gt;0,BU73*1000000/BO73/Economy!Q73,0)</f>
        <v/>
      </c>
      <c r="BW73" s="65">
        <f>0.25*IF(D73&gt;0,H73,1)+0.15*IF(AJ73&gt;0,AN73,1)+0.03*IF(AR73&gt;0,AV73,1)+0.08*IF(AZ73&gt;0,BD73,1)+0.12*IF(BH73&gt;0,BL73,1)+0.1*IF(L73&gt;0,P73,1)+0.07*IF(T73&gt;0,X73,1)+0.05*IF(AB73&gt;0,AF73,1)+0.05*IF(BP73&gt;0,BT73,1)+0.1</f>
        <v/>
      </c>
      <c r="BX73" s="63">
        <f>MIN(mkt_cap,mkt_elast*MAX(0,BW73-1))</f>
        <v/>
      </c>
      <c r="BY73" s="47">
        <f>I73+Q73+Y73+AG73</f>
        <v/>
      </c>
      <c r="BZ73" s="47">
        <f>D73+L73+T73+AB73</f>
        <v/>
      </c>
      <c r="CA73" s="65">
        <f>IF(BZ73&gt;0,BY73/BZ73,0)</f>
        <v/>
      </c>
    </row>
    <row r="74">
      <c r="A74" s="61" t="n">
        <v>1914</v>
      </c>
      <c r="B74" s="47">
        <f>Economy!P73</f>
        <v/>
      </c>
      <c r="C74" s="45" t="n">
        <v>51970000</v>
      </c>
      <c r="D74" s="62">
        <f>Japan!B74</f>
        <v/>
      </c>
      <c r="E74" s="68" t="n">
        <v>0.8</v>
      </c>
      <c r="F74" s="47">
        <f>IF(C74&gt;0,D74*1000000/C74,0)</f>
        <v/>
      </c>
      <c r="G74" s="64">
        <f>IF(AND(E74&gt;0,F73&gt;0,B74&gt;0),MIN(conv_cap,conv_beta*jp_uplift*E74*MAX(0,LN(B74/(F73*H73)))),0)</f>
        <v/>
      </c>
      <c r="H74" s="65">
        <f>H73*(1+G74)</f>
        <v/>
      </c>
      <c r="I74" s="47">
        <f>D74*H74</f>
        <v/>
      </c>
      <c r="J74" s="67">
        <f>IF(C74&gt;0,I74*1000000/C74/Economy!Q74,0)</f>
        <v/>
      </c>
      <c r="K74" s="62">
        <f>Gulf!B74</f>
        <v/>
      </c>
      <c r="L74" s="47">
        <f>Gulf!B74*Gulf!C74*Economy!Q74/1000000</f>
        <v/>
      </c>
      <c r="M74" s="68" t="n">
        <v>0.664</v>
      </c>
      <c r="N74" s="47">
        <f>IF(K74&gt;0,L74*1000000/K74,0)</f>
        <v/>
      </c>
      <c r="O74" s="64">
        <f>IF(AND(M74&gt;0,N73&gt;0,B74&gt;0),MIN(conv_cap,conv_beta*1*M74*MAX(0,LN(B74/(N73*P73)))),0)</f>
        <v/>
      </c>
      <c r="P74" s="65">
        <f>P73*(1+O74)</f>
        <v/>
      </c>
      <c r="Q74" s="47">
        <f>L74*P74</f>
        <v/>
      </c>
      <c r="R74" s="67">
        <f>IF(K74&gt;0,Q74*1000000/K74/Economy!Q74,0)</f>
        <v/>
      </c>
      <c r="S74" s="62">
        <f>People!U74</f>
        <v/>
      </c>
      <c r="T74" s="45" t="n">
        <v>489</v>
      </c>
      <c r="U74" s="68" t="n">
        <v>0.614</v>
      </c>
      <c r="V74" s="47">
        <f>IF(S74&gt;0,T74*1000000/S74,0)</f>
        <v/>
      </c>
      <c r="W74" s="64">
        <f>IF(AND(U74&gt;0,V73&gt;0,B74&gt;0),MIN(conv_cap,conv_beta*1*U74*MAX(0,LN(B74/(V73*X73)))),0)</f>
        <v/>
      </c>
      <c r="X74" s="65">
        <f>X73*(1+W74)</f>
        <v/>
      </c>
      <c r="Y74" s="47">
        <f>T74*X74</f>
        <v/>
      </c>
      <c r="Z74" s="67">
        <f>IF(S74&gt;0,Y74*1000000/S74/Economy!Q74,0)</f>
        <v/>
      </c>
      <c r="AA74" s="45" t="n">
        <v>0</v>
      </c>
      <c r="AB74" s="45" t="n">
        <v>0</v>
      </c>
      <c r="AC74" s="68" t="n">
        <v>0</v>
      </c>
      <c r="AD74" s="47">
        <f>IF(AA74&gt;0,AB74*1000000/AA74,0)</f>
        <v/>
      </c>
      <c r="AE74" s="64">
        <f>IF(AND(AC74&gt;0,AD73&gt;0,B74&gt;0),MIN(conv_cap,conv_beta*1*AC74*MAX(0,LN(B74/(AD73*AF73)))),0)</f>
        <v/>
      </c>
      <c r="AF74" s="65">
        <f>AF73*(1+AE74)</f>
        <v/>
      </c>
      <c r="AG74" s="47">
        <f>AB74*AF74</f>
        <v/>
      </c>
      <c r="AH74" s="67">
        <f>IF(AA74&gt;0,AG74*1000000/AA74/Economy!Q74,0)</f>
        <v/>
      </c>
      <c r="AI74" s="45" t="n">
        <v>433800000</v>
      </c>
      <c r="AJ74" s="45" t="n">
        <v>5188</v>
      </c>
      <c r="AK74" s="68" t="n">
        <v>0.26</v>
      </c>
      <c r="AL74" s="47">
        <f>IF(AI74&gt;0,AJ74*1000000/AI74,0)</f>
        <v/>
      </c>
      <c r="AM74" s="64">
        <f>IF(AND(AK74&gt;0,AL73&gt;0,B74&gt;0),MIN(conv_cap,conv_beta*1*AK74*MAX(0,LN(B74/(AL73*AN73)))),0)</f>
        <v/>
      </c>
      <c r="AN74" s="65">
        <f>AN73*(1+AM74)</f>
        <v/>
      </c>
      <c r="AO74" s="47">
        <f>AJ74*AN74</f>
        <v/>
      </c>
      <c r="AP74" s="67">
        <f>IF(AI74&gt;0,AO74*1000000/AI74/Economy!Q74,0)</f>
        <v/>
      </c>
      <c r="AQ74" s="45" t="n">
        <v>15310000</v>
      </c>
      <c r="AR74" s="45" t="n">
        <v>438</v>
      </c>
      <c r="AS74" s="68" t="n">
        <v>0.537</v>
      </c>
      <c r="AT74" s="47">
        <f>IF(AQ74&gt;0,AR74*1000000/AQ74,0)</f>
        <v/>
      </c>
      <c r="AU74" s="64">
        <f>IF(AND(AS74&gt;0,AT73&gt;0,B74&gt;0),MIN(conv_cap,conv_beta*1*AS74*MAX(0,LN(B74/(AT73*AV73)))),0)</f>
        <v/>
      </c>
      <c r="AV74" s="65">
        <f>AV73*(1+AU74)</f>
        <v/>
      </c>
      <c r="AW74" s="47">
        <f>AR74*AV74</f>
        <v/>
      </c>
      <c r="AX74" s="67">
        <f>IF(AQ74&gt;0,AW74*1000000/AQ74/Economy!Q74,0)</f>
        <v/>
      </c>
      <c r="AY74" s="45" t="n">
        <v>96900000</v>
      </c>
      <c r="AZ74" s="45" t="n">
        <v>3214</v>
      </c>
      <c r="BA74" s="68" t="n">
        <v>0.156</v>
      </c>
      <c r="BB74" s="47">
        <f>IF(AY74&gt;0,AZ74*1000000/AY74,0)</f>
        <v/>
      </c>
      <c r="BC74" s="64">
        <f>IF(AND(BA74&gt;0,BB73&gt;0,B74&gt;0),MIN(conv_cap,conv_beta*1*BA74*MAX(0,LN(B74/(BB73*BD73)))),0)</f>
        <v/>
      </c>
      <c r="BD74" s="65">
        <f>BD73*(1+BC74)</f>
        <v/>
      </c>
      <c r="BE74" s="47">
        <f>AZ74*BD74</f>
        <v/>
      </c>
      <c r="BF74" s="67">
        <f>IF(AY74&gt;0,BE74*1000000/AY74/Economy!Q74,0)</f>
        <v/>
      </c>
      <c r="BG74" s="45" t="n">
        <v>37600000</v>
      </c>
      <c r="BH74" s="45" t="n">
        <v>3886</v>
      </c>
      <c r="BI74" s="68" t="n">
        <v>0.306</v>
      </c>
      <c r="BJ74" s="47">
        <f>IF(BG74&gt;0,BH74*1000000/BG74,0)</f>
        <v/>
      </c>
      <c r="BK74" s="64">
        <f>IF(AND(BI74&gt;0,BJ73&gt;0,B74&gt;0),MIN(conv_cap,conv_beta*1*BI74*MAX(0,LN(B74/(BJ73*BL73)))),0)</f>
        <v/>
      </c>
      <c r="BL74" s="65">
        <f>BL73*(1+BK74)</f>
        <v/>
      </c>
      <c r="BM74" s="47">
        <f>BH74*BL74</f>
        <v/>
      </c>
      <c r="BN74" s="67">
        <f>IF(BG74&gt;0,BM74*1000000/BG74/Economy!Q74,0)</f>
        <v/>
      </c>
      <c r="BO74" s="45" t="n">
        <v>16200000</v>
      </c>
      <c r="BP74" s="45" t="n">
        <v>1144</v>
      </c>
      <c r="BQ74" s="68" t="n">
        <v>0.106</v>
      </c>
      <c r="BR74" s="47">
        <f>IF(BO74&gt;0,BP74*1000000/BO74,0)</f>
        <v/>
      </c>
      <c r="BS74" s="64">
        <f>IF(AND(BQ74&gt;0,BR73&gt;0,B74&gt;0),MIN(conv_cap,conv_beta*1*BQ74*MAX(0,LN(B74/(BR73*BT73)))),0)</f>
        <v/>
      </c>
      <c r="BT74" s="65">
        <f>BT73*(1+BS74)</f>
        <v/>
      </c>
      <c r="BU74" s="47">
        <f>BP74*BT74</f>
        <v/>
      </c>
      <c r="BV74" s="67">
        <f>IF(BO74&gt;0,BU74*1000000/BO74/Economy!Q74,0)</f>
        <v/>
      </c>
      <c r="BW74" s="65">
        <f>0.25*IF(D74&gt;0,H74,1)+0.15*IF(AJ74&gt;0,AN74,1)+0.03*IF(AR74&gt;0,AV74,1)+0.08*IF(AZ74&gt;0,BD74,1)+0.12*IF(BH74&gt;0,BL74,1)+0.1*IF(L74&gt;0,P74,1)+0.07*IF(T74&gt;0,X74,1)+0.05*IF(AB74&gt;0,AF74,1)+0.05*IF(BP74&gt;0,BT74,1)+0.1</f>
        <v/>
      </c>
      <c r="BX74" s="63">
        <f>MIN(mkt_cap,mkt_elast*MAX(0,BW74-1))</f>
        <v/>
      </c>
      <c r="BY74" s="47">
        <f>I74+Q74+Y74+AG74</f>
        <v/>
      </c>
      <c r="BZ74" s="47">
        <f>D74+L74+T74+AB74</f>
        <v/>
      </c>
      <c r="CA74" s="65">
        <f>IF(BZ74&gt;0,BY74/BZ74,0)</f>
        <v/>
      </c>
    </row>
    <row r="75">
      <c r="A75" s="61" t="n">
        <v>1915</v>
      </c>
      <c r="B75" s="47">
        <f>Economy!P74</f>
        <v/>
      </c>
      <c r="C75" s="45" t="n">
        <v>52640000</v>
      </c>
      <c r="D75" s="62">
        <f>Japan!B75</f>
        <v/>
      </c>
      <c r="E75" s="68" t="n">
        <v>0.8100000000000001</v>
      </c>
      <c r="F75" s="47">
        <f>IF(C75&gt;0,D75*1000000/C75,0)</f>
        <v/>
      </c>
      <c r="G75" s="64">
        <f>IF(AND(E75&gt;0,F74&gt;0,B75&gt;0),MIN(conv_cap,conv_beta*jp_uplift*E75*MAX(0,LN(B75/(F74*H74)))),0)</f>
        <v/>
      </c>
      <c r="H75" s="65">
        <f>H74*(1+G75)</f>
        <v/>
      </c>
      <c r="I75" s="47">
        <f>D75*H75</f>
        <v/>
      </c>
      <c r="J75" s="67">
        <f>IF(C75&gt;0,I75*1000000/C75/Economy!Q75,0)</f>
        <v/>
      </c>
      <c r="K75" s="62">
        <f>Gulf!B75</f>
        <v/>
      </c>
      <c r="L75" s="47">
        <f>Gulf!B75*Gulf!C75*Economy!Q75/1000000</f>
        <v/>
      </c>
      <c r="M75" s="68" t="n">
        <v>0.679</v>
      </c>
      <c r="N75" s="47">
        <f>IF(K75&gt;0,L75*1000000/K75,0)</f>
        <v/>
      </c>
      <c r="O75" s="64">
        <f>IF(AND(M75&gt;0,N74&gt;0,B75&gt;0),MIN(conv_cap,conv_beta*1*M75*MAX(0,LN(B75/(N74*P74)))),0)</f>
        <v/>
      </c>
      <c r="P75" s="65">
        <f>P74*(1+O75)</f>
        <v/>
      </c>
      <c r="Q75" s="47">
        <f>L75*P75</f>
        <v/>
      </c>
      <c r="R75" s="67">
        <f>IF(K75&gt;0,Q75*1000000/K75/Economy!Q75,0)</f>
        <v/>
      </c>
      <c r="S75" s="62">
        <f>People!U75</f>
        <v/>
      </c>
      <c r="T75" s="45" t="n">
        <v>557</v>
      </c>
      <c r="U75" s="68" t="n">
        <v>0.629</v>
      </c>
      <c r="V75" s="47">
        <f>IF(S75&gt;0,T75*1000000/S75,0)</f>
        <v/>
      </c>
      <c r="W75" s="64">
        <f>IF(AND(U75&gt;0,V74&gt;0,B75&gt;0),MIN(conv_cap,conv_beta*1*U75*MAX(0,LN(B75/(V74*X74)))),0)</f>
        <v/>
      </c>
      <c r="X75" s="65">
        <f>X74*(1+W75)</f>
        <v/>
      </c>
      <c r="Y75" s="47">
        <f>T75*X75</f>
        <v/>
      </c>
      <c r="Z75" s="67">
        <f>IF(S75&gt;0,Y75*1000000/S75/Economy!Q75,0)</f>
        <v/>
      </c>
      <c r="AA75" s="45" t="n">
        <v>0</v>
      </c>
      <c r="AB75" s="45" t="n">
        <v>0</v>
      </c>
      <c r="AC75" s="68" t="n">
        <v>0</v>
      </c>
      <c r="AD75" s="47">
        <f>IF(AA75&gt;0,AB75*1000000/AA75,0)</f>
        <v/>
      </c>
      <c r="AE75" s="64">
        <f>IF(AND(AC75&gt;0,AD74&gt;0,B75&gt;0),MIN(conv_cap,conv_beta*1*AC75*MAX(0,LN(B75/(AD74*AF74)))),0)</f>
        <v/>
      </c>
      <c r="AF75" s="65">
        <f>AF74*(1+AE75)</f>
        <v/>
      </c>
      <c r="AG75" s="47">
        <f>AB75*AF75</f>
        <v/>
      </c>
      <c r="AH75" s="67">
        <f>IF(AA75&gt;0,AG75*1000000/AA75/Economy!Q75,0)</f>
        <v/>
      </c>
      <c r="AI75" s="45" t="n">
        <v>437500000</v>
      </c>
      <c r="AJ75" s="45" t="n">
        <v>5375</v>
      </c>
      <c r="AK75" s="68" t="n">
        <v>0.265</v>
      </c>
      <c r="AL75" s="47">
        <f>IF(AI75&gt;0,AJ75*1000000/AI75,0)</f>
        <v/>
      </c>
      <c r="AM75" s="64">
        <f>IF(AND(AK75&gt;0,AL74&gt;0,B75&gt;0),MIN(conv_cap,conv_beta*1*AK75*MAX(0,LN(B75/(AL74*AN74)))),0)</f>
        <v/>
      </c>
      <c r="AN75" s="65">
        <f>AN74*(1+AM75)</f>
        <v/>
      </c>
      <c r="AO75" s="47">
        <f>AJ75*AN75</f>
        <v/>
      </c>
      <c r="AP75" s="67">
        <f>IF(AI75&gt;0,AO75*1000000/AI75/Economy!Q75,0)</f>
        <v/>
      </c>
      <c r="AQ75" s="45" t="n">
        <v>15620000</v>
      </c>
      <c r="AR75" s="45" t="n">
        <v>475</v>
      </c>
      <c r="AS75" s="68" t="n">
        <v>0.542</v>
      </c>
      <c r="AT75" s="47">
        <f>IF(AQ75&gt;0,AR75*1000000/AQ75,0)</f>
        <v/>
      </c>
      <c r="AU75" s="64">
        <f>IF(AND(AS75&gt;0,AT74&gt;0,B75&gt;0),MIN(conv_cap,conv_beta*1*AS75*MAX(0,LN(B75/(AT74*AV74)))),0)</f>
        <v/>
      </c>
      <c r="AV75" s="65">
        <f>AV74*(1+AU75)</f>
        <v/>
      </c>
      <c r="AW75" s="47">
        <f>AR75*AV75</f>
        <v/>
      </c>
      <c r="AX75" s="67">
        <f>IF(AQ75&gt;0,AW75*1000000/AQ75/Economy!Q75,0)</f>
        <v/>
      </c>
      <c r="AY75" s="45" t="n">
        <v>98800000</v>
      </c>
      <c r="AZ75" s="45" t="n">
        <v>3429</v>
      </c>
      <c r="BA75" s="68" t="n">
        <v>0.163</v>
      </c>
      <c r="BB75" s="47">
        <f>IF(AY75&gt;0,AZ75*1000000/AY75,0)</f>
        <v/>
      </c>
      <c r="BC75" s="64">
        <f>IF(AND(BA75&gt;0,BB74&gt;0,B75&gt;0),MIN(conv_cap,conv_beta*1*BA75*MAX(0,LN(B75/(BB74*BD74)))),0)</f>
        <v/>
      </c>
      <c r="BD75" s="65">
        <f>BD74*(1+BC75)</f>
        <v/>
      </c>
      <c r="BE75" s="47">
        <f>AZ75*BD75</f>
        <v/>
      </c>
      <c r="BF75" s="67">
        <f>IF(AY75&gt;0,BE75*1000000/AY75/Economy!Q75,0)</f>
        <v/>
      </c>
      <c r="BG75" s="45" t="n">
        <v>38100000</v>
      </c>
      <c r="BH75" s="45" t="n">
        <v>4071</v>
      </c>
      <c r="BI75" s="68" t="n">
        <v>0.312</v>
      </c>
      <c r="BJ75" s="47">
        <f>IF(BG75&gt;0,BH75*1000000/BG75,0)</f>
        <v/>
      </c>
      <c r="BK75" s="64">
        <f>IF(AND(BI75&gt;0,BJ74&gt;0,B75&gt;0),MIN(conv_cap,conv_beta*1*BI75*MAX(0,LN(B75/(BJ74*BL74)))),0)</f>
        <v/>
      </c>
      <c r="BL75" s="65">
        <f>BL74*(1+BK75)</f>
        <v/>
      </c>
      <c r="BM75" s="47">
        <f>BH75*BL75</f>
        <v/>
      </c>
      <c r="BN75" s="67">
        <f>IF(BG75&gt;0,BM75*1000000/BG75/Economy!Q75,0)</f>
        <v/>
      </c>
      <c r="BO75" s="45" t="n">
        <v>16400000</v>
      </c>
      <c r="BP75" s="45" t="n">
        <v>1188</v>
      </c>
      <c r="BQ75" s="68" t="n">
        <v>0.113</v>
      </c>
      <c r="BR75" s="47">
        <f>IF(BO75&gt;0,BP75*1000000/BO75,0)</f>
        <v/>
      </c>
      <c r="BS75" s="64">
        <f>IF(AND(BQ75&gt;0,BR74&gt;0,B75&gt;0),MIN(conv_cap,conv_beta*1*BQ75*MAX(0,LN(B75/(BR74*BT74)))),0)</f>
        <v/>
      </c>
      <c r="BT75" s="65">
        <f>BT74*(1+BS75)</f>
        <v/>
      </c>
      <c r="BU75" s="47">
        <f>BP75*BT75</f>
        <v/>
      </c>
      <c r="BV75" s="67">
        <f>IF(BO75&gt;0,BU75*1000000/BO75/Economy!Q75,0)</f>
        <v/>
      </c>
      <c r="BW75" s="65">
        <f>0.25*IF(D75&gt;0,H75,1)+0.15*IF(AJ75&gt;0,AN75,1)+0.03*IF(AR75&gt;0,AV75,1)+0.08*IF(AZ75&gt;0,BD75,1)+0.12*IF(BH75&gt;0,BL75,1)+0.1*IF(L75&gt;0,P75,1)+0.07*IF(T75&gt;0,X75,1)+0.05*IF(AB75&gt;0,AF75,1)+0.05*IF(BP75&gt;0,BT75,1)+0.1</f>
        <v/>
      </c>
      <c r="BX75" s="63">
        <f>MIN(mkt_cap,mkt_elast*MAX(0,BW75-1))</f>
        <v/>
      </c>
      <c r="BY75" s="47">
        <f>I75+Q75+Y75+AG75</f>
        <v/>
      </c>
      <c r="BZ75" s="47">
        <f>D75+L75+T75+AB75</f>
        <v/>
      </c>
      <c r="CA75" s="65">
        <f>IF(BZ75&gt;0,BY75/BZ75,0)</f>
        <v/>
      </c>
    </row>
    <row r="76">
      <c r="A76" s="61" t="n">
        <v>1916</v>
      </c>
      <c r="B76" s="47">
        <f>Economy!P75</f>
        <v/>
      </c>
      <c r="C76" s="45" t="n">
        <v>53310000</v>
      </c>
      <c r="D76" s="62">
        <f>Japan!B76</f>
        <v/>
      </c>
      <c r="E76" s="68" t="n">
        <v>0.82</v>
      </c>
      <c r="F76" s="47">
        <f>IF(C76&gt;0,D76*1000000/C76,0)</f>
        <v/>
      </c>
      <c r="G76" s="64">
        <f>IF(AND(E76&gt;0,F75&gt;0,B76&gt;0),MIN(conv_cap,conv_beta*jp_uplift*E76*MAX(0,LN(B76/(F75*H75)))),0)</f>
        <v/>
      </c>
      <c r="H76" s="65">
        <f>H75*(1+G76)</f>
        <v/>
      </c>
      <c r="I76" s="47">
        <f>D76*H76</f>
        <v/>
      </c>
      <c r="J76" s="67">
        <f>IF(C76&gt;0,I76*1000000/C76/Economy!Q76,0)</f>
        <v/>
      </c>
      <c r="K76" s="62">
        <f>Gulf!B76</f>
        <v/>
      </c>
      <c r="L76" s="47">
        <f>Gulf!B76*Gulf!C76*Economy!Q76/1000000</f>
        <v/>
      </c>
      <c r="M76" s="68" t="n">
        <v>0.6929999999999999</v>
      </c>
      <c r="N76" s="47">
        <f>IF(K76&gt;0,L76*1000000/K76,0)</f>
        <v/>
      </c>
      <c r="O76" s="64">
        <f>IF(AND(M76&gt;0,N75&gt;0,B76&gt;0),MIN(conv_cap,conv_beta*1*M76*MAX(0,LN(B76/(N75*P75)))),0)</f>
        <v/>
      </c>
      <c r="P76" s="65">
        <f>P75*(1+O76)</f>
        <v/>
      </c>
      <c r="Q76" s="47">
        <f>L76*P76</f>
        <v/>
      </c>
      <c r="R76" s="67">
        <f>IF(K76&gt;0,Q76*1000000/K76/Economy!Q76,0)</f>
        <v/>
      </c>
      <c r="S76" s="62">
        <f>People!U76</f>
        <v/>
      </c>
      <c r="T76" s="45" t="n">
        <v>626</v>
      </c>
      <c r="U76" s="68" t="n">
        <v>0.643</v>
      </c>
      <c r="V76" s="47">
        <f>IF(S76&gt;0,T76*1000000/S76,0)</f>
        <v/>
      </c>
      <c r="W76" s="64">
        <f>IF(AND(U76&gt;0,V75&gt;0,B76&gt;0),MIN(conv_cap,conv_beta*1*U76*MAX(0,LN(B76/(V75*X75)))),0)</f>
        <v/>
      </c>
      <c r="X76" s="65">
        <f>X75*(1+W76)</f>
        <v/>
      </c>
      <c r="Y76" s="47">
        <f>T76*X76</f>
        <v/>
      </c>
      <c r="Z76" s="67">
        <f>IF(S76&gt;0,Y76*1000000/S76/Economy!Q76,0)</f>
        <v/>
      </c>
      <c r="AA76" s="45" t="n">
        <v>0</v>
      </c>
      <c r="AB76" s="45" t="n">
        <v>0</v>
      </c>
      <c r="AC76" s="68" t="n">
        <v>0</v>
      </c>
      <c r="AD76" s="47">
        <f>IF(AA76&gt;0,AB76*1000000/AA76,0)</f>
        <v/>
      </c>
      <c r="AE76" s="64">
        <f>IF(AND(AC76&gt;0,AD75&gt;0,B76&gt;0),MIN(conv_cap,conv_beta*1*AC76*MAX(0,LN(B76/(AD75*AF75)))),0)</f>
        <v/>
      </c>
      <c r="AF76" s="65">
        <f>AF75*(1+AE76)</f>
        <v/>
      </c>
      <c r="AG76" s="47">
        <f>AB76*AF76</f>
        <v/>
      </c>
      <c r="AH76" s="67">
        <f>IF(AA76&gt;0,AG76*1000000/AA76/Economy!Q76,0)</f>
        <v/>
      </c>
      <c r="AI76" s="45" t="n">
        <v>441200000</v>
      </c>
      <c r="AJ76" s="45" t="n">
        <v>5562</v>
      </c>
      <c r="AK76" s="68" t="n">
        <v>0.27</v>
      </c>
      <c r="AL76" s="47">
        <f>IF(AI76&gt;0,AJ76*1000000/AI76,0)</f>
        <v/>
      </c>
      <c r="AM76" s="64">
        <f>IF(AND(AK76&gt;0,AL75&gt;0,B76&gt;0),MIN(conv_cap,conv_beta*1*AK76*MAX(0,LN(B76/(AL75*AN75)))),0)</f>
        <v/>
      </c>
      <c r="AN76" s="65">
        <f>AN75*(1+AM76)</f>
        <v/>
      </c>
      <c r="AO76" s="47">
        <f>AJ76*AN76</f>
        <v/>
      </c>
      <c r="AP76" s="67">
        <f>IF(AI76&gt;0,AO76*1000000/AI76/Economy!Q76,0)</f>
        <v/>
      </c>
      <c r="AQ76" s="45" t="n">
        <v>15940000</v>
      </c>
      <c r="AR76" s="45" t="n">
        <v>512</v>
      </c>
      <c r="AS76" s="68" t="n">
        <v>0.546</v>
      </c>
      <c r="AT76" s="47">
        <f>IF(AQ76&gt;0,AR76*1000000/AQ76,0)</f>
        <v/>
      </c>
      <c r="AU76" s="64">
        <f>IF(AND(AS76&gt;0,AT75&gt;0,B76&gt;0),MIN(conv_cap,conv_beta*1*AS76*MAX(0,LN(B76/(AT75*AV75)))),0)</f>
        <v/>
      </c>
      <c r="AV76" s="65">
        <f>AV75*(1+AU76)</f>
        <v/>
      </c>
      <c r="AW76" s="47">
        <f>AR76*AV76</f>
        <v/>
      </c>
      <c r="AX76" s="67">
        <f>IF(AQ76&gt;0,AW76*1000000/AQ76/Economy!Q76,0)</f>
        <v/>
      </c>
      <c r="AY76" s="45" t="n">
        <v>100600000</v>
      </c>
      <c r="AZ76" s="45" t="n">
        <v>3643</v>
      </c>
      <c r="BA76" s="68" t="n">
        <v>0.169</v>
      </c>
      <c r="BB76" s="47">
        <f>IF(AY76&gt;0,AZ76*1000000/AY76,0)</f>
        <v/>
      </c>
      <c r="BC76" s="64">
        <f>IF(AND(BA76&gt;0,BB75&gt;0,B76&gt;0),MIN(conv_cap,conv_beta*1*BA76*MAX(0,LN(B76/(BB75*BD75)))),0)</f>
        <v/>
      </c>
      <c r="BD76" s="65">
        <f>BD75*(1+BC76)</f>
        <v/>
      </c>
      <c r="BE76" s="47">
        <f>AZ76*BD76</f>
        <v/>
      </c>
      <c r="BF76" s="67">
        <f>IF(AY76&gt;0,BE76*1000000/AY76/Economy!Q76,0)</f>
        <v/>
      </c>
      <c r="BG76" s="45" t="n">
        <v>38700000</v>
      </c>
      <c r="BH76" s="45" t="n">
        <v>4257</v>
      </c>
      <c r="BI76" s="68" t="n">
        <v>0.319</v>
      </c>
      <c r="BJ76" s="47">
        <f>IF(BG76&gt;0,BH76*1000000/BG76,0)</f>
        <v/>
      </c>
      <c r="BK76" s="64">
        <f>IF(AND(BI76&gt;0,BJ75&gt;0,B76&gt;0),MIN(conv_cap,conv_beta*1*BI76*MAX(0,LN(B76/(BJ75*BL75)))),0)</f>
        <v/>
      </c>
      <c r="BL76" s="65">
        <f>BL75*(1+BK76)</f>
        <v/>
      </c>
      <c r="BM76" s="47">
        <f>BH76*BL76</f>
        <v/>
      </c>
      <c r="BN76" s="67">
        <f>IF(BG76&gt;0,BM76*1000000/BG76/Economy!Q76,0)</f>
        <v/>
      </c>
      <c r="BO76" s="45" t="n">
        <v>16600000</v>
      </c>
      <c r="BP76" s="45" t="n">
        <v>1231</v>
      </c>
      <c r="BQ76" s="68" t="n">
        <v>0.119</v>
      </c>
      <c r="BR76" s="47">
        <f>IF(BO76&gt;0,BP76*1000000/BO76,0)</f>
        <v/>
      </c>
      <c r="BS76" s="64">
        <f>IF(AND(BQ76&gt;0,BR75&gt;0,B76&gt;0),MIN(conv_cap,conv_beta*1*BQ76*MAX(0,LN(B76/(BR75*BT75)))),0)</f>
        <v/>
      </c>
      <c r="BT76" s="65">
        <f>BT75*(1+BS76)</f>
        <v/>
      </c>
      <c r="BU76" s="47">
        <f>BP76*BT76</f>
        <v/>
      </c>
      <c r="BV76" s="67">
        <f>IF(BO76&gt;0,BU76*1000000/BO76/Economy!Q76,0)</f>
        <v/>
      </c>
      <c r="BW76" s="65">
        <f>0.25*IF(D76&gt;0,H76,1)+0.15*IF(AJ76&gt;0,AN76,1)+0.03*IF(AR76&gt;0,AV76,1)+0.08*IF(AZ76&gt;0,BD76,1)+0.12*IF(BH76&gt;0,BL76,1)+0.1*IF(L76&gt;0,P76,1)+0.07*IF(T76&gt;0,X76,1)+0.05*IF(AB76&gt;0,AF76,1)+0.05*IF(BP76&gt;0,BT76,1)+0.1</f>
        <v/>
      </c>
      <c r="BX76" s="63">
        <f>MIN(mkt_cap,mkt_elast*MAX(0,BW76-1))</f>
        <v/>
      </c>
      <c r="BY76" s="47">
        <f>I76+Q76+Y76+AG76</f>
        <v/>
      </c>
      <c r="BZ76" s="47">
        <f>D76+L76+T76+AB76</f>
        <v/>
      </c>
      <c r="CA76" s="65">
        <f>IF(BZ76&gt;0,BY76/BZ76,0)</f>
        <v/>
      </c>
    </row>
    <row r="77">
      <c r="A77" s="61" t="n">
        <v>1917</v>
      </c>
      <c r="B77" s="47">
        <f>Economy!P76</f>
        <v/>
      </c>
      <c r="C77" s="45" t="n">
        <v>53990000</v>
      </c>
      <c r="D77" s="62">
        <f>Japan!B77</f>
        <v/>
      </c>
      <c r="E77" s="68" t="n">
        <v>0.83</v>
      </c>
      <c r="F77" s="47">
        <f>IF(C77&gt;0,D77*1000000/C77,0)</f>
        <v/>
      </c>
      <c r="G77" s="64">
        <f>IF(AND(E77&gt;0,F76&gt;0,B77&gt;0),MIN(conv_cap,conv_beta*jp_uplift*E77*MAX(0,LN(B77/(F76*H76)))),0)</f>
        <v/>
      </c>
      <c r="H77" s="65">
        <f>H76*(1+G77)</f>
        <v/>
      </c>
      <c r="I77" s="47">
        <f>D77*H77</f>
        <v/>
      </c>
      <c r="J77" s="67">
        <f>IF(C77&gt;0,I77*1000000/C77/Economy!Q77,0)</f>
        <v/>
      </c>
      <c r="K77" s="62">
        <f>Gulf!B77</f>
        <v/>
      </c>
      <c r="L77" s="47">
        <f>Gulf!B77*Gulf!C77*Economy!Q77/1000000</f>
        <v/>
      </c>
      <c r="M77" s="68" t="n">
        <v>0.707</v>
      </c>
      <c r="N77" s="47">
        <f>IF(K77&gt;0,L77*1000000/K77,0)</f>
        <v/>
      </c>
      <c r="O77" s="64">
        <f>IF(AND(M77&gt;0,N76&gt;0,B77&gt;0),MIN(conv_cap,conv_beta*1*M77*MAX(0,LN(B77/(N76*P76)))),0)</f>
        <v/>
      </c>
      <c r="P77" s="65">
        <f>P76*(1+O77)</f>
        <v/>
      </c>
      <c r="Q77" s="47">
        <f>L77*P77</f>
        <v/>
      </c>
      <c r="R77" s="67">
        <f>IF(K77&gt;0,Q77*1000000/K77/Economy!Q77,0)</f>
        <v/>
      </c>
      <c r="S77" s="62">
        <f>People!U77</f>
        <v/>
      </c>
      <c r="T77" s="45" t="n">
        <v>694</v>
      </c>
      <c r="U77" s="68" t="n">
        <v>0.657</v>
      </c>
      <c r="V77" s="47">
        <f>IF(S77&gt;0,T77*1000000/S77,0)</f>
        <v/>
      </c>
      <c r="W77" s="64">
        <f>IF(AND(U77&gt;0,V76&gt;0,B77&gt;0),MIN(conv_cap,conv_beta*1*U77*MAX(0,LN(B77/(V76*X76)))),0)</f>
        <v/>
      </c>
      <c r="X77" s="65">
        <f>X76*(1+W77)</f>
        <v/>
      </c>
      <c r="Y77" s="47">
        <f>T77*X77</f>
        <v/>
      </c>
      <c r="Z77" s="67">
        <f>IF(S77&gt;0,Y77*1000000/S77/Economy!Q77,0)</f>
        <v/>
      </c>
      <c r="AA77" s="45" t="n">
        <v>0</v>
      </c>
      <c r="AB77" s="45" t="n">
        <v>0</v>
      </c>
      <c r="AC77" s="68" t="n">
        <v>0</v>
      </c>
      <c r="AD77" s="47">
        <f>IF(AA77&gt;0,AB77*1000000/AA77,0)</f>
        <v/>
      </c>
      <c r="AE77" s="64">
        <f>IF(AND(AC77&gt;0,AD76&gt;0,B77&gt;0),MIN(conv_cap,conv_beta*1*AC77*MAX(0,LN(B77/(AD76*AF76)))),0)</f>
        <v/>
      </c>
      <c r="AF77" s="65">
        <f>AF76*(1+AE77)</f>
        <v/>
      </c>
      <c r="AG77" s="47">
        <f>AB77*AF77</f>
        <v/>
      </c>
      <c r="AH77" s="67">
        <f>IF(AA77&gt;0,AG77*1000000/AA77/Economy!Q77,0)</f>
        <v/>
      </c>
      <c r="AI77" s="45" t="n">
        <v>445000000</v>
      </c>
      <c r="AJ77" s="45" t="n">
        <v>5750</v>
      </c>
      <c r="AK77" s="68" t="n">
        <v>0.275</v>
      </c>
      <c r="AL77" s="47">
        <f>IF(AI77&gt;0,AJ77*1000000/AI77,0)</f>
        <v/>
      </c>
      <c r="AM77" s="64">
        <f>IF(AND(AK77&gt;0,AL76&gt;0,B77&gt;0),MIN(conv_cap,conv_beta*1*AK77*MAX(0,LN(B77/(AL76*AN76)))),0)</f>
        <v/>
      </c>
      <c r="AN77" s="65">
        <f>AN76*(1+AM77)</f>
        <v/>
      </c>
      <c r="AO77" s="47">
        <f>AJ77*AN77</f>
        <v/>
      </c>
      <c r="AP77" s="67">
        <f>IF(AI77&gt;0,AO77*1000000/AI77/Economy!Q77,0)</f>
        <v/>
      </c>
      <c r="AQ77" s="45" t="n">
        <v>16250000</v>
      </c>
      <c r="AR77" s="45" t="n">
        <v>550</v>
      </c>
      <c r="AS77" s="68" t="n">
        <v>0.55</v>
      </c>
      <c r="AT77" s="47">
        <f>IF(AQ77&gt;0,AR77*1000000/AQ77,0)</f>
        <v/>
      </c>
      <c r="AU77" s="64">
        <f>IF(AND(AS77&gt;0,AT76&gt;0,B77&gt;0),MIN(conv_cap,conv_beta*1*AS77*MAX(0,LN(B77/(AT76*AV76)))),0)</f>
        <v/>
      </c>
      <c r="AV77" s="65">
        <f>AV76*(1+AU77)</f>
        <v/>
      </c>
      <c r="AW77" s="47">
        <f>AR77*AV77</f>
        <v/>
      </c>
      <c r="AX77" s="67">
        <f>IF(AQ77&gt;0,AW77*1000000/AQ77/Economy!Q77,0)</f>
        <v/>
      </c>
      <c r="AY77" s="45" t="n">
        <v>102500000</v>
      </c>
      <c r="AZ77" s="45" t="n">
        <v>3857</v>
      </c>
      <c r="BA77" s="68" t="n">
        <v>0.175</v>
      </c>
      <c r="BB77" s="47">
        <f>IF(AY77&gt;0,AZ77*1000000/AY77,0)</f>
        <v/>
      </c>
      <c r="BC77" s="64">
        <f>IF(AND(BA77&gt;0,BB76&gt;0,B77&gt;0),MIN(conv_cap,conv_beta*1*BA77*MAX(0,LN(B77/(BB76*BD76)))),0)</f>
        <v/>
      </c>
      <c r="BD77" s="65">
        <f>BD76*(1+BC77)</f>
        <v/>
      </c>
      <c r="BE77" s="47">
        <f>AZ77*BD77</f>
        <v/>
      </c>
      <c r="BF77" s="67">
        <f>IF(AY77&gt;0,BE77*1000000/AY77/Economy!Q77,0)</f>
        <v/>
      </c>
      <c r="BG77" s="45" t="n">
        <v>39200000</v>
      </c>
      <c r="BH77" s="45" t="n">
        <v>4443</v>
      </c>
      <c r="BI77" s="68" t="n">
        <v>0.325</v>
      </c>
      <c r="BJ77" s="47">
        <f>IF(BG77&gt;0,BH77*1000000/BG77,0)</f>
        <v/>
      </c>
      <c r="BK77" s="64">
        <f>IF(AND(BI77&gt;0,BJ76&gt;0,B77&gt;0),MIN(conv_cap,conv_beta*1*BI77*MAX(0,LN(B77/(BJ76*BL76)))),0)</f>
        <v/>
      </c>
      <c r="BL77" s="65">
        <f>BL76*(1+BK77)</f>
        <v/>
      </c>
      <c r="BM77" s="47">
        <f>BH77*BL77</f>
        <v/>
      </c>
      <c r="BN77" s="67">
        <f>IF(BG77&gt;0,BM77*1000000/BG77/Economy!Q77,0)</f>
        <v/>
      </c>
      <c r="BO77" s="45" t="n">
        <v>16800000</v>
      </c>
      <c r="BP77" s="45" t="n">
        <v>1275</v>
      </c>
      <c r="BQ77" s="68" t="n">
        <v>0.125</v>
      </c>
      <c r="BR77" s="47">
        <f>IF(BO77&gt;0,BP77*1000000/BO77,0)</f>
        <v/>
      </c>
      <c r="BS77" s="64">
        <f>IF(AND(BQ77&gt;0,BR76&gt;0,B77&gt;0),MIN(conv_cap,conv_beta*1*BQ77*MAX(0,LN(B77/(BR76*BT76)))),0)</f>
        <v/>
      </c>
      <c r="BT77" s="65">
        <f>BT76*(1+BS77)</f>
        <v/>
      </c>
      <c r="BU77" s="47">
        <f>BP77*BT77</f>
        <v/>
      </c>
      <c r="BV77" s="67">
        <f>IF(BO77&gt;0,BU77*1000000/BO77/Economy!Q77,0)</f>
        <v/>
      </c>
      <c r="BW77" s="65">
        <f>0.25*IF(D77&gt;0,H77,1)+0.15*IF(AJ77&gt;0,AN77,1)+0.03*IF(AR77&gt;0,AV77,1)+0.08*IF(AZ77&gt;0,BD77,1)+0.12*IF(BH77&gt;0,BL77,1)+0.1*IF(L77&gt;0,P77,1)+0.07*IF(T77&gt;0,X77,1)+0.05*IF(AB77&gt;0,AF77,1)+0.05*IF(BP77&gt;0,BT77,1)+0.1</f>
        <v/>
      </c>
      <c r="BX77" s="63">
        <f>MIN(mkt_cap,mkt_elast*MAX(0,BW77-1))</f>
        <v/>
      </c>
      <c r="BY77" s="47">
        <f>I77+Q77+Y77+AG77</f>
        <v/>
      </c>
      <c r="BZ77" s="47">
        <f>D77+L77+T77+AB77</f>
        <v/>
      </c>
      <c r="CA77" s="65">
        <f>IF(BZ77&gt;0,BY77/BZ77,0)</f>
        <v/>
      </c>
    </row>
    <row r="78">
      <c r="A78" s="61" t="n">
        <v>1918</v>
      </c>
      <c r="B78" s="47">
        <f>Economy!P77</f>
        <v/>
      </c>
      <c r="C78" s="45" t="n">
        <v>54660000</v>
      </c>
      <c r="D78" s="62">
        <f>Japan!B78</f>
        <v/>
      </c>
      <c r="E78" s="68" t="n">
        <v>0.84</v>
      </c>
      <c r="F78" s="47">
        <f>IF(C78&gt;0,D78*1000000/C78,0)</f>
        <v/>
      </c>
      <c r="G78" s="64">
        <f>IF(AND(E78&gt;0,F77&gt;0,B78&gt;0),MIN(conv_cap,conv_beta*jp_uplift*E78*MAX(0,LN(B78/(F77*H77)))),0)</f>
        <v/>
      </c>
      <c r="H78" s="65">
        <f>H77*(1+G78)</f>
        <v/>
      </c>
      <c r="I78" s="47">
        <f>D78*H78</f>
        <v/>
      </c>
      <c r="J78" s="67">
        <f>IF(C78&gt;0,I78*1000000/C78/Economy!Q78,0)</f>
        <v/>
      </c>
      <c r="K78" s="62">
        <f>Gulf!B78</f>
        <v/>
      </c>
      <c r="L78" s="47">
        <f>Gulf!B78*Gulf!C78*Economy!Q78/1000000</f>
        <v/>
      </c>
      <c r="M78" s="68" t="n">
        <v>0.721</v>
      </c>
      <c r="N78" s="47">
        <f>IF(K78&gt;0,L78*1000000/K78,0)</f>
        <v/>
      </c>
      <c r="O78" s="64">
        <f>IF(AND(M78&gt;0,N77&gt;0,B78&gt;0),MIN(conv_cap,conv_beta*1*M78*MAX(0,LN(B78/(N77*P77)))),0)</f>
        <v/>
      </c>
      <c r="P78" s="65">
        <f>P77*(1+O78)</f>
        <v/>
      </c>
      <c r="Q78" s="47">
        <f>L78*P78</f>
        <v/>
      </c>
      <c r="R78" s="67">
        <f>IF(K78&gt;0,Q78*1000000/K78/Economy!Q78,0)</f>
        <v/>
      </c>
      <c r="S78" s="62">
        <f>People!U78</f>
        <v/>
      </c>
      <c r="T78" s="45" t="n">
        <v>763</v>
      </c>
      <c r="U78" s="68" t="n">
        <v>0.671</v>
      </c>
      <c r="V78" s="47">
        <f>IF(S78&gt;0,T78*1000000/S78,0)</f>
        <v/>
      </c>
      <c r="W78" s="64">
        <f>IF(AND(U78&gt;0,V77&gt;0,B78&gt;0),MIN(conv_cap,conv_beta*1*U78*MAX(0,LN(B78/(V77*X77)))),0)</f>
        <v/>
      </c>
      <c r="X78" s="65">
        <f>X77*(1+W78)</f>
        <v/>
      </c>
      <c r="Y78" s="47">
        <f>T78*X78</f>
        <v/>
      </c>
      <c r="Z78" s="67">
        <f>IF(S78&gt;0,Y78*1000000/S78/Economy!Q78,0)</f>
        <v/>
      </c>
      <c r="AA78" s="45" t="n">
        <v>0</v>
      </c>
      <c r="AB78" s="45" t="n">
        <v>0</v>
      </c>
      <c r="AC78" s="68" t="n">
        <v>0</v>
      </c>
      <c r="AD78" s="47">
        <f>IF(AA78&gt;0,AB78*1000000/AA78,0)</f>
        <v/>
      </c>
      <c r="AE78" s="64">
        <f>IF(AND(AC78&gt;0,AD77&gt;0,B78&gt;0),MIN(conv_cap,conv_beta*1*AC78*MAX(0,LN(B78/(AD77*AF77)))),0)</f>
        <v/>
      </c>
      <c r="AF78" s="65">
        <f>AF77*(1+AE78)</f>
        <v/>
      </c>
      <c r="AG78" s="47">
        <f>AB78*AF78</f>
        <v/>
      </c>
      <c r="AH78" s="67">
        <f>IF(AA78&gt;0,AG78*1000000/AA78/Economy!Q78,0)</f>
        <v/>
      </c>
      <c r="AI78" s="45" t="n">
        <v>448800000</v>
      </c>
      <c r="AJ78" s="45" t="n">
        <v>5938</v>
      </c>
      <c r="AK78" s="68" t="n">
        <v>0.28</v>
      </c>
      <c r="AL78" s="47">
        <f>IF(AI78&gt;0,AJ78*1000000/AI78,0)</f>
        <v/>
      </c>
      <c r="AM78" s="64">
        <f>IF(AND(AK78&gt;0,AL77&gt;0,B78&gt;0),MIN(conv_cap,conv_beta*1*AK78*MAX(0,LN(B78/(AL77*AN77)))),0)</f>
        <v/>
      </c>
      <c r="AN78" s="65">
        <f>AN77*(1+AM78)</f>
        <v/>
      </c>
      <c r="AO78" s="47">
        <f>AJ78*AN78</f>
        <v/>
      </c>
      <c r="AP78" s="67">
        <f>IF(AI78&gt;0,AO78*1000000/AI78/Economy!Q78,0)</f>
        <v/>
      </c>
      <c r="AQ78" s="45" t="n">
        <v>16560000</v>
      </c>
      <c r="AR78" s="45" t="n">
        <v>588</v>
      </c>
      <c r="AS78" s="68" t="n">
        <v>0.554</v>
      </c>
      <c r="AT78" s="47">
        <f>IF(AQ78&gt;0,AR78*1000000/AQ78,0)</f>
        <v/>
      </c>
      <c r="AU78" s="64">
        <f>IF(AND(AS78&gt;0,AT77&gt;0,B78&gt;0),MIN(conv_cap,conv_beta*1*AS78*MAX(0,LN(B78/(AT77*AV77)))),0)</f>
        <v/>
      </c>
      <c r="AV78" s="65">
        <f>AV77*(1+AU78)</f>
        <v/>
      </c>
      <c r="AW78" s="47">
        <f>AR78*AV78</f>
        <v/>
      </c>
      <c r="AX78" s="67">
        <f>IF(AQ78&gt;0,AW78*1000000/AQ78/Economy!Q78,0)</f>
        <v/>
      </c>
      <c r="AY78" s="45" t="n">
        <v>104400000</v>
      </c>
      <c r="AZ78" s="45" t="n">
        <v>4071</v>
      </c>
      <c r="BA78" s="68" t="n">
        <v>0.181</v>
      </c>
      <c r="BB78" s="47">
        <f>IF(AY78&gt;0,AZ78*1000000/AY78,0)</f>
        <v/>
      </c>
      <c r="BC78" s="64">
        <f>IF(AND(BA78&gt;0,BB77&gt;0,B78&gt;0),MIN(conv_cap,conv_beta*1*BA78*MAX(0,LN(B78/(BB77*BD77)))),0)</f>
        <v/>
      </c>
      <c r="BD78" s="65">
        <f>BD77*(1+BC78)</f>
        <v/>
      </c>
      <c r="BE78" s="47">
        <f>AZ78*BD78</f>
        <v/>
      </c>
      <c r="BF78" s="67">
        <f>IF(AY78&gt;0,BE78*1000000/AY78/Economy!Q78,0)</f>
        <v/>
      </c>
      <c r="BG78" s="45" t="n">
        <v>39800000</v>
      </c>
      <c r="BH78" s="45" t="n">
        <v>4629</v>
      </c>
      <c r="BI78" s="68" t="n">
        <v>0.331</v>
      </c>
      <c r="BJ78" s="47">
        <f>IF(BG78&gt;0,BH78*1000000/BG78,0)</f>
        <v/>
      </c>
      <c r="BK78" s="64">
        <f>IF(AND(BI78&gt;0,BJ77&gt;0,B78&gt;0),MIN(conv_cap,conv_beta*1*BI78*MAX(0,LN(B78/(BJ77*BL77)))),0)</f>
        <v/>
      </c>
      <c r="BL78" s="65">
        <f>BL77*(1+BK78)</f>
        <v/>
      </c>
      <c r="BM78" s="47">
        <f>BH78*BL78</f>
        <v/>
      </c>
      <c r="BN78" s="67">
        <f>IF(BG78&gt;0,BM78*1000000/BG78/Economy!Q78,0)</f>
        <v/>
      </c>
      <c r="BO78" s="45" t="n">
        <v>16900000</v>
      </c>
      <c r="BP78" s="45" t="n">
        <v>1319</v>
      </c>
      <c r="BQ78" s="68" t="n">
        <v>0.131</v>
      </c>
      <c r="BR78" s="47">
        <f>IF(BO78&gt;0,BP78*1000000/BO78,0)</f>
        <v/>
      </c>
      <c r="BS78" s="64">
        <f>IF(AND(BQ78&gt;0,BR77&gt;0,B78&gt;0),MIN(conv_cap,conv_beta*1*BQ78*MAX(0,LN(B78/(BR77*BT77)))),0)</f>
        <v/>
      </c>
      <c r="BT78" s="65">
        <f>BT77*(1+BS78)</f>
        <v/>
      </c>
      <c r="BU78" s="47">
        <f>BP78*BT78</f>
        <v/>
      </c>
      <c r="BV78" s="67">
        <f>IF(BO78&gt;0,BU78*1000000/BO78/Economy!Q78,0)</f>
        <v/>
      </c>
      <c r="BW78" s="65">
        <f>0.25*IF(D78&gt;0,H78,1)+0.15*IF(AJ78&gt;0,AN78,1)+0.03*IF(AR78&gt;0,AV78,1)+0.08*IF(AZ78&gt;0,BD78,1)+0.12*IF(BH78&gt;0,BL78,1)+0.1*IF(L78&gt;0,P78,1)+0.07*IF(T78&gt;0,X78,1)+0.05*IF(AB78&gt;0,AF78,1)+0.05*IF(BP78&gt;0,BT78,1)+0.1</f>
        <v/>
      </c>
      <c r="BX78" s="63">
        <f>MIN(mkt_cap,mkt_elast*MAX(0,BW78-1))</f>
        <v/>
      </c>
      <c r="BY78" s="47">
        <f>I78+Q78+Y78+AG78</f>
        <v/>
      </c>
      <c r="BZ78" s="47">
        <f>D78+L78+T78+AB78</f>
        <v/>
      </c>
      <c r="CA78" s="65">
        <f>IF(BZ78&gt;0,BY78/BZ78,0)</f>
        <v/>
      </c>
    </row>
    <row r="79">
      <c r="A79" s="61" t="n">
        <v>1919</v>
      </c>
      <c r="B79" s="47">
        <f>Economy!P78</f>
        <v/>
      </c>
      <c r="C79" s="45" t="n">
        <v>55330000</v>
      </c>
      <c r="D79" s="62">
        <f>Japan!B79</f>
        <v/>
      </c>
      <c r="E79" s="68" t="n">
        <v>0.85</v>
      </c>
      <c r="F79" s="47">
        <f>IF(C79&gt;0,D79*1000000/C79,0)</f>
        <v/>
      </c>
      <c r="G79" s="64">
        <f>IF(AND(E79&gt;0,F78&gt;0,B79&gt;0),MIN(conv_cap,conv_beta*jp_uplift*E79*MAX(0,LN(B79/(F78*H78)))),0)</f>
        <v/>
      </c>
      <c r="H79" s="65">
        <f>H78*(1+G79)</f>
        <v/>
      </c>
      <c r="I79" s="47">
        <f>D79*H79</f>
        <v/>
      </c>
      <c r="J79" s="67">
        <f>IF(C79&gt;0,I79*1000000/C79/Economy!Q79,0)</f>
        <v/>
      </c>
      <c r="K79" s="62">
        <f>Gulf!B79</f>
        <v/>
      </c>
      <c r="L79" s="47">
        <f>Gulf!B79*Gulf!C79*Economy!Q79/1000000</f>
        <v/>
      </c>
      <c r="M79" s="68" t="n">
        <v>0.736</v>
      </c>
      <c r="N79" s="47">
        <f>IF(K79&gt;0,L79*1000000/K79,0)</f>
        <v/>
      </c>
      <c r="O79" s="64">
        <f>IF(AND(M79&gt;0,N78&gt;0,B79&gt;0),MIN(conv_cap,conv_beta*1*M79*MAX(0,LN(B79/(N78*P78)))),0)</f>
        <v/>
      </c>
      <c r="P79" s="65">
        <f>P78*(1+O79)</f>
        <v/>
      </c>
      <c r="Q79" s="47">
        <f>L79*P79</f>
        <v/>
      </c>
      <c r="R79" s="67">
        <f>IF(K79&gt;0,Q79*1000000/K79/Economy!Q79,0)</f>
        <v/>
      </c>
      <c r="S79" s="62">
        <f>People!U79</f>
        <v/>
      </c>
      <c r="T79" s="45" t="n">
        <v>831</v>
      </c>
      <c r="U79" s="68" t="n">
        <v>0.6860000000000001</v>
      </c>
      <c r="V79" s="47">
        <f>IF(S79&gt;0,T79*1000000/S79,0)</f>
        <v/>
      </c>
      <c r="W79" s="64">
        <f>IF(AND(U79&gt;0,V78&gt;0,B79&gt;0),MIN(conv_cap,conv_beta*1*U79*MAX(0,LN(B79/(V78*X78)))),0)</f>
        <v/>
      </c>
      <c r="X79" s="65">
        <f>X78*(1+W79)</f>
        <v/>
      </c>
      <c r="Y79" s="47">
        <f>T79*X79</f>
        <v/>
      </c>
      <c r="Z79" s="67">
        <f>IF(S79&gt;0,Y79*1000000/S79/Economy!Q79,0)</f>
        <v/>
      </c>
      <c r="AA79" s="45" t="n">
        <v>0</v>
      </c>
      <c r="AB79" s="45" t="n">
        <v>0</v>
      </c>
      <c r="AC79" s="68" t="n">
        <v>0</v>
      </c>
      <c r="AD79" s="47">
        <f>IF(AA79&gt;0,AB79*1000000/AA79,0)</f>
        <v/>
      </c>
      <c r="AE79" s="64">
        <f>IF(AND(AC79&gt;0,AD78&gt;0,B79&gt;0),MIN(conv_cap,conv_beta*1*AC79*MAX(0,LN(B79/(AD78*AF78)))),0)</f>
        <v/>
      </c>
      <c r="AF79" s="65">
        <f>AF78*(1+AE79)</f>
        <v/>
      </c>
      <c r="AG79" s="47">
        <f>AB79*AF79</f>
        <v/>
      </c>
      <c r="AH79" s="67">
        <f>IF(AA79&gt;0,AG79*1000000/AA79/Economy!Q79,0)</f>
        <v/>
      </c>
      <c r="AI79" s="45" t="n">
        <v>452500000</v>
      </c>
      <c r="AJ79" s="45" t="n">
        <v>6125</v>
      </c>
      <c r="AK79" s="68" t="n">
        <v>0.285</v>
      </c>
      <c r="AL79" s="47">
        <f>IF(AI79&gt;0,AJ79*1000000/AI79,0)</f>
        <v/>
      </c>
      <c r="AM79" s="64">
        <f>IF(AND(AK79&gt;0,AL78&gt;0,B79&gt;0),MIN(conv_cap,conv_beta*1*AK79*MAX(0,LN(B79/(AL78*AN78)))),0)</f>
        <v/>
      </c>
      <c r="AN79" s="65">
        <f>AN78*(1+AM79)</f>
        <v/>
      </c>
      <c r="AO79" s="47">
        <f>AJ79*AN79</f>
        <v/>
      </c>
      <c r="AP79" s="67">
        <f>IF(AI79&gt;0,AO79*1000000/AI79/Economy!Q79,0)</f>
        <v/>
      </c>
      <c r="AQ79" s="45" t="n">
        <v>16880000</v>
      </c>
      <c r="AR79" s="45" t="n">
        <v>625</v>
      </c>
      <c r="AS79" s="68" t="n">
        <v>0.5580000000000001</v>
      </c>
      <c r="AT79" s="47">
        <f>IF(AQ79&gt;0,AR79*1000000/AQ79,0)</f>
        <v/>
      </c>
      <c r="AU79" s="64">
        <f>IF(AND(AS79&gt;0,AT78&gt;0,B79&gt;0),MIN(conv_cap,conv_beta*1*AS79*MAX(0,LN(B79/(AT78*AV78)))),0)</f>
        <v/>
      </c>
      <c r="AV79" s="65">
        <f>AV78*(1+AU79)</f>
        <v/>
      </c>
      <c r="AW79" s="47">
        <f>AR79*AV79</f>
        <v/>
      </c>
      <c r="AX79" s="67">
        <f>IF(AQ79&gt;0,AW79*1000000/AQ79/Economy!Q79,0)</f>
        <v/>
      </c>
      <c r="AY79" s="45" t="n">
        <v>106200000</v>
      </c>
      <c r="AZ79" s="45" t="n">
        <v>4286</v>
      </c>
      <c r="BA79" s="68" t="n">
        <v>0.188</v>
      </c>
      <c r="BB79" s="47">
        <f>IF(AY79&gt;0,AZ79*1000000/AY79,0)</f>
        <v/>
      </c>
      <c r="BC79" s="64">
        <f>IF(AND(BA79&gt;0,BB78&gt;0,B79&gt;0),MIN(conv_cap,conv_beta*1*BA79*MAX(0,LN(B79/(BB78*BD78)))),0)</f>
        <v/>
      </c>
      <c r="BD79" s="65">
        <f>BD78*(1+BC79)</f>
        <v/>
      </c>
      <c r="BE79" s="47">
        <f>AZ79*BD79</f>
        <v/>
      </c>
      <c r="BF79" s="67">
        <f>IF(AY79&gt;0,BE79*1000000/AY79/Economy!Q79,0)</f>
        <v/>
      </c>
      <c r="BG79" s="45" t="n">
        <v>40400000</v>
      </c>
      <c r="BH79" s="45" t="n">
        <v>4814</v>
      </c>
      <c r="BI79" s="68" t="n">
        <v>0.338</v>
      </c>
      <c r="BJ79" s="47">
        <f>IF(BG79&gt;0,BH79*1000000/BG79,0)</f>
        <v/>
      </c>
      <c r="BK79" s="64">
        <f>IF(AND(BI79&gt;0,BJ78&gt;0,B79&gt;0),MIN(conv_cap,conv_beta*1*BI79*MAX(0,LN(B79/(BJ78*BL78)))),0)</f>
        <v/>
      </c>
      <c r="BL79" s="65">
        <f>BL78*(1+BK79)</f>
        <v/>
      </c>
      <c r="BM79" s="47">
        <f>BH79*BL79</f>
        <v/>
      </c>
      <c r="BN79" s="67">
        <f>IF(BG79&gt;0,BM79*1000000/BG79/Economy!Q79,0)</f>
        <v/>
      </c>
      <c r="BO79" s="45" t="n">
        <v>17100000</v>
      </c>
      <c r="BP79" s="45" t="n">
        <v>1362</v>
      </c>
      <c r="BQ79" s="68" t="n">
        <v>0.138</v>
      </c>
      <c r="BR79" s="47">
        <f>IF(BO79&gt;0,BP79*1000000/BO79,0)</f>
        <v/>
      </c>
      <c r="BS79" s="64">
        <f>IF(AND(BQ79&gt;0,BR78&gt;0,B79&gt;0),MIN(conv_cap,conv_beta*1*BQ79*MAX(0,LN(B79/(BR78*BT78)))),0)</f>
        <v/>
      </c>
      <c r="BT79" s="65">
        <f>BT78*(1+BS79)</f>
        <v/>
      </c>
      <c r="BU79" s="47">
        <f>BP79*BT79</f>
        <v/>
      </c>
      <c r="BV79" s="67">
        <f>IF(BO79&gt;0,BU79*1000000/BO79/Economy!Q79,0)</f>
        <v/>
      </c>
      <c r="BW79" s="65">
        <f>0.25*IF(D79&gt;0,H79,1)+0.15*IF(AJ79&gt;0,AN79,1)+0.03*IF(AR79&gt;0,AV79,1)+0.08*IF(AZ79&gt;0,BD79,1)+0.12*IF(BH79&gt;0,BL79,1)+0.1*IF(L79&gt;0,P79,1)+0.07*IF(T79&gt;0,X79,1)+0.05*IF(AB79&gt;0,AF79,1)+0.05*IF(BP79&gt;0,BT79,1)+0.1</f>
        <v/>
      </c>
      <c r="BX79" s="63">
        <f>MIN(mkt_cap,mkt_elast*MAX(0,BW79-1))</f>
        <v/>
      </c>
      <c r="BY79" s="47">
        <f>I79+Q79+Y79+AG79</f>
        <v/>
      </c>
      <c r="BZ79" s="47">
        <f>D79+L79+T79+AB79</f>
        <v/>
      </c>
      <c r="CA79" s="65">
        <f>IF(BZ79&gt;0,BY79/BZ79,0)</f>
        <v/>
      </c>
    </row>
    <row r="80">
      <c r="A80" s="61" t="n">
        <v>1920</v>
      </c>
      <c r="B80" s="47">
        <f>Economy!P79</f>
        <v/>
      </c>
      <c r="C80" s="45" t="n">
        <v>56000000</v>
      </c>
      <c r="D80" s="62">
        <f>Japan!B80</f>
        <v/>
      </c>
      <c r="E80" s="68" t="n">
        <v>0.869</v>
      </c>
      <c r="F80" s="47">
        <f>IF(C80&gt;0,D80*1000000/C80,0)</f>
        <v/>
      </c>
      <c r="G80" s="64">
        <f>IF(AND(E80&gt;0,F79&gt;0,B80&gt;0),MIN(conv_cap,conv_beta*jp_uplift*E80*MAX(0,LN(B80/(F79*H79)))),0)</f>
        <v/>
      </c>
      <c r="H80" s="65">
        <f>H79*(1+G80)</f>
        <v/>
      </c>
      <c r="I80" s="47">
        <f>D80*H80</f>
        <v/>
      </c>
      <c r="J80" s="67">
        <f>IF(C80&gt;0,I80*1000000/C80/Economy!Q80,0)</f>
        <v/>
      </c>
      <c r="K80" s="62">
        <f>Gulf!B80</f>
        <v/>
      </c>
      <c r="L80" s="47">
        <f>Gulf!B80*Gulf!C80*Economy!Q80/1000000</f>
        <v/>
      </c>
      <c r="M80" s="68" t="n">
        <v>0.75</v>
      </c>
      <c r="N80" s="47">
        <f>IF(K80&gt;0,L80*1000000/K80,0)</f>
        <v/>
      </c>
      <c r="O80" s="64">
        <f>IF(AND(M80&gt;0,N79&gt;0,B80&gt;0),MIN(conv_cap,conv_beta*1*M80*MAX(0,LN(B80/(N79*P79)))),0)</f>
        <v/>
      </c>
      <c r="P80" s="65">
        <f>P79*(1+O80)</f>
        <v/>
      </c>
      <c r="Q80" s="47">
        <f>L80*P80</f>
        <v/>
      </c>
      <c r="R80" s="67">
        <f>IF(K80&gt;0,Q80*1000000/K80/Economy!Q80,0)</f>
        <v/>
      </c>
      <c r="S80" s="62">
        <f>People!U80</f>
        <v/>
      </c>
      <c r="T80" s="45" t="n">
        <v>900</v>
      </c>
      <c r="U80" s="68" t="n">
        <v>0.7</v>
      </c>
      <c r="V80" s="47">
        <f>IF(S80&gt;0,T80*1000000/S80,0)</f>
        <v/>
      </c>
      <c r="W80" s="64">
        <f>IF(AND(U80&gt;0,V79&gt;0,B80&gt;0),MIN(conv_cap,conv_beta*1*U80*MAX(0,LN(B80/(V79*X79)))),0)</f>
        <v/>
      </c>
      <c r="X80" s="65">
        <f>X79*(1+W80)</f>
        <v/>
      </c>
      <c r="Y80" s="47">
        <f>T80*X80</f>
        <v/>
      </c>
      <c r="Z80" s="67">
        <f>IF(S80&gt;0,Y80*1000000/S80/Economy!Q80,0)</f>
        <v/>
      </c>
      <c r="AA80" s="45" t="n">
        <v>0</v>
      </c>
      <c r="AB80" s="45" t="n">
        <v>0</v>
      </c>
      <c r="AC80" s="68" t="n">
        <v>0</v>
      </c>
      <c r="AD80" s="47">
        <f>IF(AA80&gt;0,AB80*1000000/AA80,0)</f>
        <v/>
      </c>
      <c r="AE80" s="64">
        <f>IF(AND(AC80&gt;0,AD79&gt;0,B80&gt;0),MIN(conv_cap,conv_beta*1*AC80*MAX(0,LN(B80/(AD79*AF79)))),0)</f>
        <v/>
      </c>
      <c r="AF80" s="65">
        <f>AF79*(1+AE80)</f>
        <v/>
      </c>
      <c r="AG80" s="47">
        <f>AB80*AF80</f>
        <v/>
      </c>
      <c r="AH80" s="67">
        <f>IF(AA80&gt;0,AG80*1000000/AA80/Economy!Q80,0)</f>
        <v/>
      </c>
      <c r="AI80" s="45" t="n">
        <v>456200000</v>
      </c>
      <c r="AJ80" s="45" t="n">
        <v>6312</v>
      </c>
      <c r="AK80" s="68" t="n">
        <v>0.29</v>
      </c>
      <c r="AL80" s="47">
        <f>IF(AI80&gt;0,AJ80*1000000/AI80,0)</f>
        <v/>
      </c>
      <c r="AM80" s="64">
        <f>IF(AND(AK80&gt;0,AL79&gt;0,B80&gt;0),MIN(conv_cap,conv_beta*1*AK80*MAX(0,LN(B80/(AL79*AN79)))),0)</f>
        <v/>
      </c>
      <c r="AN80" s="65">
        <f>AN79*(1+AM80)</f>
        <v/>
      </c>
      <c r="AO80" s="47">
        <f>AJ80*AN80</f>
        <v/>
      </c>
      <c r="AP80" s="67">
        <f>IF(AI80&gt;0,AO80*1000000/AI80/Economy!Q80,0)</f>
        <v/>
      </c>
      <c r="AQ80" s="45" t="n">
        <v>17190000</v>
      </c>
      <c r="AR80" s="45" t="n">
        <v>662</v>
      </c>
      <c r="AS80" s="68" t="n">
        <v>0.5620000000000001</v>
      </c>
      <c r="AT80" s="47">
        <f>IF(AQ80&gt;0,AR80*1000000/AQ80,0)</f>
        <v/>
      </c>
      <c r="AU80" s="64">
        <f>IF(AND(AS80&gt;0,AT79&gt;0,B80&gt;0),MIN(conv_cap,conv_beta*1*AS80*MAX(0,LN(B80/(AT79*AV79)))),0)</f>
        <v/>
      </c>
      <c r="AV80" s="65">
        <f>AV79*(1+AU80)</f>
        <v/>
      </c>
      <c r="AW80" s="47">
        <f>AR80*AV80</f>
        <v/>
      </c>
      <c r="AX80" s="67">
        <f>IF(AQ80&gt;0,AW80*1000000/AQ80/Economy!Q80,0)</f>
        <v/>
      </c>
      <c r="AY80" s="45" t="n">
        <v>108100000</v>
      </c>
      <c r="AZ80" s="45" t="n">
        <v>4500</v>
      </c>
      <c r="BA80" s="68" t="n">
        <v>0.194</v>
      </c>
      <c r="BB80" s="47">
        <f>IF(AY80&gt;0,AZ80*1000000/AY80,0)</f>
        <v/>
      </c>
      <c r="BC80" s="64">
        <f>IF(AND(BA80&gt;0,BB79&gt;0,B80&gt;0),MIN(conv_cap,conv_beta*1*BA80*MAX(0,LN(B80/(BB79*BD79)))),0)</f>
        <v/>
      </c>
      <c r="BD80" s="65">
        <f>BD79*(1+BC80)</f>
        <v/>
      </c>
      <c r="BE80" s="47">
        <f>AZ80*BD80</f>
        <v/>
      </c>
      <c r="BF80" s="67">
        <f>IF(AY80&gt;0,BE80*1000000/AY80/Economy!Q80,0)</f>
        <v/>
      </c>
      <c r="BG80" s="45" t="n">
        <v>40900000</v>
      </c>
      <c r="BH80" s="45" t="n">
        <v>5000</v>
      </c>
      <c r="BI80" s="68" t="n">
        <v>0.344</v>
      </c>
      <c r="BJ80" s="47">
        <f>IF(BG80&gt;0,BH80*1000000/BG80,0)</f>
        <v/>
      </c>
      <c r="BK80" s="64">
        <f>IF(AND(BI80&gt;0,BJ79&gt;0,B80&gt;0),MIN(conv_cap,conv_beta*1*BI80*MAX(0,LN(B80/(BJ79*BL79)))),0)</f>
        <v/>
      </c>
      <c r="BL80" s="65">
        <f>BL79*(1+BK80)</f>
        <v/>
      </c>
      <c r="BM80" s="47">
        <f>BH80*BL80</f>
        <v/>
      </c>
      <c r="BN80" s="67">
        <f>IF(BG80&gt;0,BM80*1000000/BG80/Economy!Q80,0)</f>
        <v/>
      </c>
      <c r="BO80" s="45" t="n">
        <v>17300000</v>
      </c>
      <c r="BP80" s="45" t="n">
        <v>1406</v>
      </c>
      <c r="BQ80" s="68" t="n">
        <v>0.144</v>
      </c>
      <c r="BR80" s="47">
        <f>IF(BO80&gt;0,BP80*1000000/BO80,0)</f>
        <v/>
      </c>
      <c r="BS80" s="64">
        <f>IF(AND(BQ80&gt;0,BR79&gt;0,B80&gt;0),MIN(conv_cap,conv_beta*1*BQ80*MAX(0,LN(B80/(BR79*BT79)))),0)</f>
        <v/>
      </c>
      <c r="BT80" s="65">
        <f>BT79*(1+BS80)</f>
        <v/>
      </c>
      <c r="BU80" s="47">
        <f>BP80*BT80</f>
        <v/>
      </c>
      <c r="BV80" s="67">
        <f>IF(BO80&gt;0,BU80*1000000/BO80/Economy!Q80,0)</f>
        <v/>
      </c>
      <c r="BW80" s="65">
        <f>0.25*IF(D80&gt;0,H80,1)+0.15*IF(AJ80&gt;0,AN80,1)+0.03*IF(AR80&gt;0,AV80,1)+0.08*IF(AZ80&gt;0,BD80,1)+0.12*IF(BH80&gt;0,BL80,1)+0.1*IF(L80&gt;0,P80,1)+0.07*IF(T80&gt;0,X80,1)+0.05*IF(AB80&gt;0,AF80,1)+0.05*IF(BP80&gt;0,BT80,1)+0.1</f>
        <v/>
      </c>
      <c r="BX80" s="63">
        <f>MIN(mkt_cap,mkt_elast*MAX(0,BW80-1))</f>
        <v/>
      </c>
      <c r="BY80" s="47">
        <f>I80+Q80+Y80+AG80</f>
        <v/>
      </c>
      <c r="BZ80" s="47">
        <f>D80+L80+T80+AB80</f>
        <v/>
      </c>
      <c r="CA80" s="65">
        <f>IF(BZ80&gt;0,BY80/BZ80,0)</f>
        <v/>
      </c>
    </row>
    <row r="81">
      <c r="A81" s="61" t="n">
        <v>1921</v>
      </c>
      <c r="B81" s="47">
        <f>Economy!P80</f>
        <v/>
      </c>
      <c r="C81" s="45" t="n">
        <v>56830000</v>
      </c>
      <c r="D81" s="62">
        <f>Japan!B81</f>
        <v/>
      </c>
      <c r="E81" s="68" t="n">
        <v>0.887</v>
      </c>
      <c r="F81" s="47">
        <f>IF(C81&gt;0,D81*1000000/C81,0)</f>
        <v/>
      </c>
      <c r="G81" s="64">
        <f>IF(AND(E81&gt;0,F80&gt;0,B81&gt;0),MIN(conv_cap,conv_beta*jp_uplift*E81*MAX(0,LN(B81/(F80*H80)))),0)</f>
        <v/>
      </c>
      <c r="H81" s="65">
        <f>H80*(1+G81)</f>
        <v/>
      </c>
      <c r="I81" s="47">
        <f>D81*H81</f>
        <v/>
      </c>
      <c r="J81" s="67">
        <f>IF(C81&gt;0,I81*1000000/C81/Economy!Q81,0)</f>
        <v/>
      </c>
      <c r="K81" s="62">
        <f>Gulf!B81</f>
        <v/>
      </c>
      <c r="L81" s="47">
        <f>Gulf!B81*Gulf!C81*Economy!Q81/1000000</f>
        <v/>
      </c>
      <c r="M81" s="68" t="n">
        <v>0.761</v>
      </c>
      <c r="N81" s="47">
        <f>IF(K81&gt;0,L81*1000000/K81,0)</f>
        <v/>
      </c>
      <c r="O81" s="64">
        <f>IF(AND(M81&gt;0,N80&gt;0,B81&gt;0),MIN(conv_cap,conv_beta*1*M81*MAX(0,LN(B81/(N80*P80)))),0)</f>
        <v/>
      </c>
      <c r="P81" s="65">
        <f>P80*(1+O81)</f>
        <v/>
      </c>
      <c r="Q81" s="47">
        <f>L81*P81</f>
        <v/>
      </c>
      <c r="R81" s="67">
        <f>IF(K81&gt;0,Q81*1000000/K81/Economy!Q81,0)</f>
        <v/>
      </c>
      <c r="S81" s="62">
        <f>People!U81</f>
        <v/>
      </c>
      <c r="T81" s="45" t="n">
        <v>939</v>
      </c>
      <c r="U81" s="68" t="n">
        <v>0.704</v>
      </c>
      <c r="V81" s="47">
        <f>IF(S81&gt;0,T81*1000000/S81,0)</f>
        <v/>
      </c>
      <c r="W81" s="64">
        <f>IF(AND(U81&gt;0,V80&gt;0,B81&gt;0),MIN(conv_cap,conv_beta*1*U81*MAX(0,LN(B81/(V80*X80)))),0)</f>
        <v/>
      </c>
      <c r="X81" s="65">
        <f>X80*(1+W81)</f>
        <v/>
      </c>
      <c r="Y81" s="47">
        <f>T81*X81</f>
        <v/>
      </c>
      <c r="Z81" s="67">
        <f>IF(S81&gt;0,Y81*1000000/S81/Economy!Q81,0)</f>
        <v/>
      </c>
      <c r="AA81" s="45" t="n">
        <v>10000000</v>
      </c>
      <c r="AB81" s="45" t="n">
        <v>1000</v>
      </c>
      <c r="AC81" s="68" t="n">
        <v>0.4</v>
      </c>
      <c r="AD81" s="47">
        <f>IF(AA81&gt;0,AB81*1000000/AA81,0)</f>
        <v/>
      </c>
      <c r="AE81" s="64">
        <f>IF(AND(AC81&gt;0,AD80&gt;0,B81&gt;0),MIN(conv_cap,conv_beta*1*AC81*MAX(0,LN(B81/(AD80*AF80)))),0)</f>
        <v/>
      </c>
      <c r="AF81" s="65">
        <f>AF80*(1+AE81)</f>
        <v/>
      </c>
      <c r="AG81" s="47">
        <f>AB81*AF81</f>
        <v/>
      </c>
      <c r="AH81" s="67">
        <f>IF(AA81&gt;0,AG81*1000000/AA81/Economy!Q81,0)</f>
        <v/>
      </c>
      <c r="AI81" s="45" t="n">
        <v>460000000</v>
      </c>
      <c r="AJ81" s="45" t="n">
        <v>6500</v>
      </c>
      <c r="AK81" s="68" t="n">
        <v>0.295</v>
      </c>
      <c r="AL81" s="47">
        <f>IF(AI81&gt;0,AJ81*1000000/AI81,0)</f>
        <v/>
      </c>
      <c r="AM81" s="64">
        <f>IF(AND(AK81&gt;0,AL80&gt;0,B81&gt;0),MIN(conv_cap,conv_beta*1*AK81*MAX(0,LN(B81/(AL80*AN80)))),0)</f>
        <v/>
      </c>
      <c r="AN81" s="65">
        <f>AN80*(1+AM81)</f>
        <v/>
      </c>
      <c r="AO81" s="47">
        <f>AJ81*AN81</f>
        <v/>
      </c>
      <c r="AP81" s="67">
        <f>IF(AI81&gt;0,AO81*1000000/AI81/Economy!Q81,0)</f>
        <v/>
      </c>
      <c r="AQ81" s="45" t="n">
        <v>17500000</v>
      </c>
      <c r="AR81" s="45" t="n">
        <v>700</v>
      </c>
      <c r="AS81" s="68" t="n">
        <v>0.5669999999999999</v>
      </c>
      <c r="AT81" s="47">
        <f>IF(AQ81&gt;0,AR81*1000000/AQ81,0)</f>
        <v/>
      </c>
      <c r="AU81" s="64">
        <f>IF(AND(AS81&gt;0,AT80&gt;0,B81&gt;0),MIN(conv_cap,conv_beta*1*AS81*MAX(0,LN(B81/(AT80*AV80)))),0)</f>
        <v/>
      </c>
      <c r="AV81" s="65">
        <f>AV80*(1+AU81)</f>
        <v/>
      </c>
      <c r="AW81" s="47">
        <f>AR81*AV81</f>
        <v/>
      </c>
      <c r="AX81" s="67">
        <f>IF(AQ81&gt;0,AW81*1000000/AQ81/Economy!Q81,0)</f>
        <v/>
      </c>
      <c r="AY81" s="45" t="n">
        <v>110000000</v>
      </c>
      <c r="AZ81" s="45" t="n">
        <v>4667</v>
      </c>
      <c r="BA81" s="68" t="n">
        <v>0.2</v>
      </c>
      <c r="BB81" s="47">
        <f>IF(AY81&gt;0,AZ81*1000000/AY81,0)</f>
        <v/>
      </c>
      <c r="BC81" s="64">
        <f>IF(AND(BA81&gt;0,BB80&gt;0,B81&gt;0),MIN(conv_cap,conv_beta*1*BA81*MAX(0,LN(B81/(BB80*BD80)))),0)</f>
        <v/>
      </c>
      <c r="BD81" s="65">
        <f>BD80*(1+BC81)</f>
        <v/>
      </c>
      <c r="BE81" s="47">
        <f>AZ81*BD81</f>
        <v/>
      </c>
      <c r="BF81" s="67">
        <f>IF(AY81&gt;0,BE81*1000000/AY81/Economy!Q81,0)</f>
        <v/>
      </c>
      <c r="BG81" s="45" t="n">
        <v>41500000</v>
      </c>
      <c r="BH81" s="45" t="n">
        <v>5222</v>
      </c>
      <c r="BI81" s="68" t="n">
        <v>0.35</v>
      </c>
      <c r="BJ81" s="47">
        <f>IF(BG81&gt;0,BH81*1000000/BG81,0)</f>
        <v/>
      </c>
      <c r="BK81" s="64">
        <f>IF(AND(BI81&gt;0,BJ80&gt;0,B81&gt;0),MIN(conv_cap,conv_beta*1*BI81*MAX(0,LN(B81/(BJ80*BL80)))),0)</f>
        <v/>
      </c>
      <c r="BL81" s="65">
        <f>BL80*(1+BK81)</f>
        <v/>
      </c>
      <c r="BM81" s="47">
        <f>BH81*BL81</f>
        <v/>
      </c>
      <c r="BN81" s="67">
        <f>IF(BG81&gt;0,BM81*1000000/BG81/Economy!Q81,0)</f>
        <v/>
      </c>
      <c r="BO81" s="45" t="n">
        <v>17500000</v>
      </c>
      <c r="BP81" s="45" t="n">
        <v>1450</v>
      </c>
      <c r="BQ81" s="68" t="n">
        <v>0.15</v>
      </c>
      <c r="BR81" s="47">
        <f>IF(BO81&gt;0,BP81*1000000/BO81,0)</f>
        <v/>
      </c>
      <c r="BS81" s="64">
        <f>IF(AND(BQ81&gt;0,BR80&gt;0,B81&gt;0),MIN(conv_cap,conv_beta*1*BQ81*MAX(0,LN(B81/(BR80*BT80)))),0)</f>
        <v/>
      </c>
      <c r="BT81" s="65">
        <f>BT80*(1+BS81)</f>
        <v/>
      </c>
      <c r="BU81" s="47">
        <f>BP81*BT81</f>
        <v/>
      </c>
      <c r="BV81" s="67">
        <f>IF(BO81&gt;0,BU81*1000000/BO81/Economy!Q81,0)</f>
        <v/>
      </c>
      <c r="BW81" s="65">
        <f>0.25*IF(D81&gt;0,H81,1)+0.15*IF(AJ81&gt;0,AN81,1)+0.03*IF(AR81&gt;0,AV81,1)+0.08*IF(AZ81&gt;0,BD81,1)+0.12*IF(BH81&gt;0,BL81,1)+0.1*IF(L81&gt;0,P81,1)+0.07*IF(T81&gt;0,X81,1)+0.05*IF(AB81&gt;0,AF81,1)+0.05*IF(BP81&gt;0,BT81,1)+0.1</f>
        <v/>
      </c>
      <c r="BX81" s="63">
        <f>MIN(mkt_cap,mkt_elast*MAX(0,BW81-1))</f>
        <v/>
      </c>
      <c r="BY81" s="47">
        <f>I81+Q81+Y81+AG81</f>
        <v/>
      </c>
      <c r="BZ81" s="47">
        <f>D81+L81+T81+AB81</f>
        <v/>
      </c>
      <c r="CA81" s="65">
        <f>IF(BZ81&gt;0,BY81/BZ81,0)</f>
        <v/>
      </c>
    </row>
    <row r="82">
      <c r="A82" s="61" t="n">
        <v>1922</v>
      </c>
      <c r="B82" s="47">
        <f>Economy!P81</f>
        <v/>
      </c>
      <c r="C82" s="45" t="n">
        <v>57670000</v>
      </c>
      <c r="D82" s="62">
        <f>Japan!B82</f>
        <v/>
      </c>
      <c r="E82" s="68" t="n">
        <v>0.906</v>
      </c>
      <c r="F82" s="47">
        <f>IF(C82&gt;0,D82*1000000/C82,0)</f>
        <v/>
      </c>
      <c r="G82" s="64">
        <f>IF(AND(E82&gt;0,F81&gt;0,B82&gt;0),MIN(conv_cap,conv_beta*jp_uplift*E82*MAX(0,LN(B82/(F81*H81)))),0)</f>
        <v/>
      </c>
      <c r="H82" s="65">
        <f>H81*(1+G82)</f>
        <v/>
      </c>
      <c r="I82" s="47">
        <f>D82*H82</f>
        <v/>
      </c>
      <c r="J82" s="67">
        <f>IF(C82&gt;0,I82*1000000/C82/Economy!Q82,0)</f>
        <v/>
      </c>
      <c r="K82" s="62">
        <f>Gulf!B82</f>
        <v/>
      </c>
      <c r="L82" s="47">
        <f>Gulf!B82*Gulf!C82*Economy!Q82/1000000</f>
        <v/>
      </c>
      <c r="M82" s="68" t="n">
        <v>0.772</v>
      </c>
      <c r="N82" s="47">
        <f>IF(K82&gt;0,L82*1000000/K82,0)</f>
        <v/>
      </c>
      <c r="O82" s="64">
        <f>IF(AND(M82&gt;0,N81&gt;0,B82&gt;0),MIN(conv_cap,conv_beta*1*M82*MAX(0,LN(B82/(N81*P81)))),0)</f>
        <v/>
      </c>
      <c r="P82" s="65">
        <f>P81*(1+O82)</f>
        <v/>
      </c>
      <c r="Q82" s="47">
        <f>L82*P82</f>
        <v/>
      </c>
      <c r="R82" s="67">
        <f>IF(K82&gt;0,Q82*1000000/K82/Economy!Q82,0)</f>
        <v/>
      </c>
      <c r="S82" s="62">
        <f>People!U82</f>
        <v/>
      </c>
      <c r="T82" s="45" t="n">
        <v>978</v>
      </c>
      <c r="U82" s="68" t="n">
        <v>0.708</v>
      </c>
      <c r="V82" s="47">
        <f>IF(S82&gt;0,T82*1000000/S82,0)</f>
        <v/>
      </c>
      <c r="W82" s="64">
        <f>IF(AND(U82&gt;0,V81&gt;0,B82&gt;0),MIN(conv_cap,conv_beta*1*U82*MAX(0,LN(B82/(V81*X81)))),0)</f>
        <v/>
      </c>
      <c r="X82" s="65">
        <f>X81*(1+W82)</f>
        <v/>
      </c>
      <c r="Y82" s="47">
        <f>T82*X82</f>
        <v/>
      </c>
      <c r="Z82" s="67">
        <f>IF(S82&gt;0,Y82*1000000/S82/Economy!Q82,0)</f>
        <v/>
      </c>
      <c r="AA82" s="45" t="n">
        <v>10250000</v>
      </c>
      <c r="AB82" s="45" t="n">
        <v>1075</v>
      </c>
      <c r="AC82" s="68" t="n">
        <v>0.438</v>
      </c>
      <c r="AD82" s="47">
        <f>IF(AA82&gt;0,AB82*1000000/AA82,0)</f>
        <v/>
      </c>
      <c r="AE82" s="64">
        <f>IF(AND(AC82&gt;0,AD81&gt;0,B82&gt;0),MIN(conv_cap,conv_beta*1*AC82*MAX(0,LN(B82/(AD81*AF81)))),0)</f>
        <v/>
      </c>
      <c r="AF82" s="65">
        <f>AF81*(1+AE82)</f>
        <v/>
      </c>
      <c r="AG82" s="47">
        <f>AB82*AF82</f>
        <v/>
      </c>
      <c r="AH82" s="67">
        <f>IF(AA82&gt;0,AG82*1000000/AA82/Economy!Q82,0)</f>
        <v/>
      </c>
      <c r="AI82" s="45" t="n">
        <v>463800000</v>
      </c>
      <c r="AJ82" s="45" t="n">
        <v>6688</v>
      </c>
      <c r="AK82" s="68" t="n">
        <v>0.3</v>
      </c>
      <c r="AL82" s="47">
        <f>IF(AI82&gt;0,AJ82*1000000/AI82,0)</f>
        <v/>
      </c>
      <c r="AM82" s="64">
        <f>IF(AND(AK82&gt;0,AL81&gt;0,B82&gt;0),MIN(conv_cap,conv_beta*1*AK82*MAX(0,LN(B82/(AL81*AN81)))),0)</f>
        <v/>
      </c>
      <c r="AN82" s="65">
        <f>AN81*(1+AM82)</f>
        <v/>
      </c>
      <c r="AO82" s="47">
        <f>AJ82*AN82</f>
        <v/>
      </c>
      <c r="AP82" s="67">
        <f>IF(AI82&gt;0,AO82*1000000/AI82/Economy!Q82,0)</f>
        <v/>
      </c>
      <c r="AQ82" s="45" t="n">
        <v>17810000</v>
      </c>
      <c r="AR82" s="45" t="n">
        <v>738</v>
      </c>
      <c r="AS82" s="68" t="n">
        <v>0.571</v>
      </c>
      <c r="AT82" s="47">
        <f>IF(AQ82&gt;0,AR82*1000000/AQ82,0)</f>
        <v/>
      </c>
      <c r="AU82" s="64">
        <f>IF(AND(AS82&gt;0,AT81&gt;0,B82&gt;0),MIN(conv_cap,conv_beta*1*AS82*MAX(0,LN(B82/(AT81*AV81)))),0)</f>
        <v/>
      </c>
      <c r="AV82" s="65">
        <f>AV81*(1+AU82)</f>
        <v/>
      </c>
      <c r="AW82" s="47">
        <f>AR82*AV82</f>
        <v/>
      </c>
      <c r="AX82" s="67">
        <f>IF(AQ82&gt;0,AW82*1000000/AQ82/Economy!Q82,0)</f>
        <v/>
      </c>
      <c r="AY82" s="45" t="n">
        <v>111900000</v>
      </c>
      <c r="AZ82" s="45" t="n">
        <v>4833</v>
      </c>
      <c r="BA82" s="68" t="n">
        <v>0.206</v>
      </c>
      <c r="BB82" s="47">
        <f>IF(AY82&gt;0,AZ82*1000000/AY82,0)</f>
        <v/>
      </c>
      <c r="BC82" s="64">
        <f>IF(AND(BA82&gt;0,BB81&gt;0,B82&gt;0),MIN(conv_cap,conv_beta*1*BA82*MAX(0,LN(B82/(BB81*BD81)))),0)</f>
        <v/>
      </c>
      <c r="BD82" s="65">
        <f>BD81*(1+BC82)</f>
        <v/>
      </c>
      <c r="BE82" s="47">
        <f>AZ82*BD82</f>
        <v/>
      </c>
      <c r="BF82" s="67">
        <f>IF(AY82&gt;0,BE82*1000000/AY82/Economy!Q82,0)</f>
        <v/>
      </c>
      <c r="BG82" s="45" t="n">
        <v>42100000</v>
      </c>
      <c r="BH82" s="45" t="n">
        <v>5444</v>
      </c>
      <c r="BI82" s="68" t="n">
        <v>0.356</v>
      </c>
      <c r="BJ82" s="47">
        <f>IF(BG82&gt;0,BH82*1000000/BG82,0)</f>
        <v/>
      </c>
      <c r="BK82" s="64">
        <f>IF(AND(BI82&gt;0,BJ81&gt;0,B82&gt;0),MIN(conv_cap,conv_beta*1*BI82*MAX(0,LN(B82/(BJ81*BL81)))),0)</f>
        <v/>
      </c>
      <c r="BL82" s="65">
        <f>BL81*(1+BK82)</f>
        <v/>
      </c>
      <c r="BM82" s="47">
        <f>BH82*BL82</f>
        <v/>
      </c>
      <c r="BN82" s="67">
        <f>IF(BG82&gt;0,BM82*1000000/BG82/Economy!Q82,0)</f>
        <v/>
      </c>
      <c r="BO82" s="45" t="n">
        <v>17700000</v>
      </c>
      <c r="BP82" s="45" t="n">
        <v>1494</v>
      </c>
      <c r="BQ82" s="68" t="n">
        <v>0.156</v>
      </c>
      <c r="BR82" s="47">
        <f>IF(BO82&gt;0,BP82*1000000/BO82,0)</f>
        <v/>
      </c>
      <c r="BS82" s="64">
        <f>IF(AND(BQ82&gt;0,BR81&gt;0,B82&gt;0),MIN(conv_cap,conv_beta*1*BQ82*MAX(0,LN(B82/(BR81*BT81)))),0)</f>
        <v/>
      </c>
      <c r="BT82" s="65">
        <f>BT81*(1+BS82)</f>
        <v/>
      </c>
      <c r="BU82" s="47">
        <f>BP82*BT82</f>
        <v/>
      </c>
      <c r="BV82" s="67">
        <f>IF(BO82&gt;0,BU82*1000000/BO82/Economy!Q82,0)</f>
        <v/>
      </c>
      <c r="BW82" s="65">
        <f>0.25*IF(D82&gt;0,H82,1)+0.15*IF(AJ82&gt;0,AN82,1)+0.03*IF(AR82&gt;0,AV82,1)+0.08*IF(AZ82&gt;0,BD82,1)+0.12*IF(BH82&gt;0,BL82,1)+0.1*IF(L82&gt;0,P82,1)+0.07*IF(T82&gt;0,X82,1)+0.05*IF(AB82&gt;0,AF82,1)+0.05*IF(BP82&gt;0,BT82,1)+0.1</f>
        <v/>
      </c>
      <c r="BX82" s="63">
        <f>MIN(mkt_cap,mkt_elast*MAX(0,BW82-1))</f>
        <v/>
      </c>
      <c r="BY82" s="47">
        <f>I82+Q82+Y82+AG82</f>
        <v/>
      </c>
      <c r="BZ82" s="47">
        <f>D82+L82+T82+AB82</f>
        <v/>
      </c>
      <c r="CA82" s="65">
        <f>IF(BZ82&gt;0,BY82/BZ82,0)</f>
        <v/>
      </c>
    </row>
    <row r="83">
      <c r="A83" s="58" t="n">
        <v>1923</v>
      </c>
      <c r="B83" s="47">
        <f>Economy!P82</f>
        <v/>
      </c>
      <c r="C83" s="45" t="n">
        <v>58500000</v>
      </c>
      <c r="D83" s="62">
        <f>Japan!B83</f>
        <v/>
      </c>
      <c r="E83" s="68" t="n">
        <v>0.925</v>
      </c>
      <c r="F83" s="47">
        <f>IF(C83&gt;0,D83*1000000/C83,0)</f>
        <v/>
      </c>
      <c r="G83" s="64">
        <f>IF(AND(E83&gt;0,F82&gt;0,B83&gt;0),MIN(conv_cap,conv_beta*jp_uplift*E83*MAX(0,LN(B83/(F82*H82)))),0)</f>
        <v/>
      </c>
      <c r="H83" s="65">
        <f>H82*(1+G83)</f>
        <v/>
      </c>
      <c r="I83" s="47">
        <f>D83*H83</f>
        <v/>
      </c>
      <c r="J83" s="67">
        <f>IF(C83&gt;0,I83*1000000/C83/Economy!Q83,0)</f>
        <v/>
      </c>
      <c r="K83" s="62">
        <f>Gulf!B83</f>
        <v/>
      </c>
      <c r="L83" s="47">
        <f>Gulf!B83*Gulf!C83*Economy!Q83/1000000</f>
        <v/>
      </c>
      <c r="M83" s="68" t="n">
        <v>0.783</v>
      </c>
      <c r="N83" s="47">
        <f>IF(K83&gt;0,L83*1000000/K83,0)</f>
        <v/>
      </c>
      <c r="O83" s="64">
        <f>IF(AND(M83&gt;0,N82&gt;0,B83&gt;0),MIN(conv_cap,conv_beta*1*M83*MAX(0,LN(B83/(N82*P82)))),0)</f>
        <v/>
      </c>
      <c r="P83" s="65">
        <f>P82*(1+O83)</f>
        <v/>
      </c>
      <c r="Q83" s="47">
        <f>L83*P83</f>
        <v/>
      </c>
      <c r="R83" s="67">
        <f>IF(K83&gt;0,Q83*1000000/K83/Economy!Q83,0)</f>
        <v/>
      </c>
      <c r="S83" s="62">
        <f>People!U83</f>
        <v/>
      </c>
      <c r="T83" s="45" t="n">
        <v>1017</v>
      </c>
      <c r="U83" s="68" t="n">
        <v>0.712</v>
      </c>
      <c r="V83" s="47">
        <f>IF(S83&gt;0,T83*1000000/S83,0)</f>
        <v/>
      </c>
      <c r="W83" s="64">
        <f>IF(AND(U83&gt;0,V82&gt;0,B83&gt;0),MIN(conv_cap,conv_beta*1*U83*MAX(0,LN(B83/(V82*X82)))),0)</f>
        <v/>
      </c>
      <c r="X83" s="65">
        <f>X82*(1+W83)</f>
        <v/>
      </c>
      <c r="Y83" s="47">
        <f>T83*X83</f>
        <v/>
      </c>
      <c r="Z83" s="67">
        <f>IF(S83&gt;0,Y83*1000000/S83/Economy!Q83,0)</f>
        <v/>
      </c>
      <c r="AA83" s="45" t="n">
        <v>10500000</v>
      </c>
      <c r="AB83" s="45" t="n">
        <v>1150</v>
      </c>
      <c r="AC83" s="68" t="n">
        <v>0.475</v>
      </c>
      <c r="AD83" s="47">
        <f>IF(AA83&gt;0,AB83*1000000/AA83,0)</f>
        <v/>
      </c>
      <c r="AE83" s="64">
        <f>IF(AND(AC83&gt;0,AD82&gt;0,B83&gt;0),MIN(conv_cap,conv_beta*1*AC83*MAX(0,LN(B83/(AD82*AF82)))),0)</f>
        <v/>
      </c>
      <c r="AF83" s="65">
        <f>AF82*(1+AE83)</f>
        <v/>
      </c>
      <c r="AG83" s="47">
        <f>AB83*AF83</f>
        <v/>
      </c>
      <c r="AH83" s="67">
        <f>IF(AA83&gt;0,AG83*1000000/AA83/Economy!Q83,0)</f>
        <v/>
      </c>
      <c r="AI83" s="45" t="n">
        <v>467500000</v>
      </c>
      <c r="AJ83" s="45" t="n">
        <v>6875</v>
      </c>
      <c r="AK83" s="68" t="n">
        <v>0.307</v>
      </c>
      <c r="AL83" s="47">
        <f>IF(AI83&gt;0,AJ83*1000000/AI83,0)</f>
        <v/>
      </c>
      <c r="AM83" s="64">
        <f>IF(AND(AK83&gt;0,AL82&gt;0,B83&gt;0),MIN(conv_cap,conv_beta*1*AK83*MAX(0,LN(B83/(AL82*AN82)))),0)</f>
        <v/>
      </c>
      <c r="AN83" s="65">
        <f>AN82*(1+AM83)</f>
        <v/>
      </c>
      <c r="AO83" s="47">
        <f>AJ83*AN83</f>
        <v/>
      </c>
      <c r="AP83" s="67">
        <f>IF(AI83&gt;0,AO83*1000000/AI83/Economy!Q83,0)</f>
        <v/>
      </c>
      <c r="AQ83" s="45" t="n">
        <v>18120000</v>
      </c>
      <c r="AR83" s="45" t="n">
        <v>775</v>
      </c>
      <c r="AS83" s="68" t="n">
        <v>0.575</v>
      </c>
      <c r="AT83" s="47">
        <f>IF(AQ83&gt;0,AR83*1000000/AQ83,0)</f>
        <v/>
      </c>
      <c r="AU83" s="64">
        <f>IF(AND(AS83&gt;0,AT82&gt;0,B83&gt;0),MIN(conv_cap,conv_beta*1*AS83*MAX(0,LN(B83/(AT82*AV82)))),0)</f>
        <v/>
      </c>
      <c r="AV83" s="65">
        <f>AV82*(1+AU83)</f>
        <v/>
      </c>
      <c r="AW83" s="47">
        <f>AR83*AV83</f>
        <v/>
      </c>
      <c r="AX83" s="67">
        <f>IF(AQ83&gt;0,AW83*1000000/AQ83/Economy!Q83,0)</f>
        <v/>
      </c>
      <c r="AY83" s="45" t="n">
        <v>113800000</v>
      </c>
      <c r="AZ83" s="45" t="n">
        <v>5000</v>
      </c>
      <c r="BA83" s="68" t="n">
        <v>0.212</v>
      </c>
      <c r="BB83" s="47">
        <f>IF(AY83&gt;0,AZ83*1000000/AY83,0)</f>
        <v/>
      </c>
      <c r="BC83" s="64">
        <f>IF(AND(BA83&gt;0,BB82&gt;0,B83&gt;0),MIN(conv_cap,conv_beta*1*BA83*MAX(0,LN(B83/(BB82*BD82)))),0)</f>
        <v/>
      </c>
      <c r="BD83" s="65">
        <f>BD82*(1+BC83)</f>
        <v/>
      </c>
      <c r="BE83" s="47">
        <f>AZ83*BD83</f>
        <v/>
      </c>
      <c r="BF83" s="67">
        <f>IF(AY83&gt;0,BE83*1000000/AY83/Economy!Q83,0)</f>
        <v/>
      </c>
      <c r="BG83" s="45" t="n">
        <v>42600000</v>
      </c>
      <c r="BH83" s="45" t="n">
        <v>5667</v>
      </c>
      <c r="BI83" s="68" t="n">
        <v>0.363</v>
      </c>
      <c r="BJ83" s="47">
        <f>IF(BG83&gt;0,BH83*1000000/BG83,0)</f>
        <v/>
      </c>
      <c r="BK83" s="64">
        <f>IF(AND(BI83&gt;0,BJ82&gt;0,B83&gt;0),MIN(conv_cap,conv_beta*1*BI83*MAX(0,LN(B83/(BJ82*BL82)))),0)</f>
        <v/>
      </c>
      <c r="BL83" s="65">
        <f>BL82*(1+BK83)</f>
        <v/>
      </c>
      <c r="BM83" s="47">
        <f>BH83*BL83</f>
        <v/>
      </c>
      <c r="BN83" s="67">
        <f>IF(BG83&gt;0,BM83*1000000/BG83/Economy!Q83,0)</f>
        <v/>
      </c>
      <c r="BO83" s="45" t="n">
        <v>17900000</v>
      </c>
      <c r="BP83" s="45" t="n">
        <v>1538</v>
      </c>
      <c r="BQ83" s="68" t="n">
        <v>0.163</v>
      </c>
      <c r="BR83" s="47">
        <f>IF(BO83&gt;0,BP83*1000000/BO83,0)</f>
        <v/>
      </c>
      <c r="BS83" s="64">
        <f>IF(AND(BQ83&gt;0,BR82&gt;0,B83&gt;0),MIN(conv_cap,conv_beta*1*BQ83*MAX(0,LN(B83/(BR82*BT82)))),0)</f>
        <v/>
      </c>
      <c r="BT83" s="65">
        <f>BT82*(1+BS83)</f>
        <v/>
      </c>
      <c r="BU83" s="47">
        <f>BP83*BT83</f>
        <v/>
      </c>
      <c r="BV83" s="67">
        <f>IF(BO83&gt;0,BU83*1000000/BO83/Economy!Q83,0)</f>
        <v/>
      </c>
      <c r="BW83" s="65">
        <f>0.25*IF(D83&gt;0,H83,1)+0.15*IF(AJ83&gt;0,AN83,1)+0.03*IF(AR83&gt;0,AV83,1)+0.08*IF(AZ83&gt;0,BD83,1)+0.12*IF(BH83&gt;0,BL83,1)+0.1*IF(L83&gt;0,P83,1)+0.07*IF(T83&gt;0,X83,1)+0.05*IF(AB83&gt;0,AF83,1)+0.05*IF(BP83&gt;0,BT83,1)+0.1</f>
        <v/>
      </c>
      <c r="BX83" s="63">
        <f>MIN(mkt_cap,mkt_elast*MAX(0,BW83-1))</f>
        <v/>
      </c>
      <c r="BY83" s="47">
        <f>I83+Q83+Y83+AG83</f>
        <v/>
      </c>
      <c r="BZ83" s="47">
        <f>D83+L83+T83+AB83</f>
        <v/>
      </c>
      <c r="CA83" s="65">
        <f>IF(BZ83&gt;0,BY83/BZ83,0)</f>
        <v/>
      </c>
    </row>
    <row r="84">
      <c r="A84" s="58" t="n">
        <v>1924</v>
      </c>
      <c r="B84" s="47">
        <f>Economy!P83</f>
        <v/>
      </c>
      <c r="C84" s="45" t="n">
        <v>59330000</v>
      </c>
      <c r="D84" s="62">
        <f>Japan!B84</f>
        <v/>
      </c>
      <c r="E84" s="68" t="n">
        <v>0.944</v>
      </c>
      <c r="F84" s="47">
        <f>IF(C84&gt;0,D84*1000000/C84,0)</f>
        <v/>
      </c>
      <c r="G84" s="64">
        <f>IF(AND(E84&gt;0,F83&gt;0,B84&gt;0),MIN(conv_cap,conv_beta*jp_uplift*E84*MAX(0,LN(B84/(F83*H83)))),0)</f>
        <v/>
      </c>
      <c r="H84" s="65">
        <f>H83*(1+G84)</f>
        <v/>
      </c>
      <c r="I84" s="47">
        <f>D84*H84</f>
        <v/>
      </c>
      <c r="J84" s="67">
        <f>IF(C84&gt;0,I84*1000000/C84/Economy!Q84,0)</f>
        <v/>
      </c>
      <c r="K84" s="62">
        <f>Gulf!B84</f>
        <v/>
      </c>
      <c r="L84" s="47">
        <f>Gulf!B84*Gulf!C84*Economy!Q84/1000000</f>
        <v/>
      </c>
      <c r="M84" s="68" t="n">
        <v>0.794</v>
      </c>
      <c r="N84" s="47">
        <f>IF(K84&gt;0,L84*1000000/K84,0)</f>
        <v/>
      </c>
      <c r="O84" s="64">
        <f>IF(AND(M84&gt;0,N83&gt;0,B84&gt;0),MIN(conv_cap,conv_beta*1*M84*MAX(0,LN(B84/(N83*P83)))),0)</f>
        <v/>
      </c>
      <c r="P84" s="65">
        <f>P83*(1+O84)</f>
        <v/>
      </c>
      <c r="Q84" s="47">
        <f>L84*P84</f>
        <v/>
      </c>
      <c r="R84" s="67">
        <f>IF(K84&gt;0,Q84*1000000/K84/Economy!Q84,0)</f>
        <v/>
      </c>
      <c r="S84" s="62">
        <f>People!U84</f>
        <v/>
      </c>
      <c r="T84" s="45" t="n">
        <v>1056</v>
      </c>
      <c r="U84" s="68" t="n">
        <v>0.717</v>
      </c>
      <c r="V84" s="47">
        <f>IF(S84&gt;0,T84*1000000/S84,0)</f>
        <v/>
      </c>
      <c r="W84" s="64">
        <f>IF(AND(U84&gt;0,V83&gt;0,B84&gt;0),MIN(conv_cap,conv_beta*1*U84*MAX(0,LN(B84/(V83*X83)))),0)</f>
        <v/>
      </c>
      <c r="X84" s="65">
        <f>X83*(1+W84)</f>
        <v/>
      </c>
      <c r="Y84" s="47">
        <f>T84*X84</f>
        <v/>
      </c>
      <c r="Z84" s="67">
        <f>IF(S84&gt;0,Y84*1000000/S84/Economy!Q84,0)</f>
        <v/>
      </c>
      <c r="AA84" s="45" t="n">
        <v>10750000</v>
      </c>
      <c r="AB84" s="45" t="n">
        <v>1225</v>
      </c>
      <c r="AC84" s="68" t="n">
        <v>0.513</v>
      </c>
      <c r="AD84" s="47">
        <f>IF(AA84&gt;0,AB84*1000000/AA84,0)</f>
        <v/>
      </c>
      <c r="AE84" s="64">
        <f>IF(AND(AC84&gt;0,AD83&gt;0,B84&gt;0),MIN(conv_cap,conv_beta*1*AC84*MAX(0,LN(B84/(AD83*AF83)))),0)</f>
        <v/>
      </c>
      <c r="AF84" s="65">
        <f>AF83*(1+AE84)</f>
        <v/>
      </c>
      <c r="AG84" s="47">
        <f>AB84*AF84</f>
        <v/>
      </c>
      <c r="AH84" s="67">
        <f>IF(AA84&gt;0,AG84*1000000/AA84/Economy!Q84,0)</f>
        <v/>
      </c>
      <c r="AI84" s="45" t="n">
        <v>471200000</v>
      </c>
      <c r="AJ84" s="45" t="n">
        <v>7062</v>
      </c>
      <c r="AK84" s="68" t="n">
        <v>0.314</v>
      </c>
      <c r="AL84" s="47">
        <f>IF(AI84&gt;0,AJ84*1000000/AI84,0)</f>
        <v/>
      </c>
      <c r="AM84" s="64">
        <f>IF(AND(AK84&gt;0,AL83&gt;0,B84&gt;0),MIN(conv_cap,conv_beta*1*AK84*MAX(0,LN(B84/(AL83*AN83)))),0)</f>
        <v/>
      </c>
      <c r="AN84" s="65">
        <f>AN83*(1+AM84)</f>
        <v/>
      </c>
      <c r="AO84" s="47">
        <f>AJ84*AN84</f>
        <v/>
      </c>
      <c r="AP84" s="67">
        <f>IF(AI84&gt;0,AO84*1000000/AI84/Economy!Q84,0)</f>
        <v/>
      </c>
      <c r="AQ84" s="45" t="n">
        <v>18440000</v>
      </c>
      <c r="AR84" s="45" t="n">
        <v>812</v>
      </c>
      <c r="AS84" s="68" t="n">
        <v>0.579</v>
      </c>
      <c r="AT84" s="47">
        <f>IF(AQ84&gt;0,AR84*1000000/AQ84,0)</f>
        <v/>
      </c>
      <c r="AU84" s="64">
        <f>IF(AND(AS84&gt;0,AT83&gt;0,B84&gt;0),MIN(conv_cap,conv_beta*1*AS84*MAX(0,LN(B84/(AT83*AV83)))),0)</f>
        <v/>
      </c>
      <c r="AV84" s="65">
        <f>AV83*(1+AU84)</f>
        <v/>
      </c>
      <c r="AW84" s="47">
        <f>AR84*AV84</f>
        <v/>
      </c>
      <c r="AX84" s="67">
        <f>IF(AQ84&gt;0,AW84*1000000/AQ84/Economy!Q84,0)</f>
        <v/>
      </c>
      <c r="AY84" s="45" t="n">
        <v>115600000</v>
      </c>
      <c r="AZ84" s="45" t="n">
        <v>5167</v>
      </c>
      <c r="BA84" s="68" t="n">
        <v>0.219</v>
      </c>
      <c r="BB84" s="47">
        <f>IF(AY84&gt;0,AZ84*1000000/AY84,0)</f>
        <v/>
      </c>
      <c r="BC84" s="64">
        <f>IF(AND(BA84&gt;0,BB83&gt;0,B84&gt;0),MIN(conv_cap,conv_beta*1*BA84*MAX(0,LN(B84/(BB83*BD83)))),0)</f>
        <v/>
      </c>
      <c r="BD84" s="65">
        <f>BD83*(1+BC84)</f>
        <v/>
      </c>
      <c r="BE84" s="47">
        <f>AZ84*BD84</f>
        <v/>
      </c>
      <c r="BF84" s="67">
        <f>IF(AY84&gt;0,BE84*1000000/AY84/Economy!Q84,0)</f>
        <v/>
      </c>
      <c r="BG84" s="45" t="n">
        <v>43200000</v>
      </c>
      <c r="BH84" s="45" t="n">
        <v>5889</v>
      </c>
      <c r="BI84" s="68" t="n">
        <v>0.369</v>
      </c>
      <c r="BJ84" s="47">
        <f>IF(BG84&gt;0,BH84*1000000/BG84,0)</f>
        <v/>
      </c>
      <c r="BK84" s="64">
        <f>IF(AND(BI84&gt;0,BJ83&gt;0,B84&gt;0),MIN(conv_cap,conv_beta*1*BI84*MAX(0,LN(B84/(BJ83*BL83)))),0)</f>
        <v/>
      </c>
      <c r="BL84" s="65">
        <f>BL83*(1+BK84)</f>
        <v/>
      </c>
      <c r="BM84" s="47">
        <f>BH84*BL84</f>
        <v/>
      </c>
      <c r="BN84" s="67">
        <f>IF(BG84&gt;0,BM84*1000000/BG84/Economy!Q84,0)</f>
        <v/>
      </c>
      <c r="BO84" s="45" t="n">
        <v>18100000</v>
      </c>
      <c r="BP84" s="45" t="n">
        <v>1581</v>
      </c>
      <c r="BQ84" s="68" t="n">
        <v>0.169</v>
      </c>
      <c r="BR84" s="47">
        <f>IF(BO84&gt;0,BP84*1000000/BO84,0)</f>
        <v/>
      </c>
      <c r="BS84" s="64">
        <f>IF(AND(BQ84&gt;0,BR83&gt;0,B84&gt;0),MIN(conv_cap,conv_beta*1*BQ84*MAX(0,LN(B84/(BR83*BT83)))),0)</f>
        <v/>
      </c>
      <c r="BT84" s="65">
        <f>BT83*(1+BS84)</f>
        <v/>
      </c>
      <c r="BU84" s="47">
        <f>BP84*BT84</f>
        <v/>
      </c>
      <c r="BV84" s="67">
        <f>IF(BO84&gt;0,BU84*1000000/BO84/Economy!Q84,0)</f>
        <v/>
      </c>
      <c r="BW84" s="65">
        <f>0.25*IF(D84&gt;0,H84,1)+0.15*IF(AJ84&gt;0,AN84,1)+0.03*IF(AR84&gt;0,AV84,1)+0.08*IF(AZ84&gt;0,BD84,1)+0.12*IF(BH84&gt;0,BL84,1)+0.1*IF(L84&gt;0,P84,1)+0.07*IF(T84&gt;0,X84,1)+0.05*IF(AB84&gt;0,AF84,1)+0.05*IF(BP84&gt;0,BT84,1)+0.1</f>
        <v/>
      </c>
      <c r="BX84" s="63">
        <f>MIN(mkt_cap,mkt_elast*MAX(0,BW84-1))</f>
        <v/>
      </c>
      <c r="BY84" s="47">
        <f>I84+Q84+Y84+AG84</f>
        <v/>
      </c>
      <c r="BZ84" s="47">
        <f>D84+L84+T84+AB84</f>
        <v/>
      </c>
      <c r="CA84" s="65">
        <f>IF(BZ84&gt;0,BY84/BZ84,0)</f>
        <v/>
      </c>
    </row>
    <row r="85">
      <c r="A85" s="58" t="n">
        <v>1925</v>
      </c>
      <c r="B85" s="47">
        <f>Economy!P84</f>
        <v/>
      </c>
      <c r="C85" s="45" t="n">
        <v>60170000</v>
      </c>
      <c r="D85" s="62">
        <f>Japan!B85</f>
        <v/>
      </c>
      <c r="E85" s="68" t="n">
        <v>0.963</v>
      </c>
      <c r="F85" s="47">
        <f>IF(C85&gt;0,D85*1000000/C85,0)</f>
        <v/>
      </c>
      <c r="G85" s="64">
        <f>IF(AND(E85&gt;0,F84&gt;0,B85&gt;0),MIN(conv_cap,conv_beta*jp_uplift*E85*MAX(0,LN(B85/(F84*H84)))),0)</f>
        <v/>
      </c>
      <c r="H85" s="65">
        <f>H84*(1+G85)</f>
        <v/>
      </c>
      <c r="I85" s="47">
        <f>D85*H85</f>
        <v/>
      </c>
      <c r="J85" s="67">
        <f>IF(C85&gt;0,I85*1000000/C85/Economy!Q85,0)</f>
        <v/>
      </c>
      <c r="K85" s="62">
        <f>Gulf!B85</f>
        <v/>
      </c>
      <c r="L85" s="47">
        <f>Gulf!B85*Gulf!C85*Economy!Q85/1000000</f>
        <v/>
      </c>
      <c r="M85" s="68" t="n">
        <v>0.806</v>
      </c>
      <c r="N85" s="47">
        <f>IF(K85&gt;0,L85*1000000/K85,0)</f>
        <v/>
      </c>
      <c r="O85" s="64">
        <f>IF(AND(M85&gt;0,N84&gt;0,B85&gt;0),MIN(conv_cap,conv_beta*1*M85*MAX(0,LN(B85/(N84*P84)))),0)</f>
        <v/>
      </c>
      <c r="P85" s="65">
        <f>P84*(1+O85)</f>
        <v/>
      </c>
      <c r="Q85" s="47">
        <f>L85*P85</f>
        <v/>
      </c>
      <c r="R85" s="67">
        <f>IF(K85&gt;0,Q85*1000000/K85/Economy!Q85,0)</f>
        <v/>
      </c>
      <c r="S85" s="62">
        <f>People!U85</f>
        <v/>
      </c>
      <c r="T85" s="45" t="n">
        <v>1094</v>
      </c>
      <c r="U85" s="68" t="n">
        <v>0.721</v>
      </c>
      <c r="V85" s="47">
        <f>IF(S85&gt;0,T85*1000000/S85,0)</f>
        <v/>
      </c>
      <c r="W85" s="64">
        <f>IF(AND(U85&gt;0,V84&gt;0,B85&gt;0),MIN(conv_cap,conv_beta*1*U85*MAX(0,LN(B85/(V84*X84)))),0)</f>
        <v/>
      </c>
      <c r="X85" s="65">
        <f>X84*(1+W85)</f>
        <v/>
      </c>
      <c r="Y85" s="47">
        <f>T85*X85</f>
        <v/>
      </c>
      <c r="Z85" s="67">
        <f>IF(S85&gt;0,Y85*1000000/S85/Economy!Q85,0)</f>
        <v/>
      </c>
      <c r="AA85" s="45" t="n">
        <v>11000000</v>
      </c>
      <c r="AB85" s="45" t="n">
        <v>1300</v>
      </c>
      <c r="AC85" s="68" t="n">
        <v>0.55</v>
      </c>
      <c r="AD85" s="47">
        <f>IF(AA85&gt;0,AB85*1000000/AA85,0)</f>
        <v/>
      </c>
      <c r="AE85" s="64">
        <f>IF(AND(AC85&gt;0,AD84&gt;0,B85&gt;0),MIN(conv_cap,conv_beta*1*AC85*MAX(0,LN(B85/(AD84*AF84)))),0)</f>
        <v/>
      </c>
      <c r="AF85" s="65">
        <f>AF84*(1+AE85)</f>
        <v/>
      </c>
      <c r="AG85" s="47">
        <f>AB85*AF85</f>
        <v/>
      </c>
      <c r="AH85" s="67">
        <f>IF(AA85&gt;0,AG85*1000000/AA85/Economy!Q85,0)</f>
        <v/>
      </c>
      <c r="AI85" s="45" t="n">
        <v>475000000</v>
      </c>
      <c r="AJ85" s="45" t="n">
        <v>7250</v>
      </c>
      <c r="AK85" s="68" t="n">
        <v>0.321</v>
      </c>
      <c r="AL85" s="47">
        <f>IF(AI85&gt;0,AJ85*1000000/AI85,0)</f>
        <v/>
      </c>
      <c r="AM85" s="64">
        <f>IF(AND(AK85&gt;0,AL84&gt;0,B85&gt;0),MIN(conv_cap,conv_beta*1*AK85*MAX(0,LN(B85/(AL84*AN84)))),0)</f>
        <v/>
      </c>
      <c r="AN85" s="65">
        <f>AN84*(1+AM85)</f>
        <v/>
      </c>
      <c r="AO85" s="47">
        <f>AJ85*AN85</f>
        <v/>
      </c>
      <c r="AP85" s="67">
        <f>IF(AI85&gt;0,AO85*1000000/AI85/Economy!Q85,0)</f>
        <v/>
      </c>
      <c r="AQ85" s="45" t="n">
        <v>18750000</v>
      </c>
      <c r="AR85" s="45" t="n">
        <v>850</v>
      </c>
      <c r="AS85" s="68" t="n">
        <v>0.583</v>
      </c>
      <c r="AT85" s="47">
        <f>IF(AQ85&gt;0,AR85*1000000/AQ85,0)</f>
        <v/>
      </c>
      <c r="AU85" s="64">
        <f>IF(AND(AS85&gt;0,AT84&gt;0,B85&gt;0),MIN(conv_cap,conv_beta*1*AS85*MAX(0,LN(B85/(AT84*AV84)))),0)</f>
        <v/>
      </c>
      <c r="AV85" s="65">
        <f>AV84*(1+AU85)</f>
        <v/>
      </c>
      <c r="AW85" s="47">
        <f>AR85*AV85</f>
        <v/>
      </c>
      <c r="AX85" s="67">
        <f>IF(AQ85&gt;0,AW85*1000000/AQ85/Economy!Q85,0)</f>
        <v/>
      </c>
      <c r="AY85" s="45" t="n">
        <v>117500000</v>
      </c>
      <c r="AZ85" s="45" t="n">
        <v>5333</v>
      </c>
      <c r="BA85" s="68" t="n">
        <v>0.225</v>
      </c>
      <c r="BB85" s="47">
        <f>IF(AY85&gt;0,AZ85*1000000/AY85,0)</f>
        <v/>
      </c>
      <c r="BC85" s="64">
        <f>IF(AND(BA85&gt;0,BB84&gt;0,B85&gt;0),MIN(conv_cap,conv_beta*1*BA85*MAX(0,LN(B85/(BB84*BD84)))),0)</f>
        <v/>
      </c>
      <c r="BD85" s="65">
        <f>BD84*(1+BC85)</f>
        <v/>
      </c>
      <c r="BE85" s="47">
        <f>AZ85*BD85</f>
        <v/>
      </c>
      <c r="BF85" s="67">
        <f>IF(AY85&gt;0,BE85*1000000/AY85/Economy!Q85,0)</f>
        <v/>
      </c>
      <c r="BG85" s="45" t="n">
        <v>43800000</v>
      </c>
      <c r="BH85" s="45" t="n">
        <v>6111</v>
      </c>
      <c r="BI85" s="68" t="n">
        <v>0.375</v>
      </c>
      <c r="BJ85" s="47">
        <f>IF(BG85&gt;0,BH85*1000000/BG85,0)</f>
        <v/>
      </c>
      <c r="BK85" s="64">
        <f>IF(AND(BI85&gt;0,BJ84&gt;0,B85&gt;0),MIN(conv_cap,conv_beta*1*BI85*MAX(0,LN(B85/(BJ84*BL84)))),0)</f>
        <v/>
      </c>
      <c r="BL85" s="65">
        <f>BL84*(1+BK85)</f>
        <v/>
      </c>
      <c r="BM85" s="47">
        <f>BH85*BL85</f>
        <v/>
      </c>
      <c r="BN85" s="67">
        <f>IF(BG85&gt;0,BM85*1000000/BG85/Economy!Q85,0)</f>
        <v/>
      </c>
      <c r="BO85" s="45" t="n">
        <v>18200000</v>
      </c>
      <c r="BP85" s="45" t="n">
        <v>1625</v>
      </c>
      <c r="BQ85" s="68" t="n">
        <v>0.175</v>
      </c>
      <c r="BR85" s="47">
        <f>IF(BO85&gt;0,BP85*1000000/BO85,0)</f>
        <v/>
      </c>
      <c r="BS85" s="64">
        <f>IF(AND(BQ85&gt;0,BR84&gt;0,B85&gt;0),MIN(conv_cap,conv_beta*1*BQ85*MAX(0,LN(B85/(BR84*BT84)))),0)</f>
        <v/>
      </c>
      <c r="BT85" s="65">
        <f>BT84*(1+BS85)</f>
        <v/>
      </c>
      <c r="BU85" s="47">
        <f>BP85*BT85</f>
        <v/>
      </c>
      <c r="BV85" s="67">
        <f>IF(BO85&gt;0,BU85*1000000/BO85/Economy!Q85,0)</f>
        <v/>
      </c>
      <c r="BW85" s="65">
        <f>0.25*IF(D85&gt;0,H85,1)+0.15*IF(AJ85&gt;0,AN85,1)+0.03*IF(AR85&gt;0,AV85,1)+0.08*IF(AZ85&gt;0,BD85,1)+0.12*IF(BH85&gt;0,BL85,1)+0.1*IF(L85&gt;0,P85,1)+0.07*IF(T85&gt;0,X85,1)+0.05*IF(AB85&gt;0,AF85,1)+0.05*IF(BP85&gt;0,BT85,1)+0.1</f>
        <v/>
      </c>
      <c r="BX85" s="63">
        <f>MIN(mkt_cap,mkt_elast*MAX(0,BW85-1))</f>
        <v/>
      </c>
      <c r="BY85" s="47">
        <f>I85+Q85+Y85+AG85</f>
        <v/>
      </c>
      <c r="BZ85" s="47">
        <f>D85+L85+T85+AB85</f>
        <v/>
      </c>
      <c r="CA85" s="65">
        <f>IF(BZ85&gt;0,BY85/BZ85,0)</f>
        <v/>
      </c>
    </row>
    <row r="86">
      <c r="A86" s="58" t="n">
        <v>1926</v>
      </c>
      <c r="B86" s="47">
        <f>Economy!P85</f>
        <v/>
      </c>
      <c r="C86" s="45" t="n">
        <v>61000000</v>
      </c>
      <c r="D86" s="62">
        <f>Japan!B86</f>
        <v/>
      </c>
      <c r="E86" s="68" t="n">
        <v>0.981</v>
      </c>
      <c r="F86" s="47">
        <f>IF(C86&gt;0,D86*1000000/C86,0)</f>
        <v/>
      </c>
      <c r="G86" s="64">
        <f>IF(AND(E86&gt;0,F85&gt;0,B86&gt;0),MIN(conv_cap,conv_beta*jp_uplift*E86*MAX(0,LN(B86/(F85*H85)))),0)</f>
        <v/>
      </c>
      <c r="H86" s="65">
        <f>H85*(1+G86)</f>
        <v/>
      </c>
      <c r="I86" s="47">
        <f>D86*H86</f>
        <v/>
      </c>
      <c r="J86" s="67">
        <f>IF(C86&gt;0,I86*1000000/C86/Economy!Q86,0)</f>
        <v/>
      </c>
      <c r="K86" s="62">
        <f>Gulf!B86</f>
        <v/>
      </c>
      <c r="L86" s="47">
        <f>Gulf!B86*Gulf!C86*Economy!Q86/1000000</f>
        <v/>
      </c>
      <c r="M86" s="68" t="n">
        <v>0.8169999999999999</v>
      </c>
      <c r="N86" s="47">
        <f>IF(K86&gt;0,L86*1000000/K86,0)</f>
        <v/>
      </c>
      <c r="O86" s="64">
        <f>IF(AND(M86&gt;0,N85&gt;0,B86&gt;0),MIN(conv_cap,conv_beta*1*M86*MAX(0,LN(B86/(N85*P85)))),0)</f>
        <v/>
      </c>
      <c r="P86" s="65">
        <f>P85*(1+O86)</f>
        <v/>
      </c>
      <c r="Q86" s="47">
        <f>L86*P86</f>
        <v/>
      </c>
      <c r="R86" s="67">
        <f>IF(K86&gt;0,Q86*1000000/K86/Economy!Q86,0)</f>
        <v/>
      </c>
      <c r="S86" s="62">
        <f>People!U86</f>
        <v/>
      </c>
      <c r="T86" s="45" t="n">
        <v>1133</v>
      </c>
      <c r="U86" s="68" t="n">
        <v>0.725</v>
      </c>
      <c r="V86" s="47">
        <f>IF(S86&gt;0,T86*1000000/S86,0)</f>
        <v/>
      </c>
      <c r="W86" s="64">
        <f>IF(AND(U86&gt;0,V85&gt;0,B86&gt;0),MIN(conv_cap,conv_beta*1*U86*MAX(0,LN(B86/(V85*X85)))),0)</f>
        <v/>
      </c>
      <c r="X86" s="65">
        <f>X85*(1+W86)</f>
        <v/>
      </c>
      <c r="Y86" s="47">
        <f>T86*X86</f>
        <v/>
      </c>
      <c r="Z86" s="67">
        <f>IF(S86&gt;0,Y86*1000000/S86/Economy!Q86,0)</f>
        <v/>
      </c>
      <c r="AA86" s="45" t="n">
        <v>11250000</v>
      </c>
      <c r="AB86" s="45" t="n">
        <v>1350</v>
      </c>
      <c r="AC86" s="68" t="n">
        <v>0.5639999999999999</v>
      </c>
      <c r="AD86" s="47">
        <f>IF(AA86&gt;0,AB86*1000000/AA86,0)</f>
        <v/>
      </c>
      <c r="AE86" s="64">
        <f>IF(AND(AC86&gt;0,AD85&gt;0,B86&gt;0),MIN(conv_cap,conv_beta*1*AC86*MAX(0,LN(B86/(AD85*AF85)))),0)</f>
        <v/>
      </c>
      <c r="AF86" s="65">
        <f>AF85*(1+AE86)</f>
        <v/>
      </c>
      <c r="AG86" s="47">
        <f>AB86*AF86</f>
        <v/>
      </c>
      <c r="AH86" s="67">
        <f>IF(AA86&gt;0,AG86*1000000/AA86/Economy!Q86,0)</f>
        <v/>
      </c>
      <c r="AI86" s="45" t="n">
        <v>478800000</v>
      </c>
      <c r="AJ86" s="45" t="n">
        <v>7438</v>
      </c>
      <c r="AK86" s="68" t="n">
        <v>0.329</v>
      </c>
      <c r="AL86" s="47">
        <f>IF(AI86&gt;0,AJ86*1000000/AI86,0)</f>
        <v/>
      </c>
      <c r="AM86" s="64">
        <f>IF(AND(AK86&gt;0,AL85&gt;0,B86&gt;0),MIN(conv_cap,conv_beta*1*AK86*MAX(0,LN(B86/(AL85*AN85)))),0)</f>
        <v/>
      </c>
      <c r="AN86" s="65">
        <f>AN85*(1+AM86)</f>
        <v/>
      </c>
      <c r="AO86" s="47">
        <f>AJ86*AN86</f>
        <v/>
      </c>
      <c r="AP86" s="67">
        <f>IF(AI86&gt;0,AO86*1000000/AI86/Economy!Q86,0)</f>
        <v/>
      </c>
      <c r="AQ86" s="45" t="n">
        <v>19060000</v>
      </c>
      <c r="AR86" s="45" t="n">
        <v>888</v>
      </c>
      <c r="AS86" s="68" t="n">
        <v>0.588</v>
      </c>
      <c r="AT86" s="47">
        <f>IF(AQ86&gt;0,AR86*1000000/AQ86,0)</f>
        <v/>
      </c>
      <c r="AU86" s="64">
        <f>IF(AND(AS86&gt;0,AT85&gt;0,B86&gt;0),MIN(conv_cap,conv_beta*1*AS86*MAX(0,LN(B86/(AT85*AV85)))),0)</f>
        <v/>
      </c>
      <c r="AV86" s="65">
        <f>AV85*(1+AU86)</f>
        <v/>
      </c>
      <c r="AW86" s="47">
        <f>AR86*AV86</f>
        <v/>
      </c>
      <c r="AX86" s="67">
        <f>IF(AQ86&gt;0,AW86*1000000/AQ86/Economy!Q86,0)</f>
        <v/>
      </c>
      <c r="AY86" s="45" t="n">
        <v>119400000</v>
      </c>
      <c r="AZ86" s="45" t="n">
        <v>5500</v>
      </c>
      <c r="BA86" s="68" t="n">
        <v>0.231</v>
      </c>
      <c r="BB86" s="47">
        <f>IF(AY86&gt;0,AZ86*1000000/AY86,0)</f>
        <v/>
      </c>
      <c r="BC86" s="64">
        <f>IF(AND(BA86&gt;0,BB85&gt;0,B86&gt;0),MIN(conv_cap,conv_beta*1*BA86*MAX(0,LN(B86/(BB85*BD85)))),0)</f>
        <v/>
      </c>
      <c r="BD86" s="65">
        <f>BD85*(1+BC86)</f>
        <v/>
      </c>
      <c r="BE86" s="47">
        <f>AZ86*BD86</f>
        <v/>
      </c>
      <c r="BF86" s="67">
        <f>IF(AY86&gt;0,BE86*1000000/AY86/Economy!Q86,0)</f>
        <v/>
      </c>
      <c r="BG86" s="45" t="n">
        <v>44300000</v>
      </c>
      <c r="BH86" s="45" t="n">
        <v>6333</v>
      </c>
      <c r="BI86" s="68" t="n">
        <v>0.381</v>
      </c>
      <c r="BJ86" s="47">
        <f>IF(BG86&gt;0,BH86*1000000/BG86,0)</f>
        <v/>
      </c>
      <c r="BK86" s="64">
        <f>IF(AND(BI86&gt;0,BJ85&gt;0,B86&gt;0),MIN(conv_cap,conv_beta*1*BI86*MAX(0,LN(B86/(BJ85*BL85)))),0)</f>
        <v/>
      </c>
      <c r="BL86" s="65">
        <f>BL85*(1+BK86)</f>
        <v/>
      </c>
      <c r="BM86" s="47">
        <f>BH86*BL86</f>
        <v/>
      </c>
      <c r="BN86" s="67">
        <f>IF(BG86&gt;0,BM86*1000000/BG86/Economy!Q86,0)</f>
        <v/>
      </c>
      <c r="BO86" s="45" t="n">
        <v>18400000</v>
      </c>
      <c r="BP86" s="45" t="n">
        <v>1669</v>
      </c>
      <c r="BQ86" s="68" t="n">
        <v>0.181</v>
      </c>
      <c r="BR86" s="47">
        <f>IF(BO86&gt;0,BP86*1000000/BO86,0)</f>
        <v/>
      </c>
      <c r="BS86" s="64">
        <f>IF(AND(BQ86&gt;0,BR85&gt;0,B86&gt;0),MIN(conv_cap,conv_beta*1*BQ86*MAX(0,LN(B86/(BR85*BT85)))),0)</f>
        <v/>
      </c>
      <c r="BT86" s="65">
        <f>BT85*(1+BS86)</f>
        <v/>
      </c>
      <c r="BU86" s="47">
        <f>BP86*BT86</f>
        <v/>
      </c>
      <c r="BV86" s="67">
        <f>IF(BO86&gt;0,BU86*1000000/BO86/Economy!Q86,0)</f>
        <v/>
      </c>
      <c r="BW86" s="65">
        <f>0.25*IF(D86&gt;0,H86,1)+0.15*IF(AJ86&gt;0,AN86,1)+0.03*IF(AR86&gt;0,AV86,1)+0.08*IF(AZ86&gt;0,BD86,1)+0.12*IF(BH86&gt;0,BL86,1)+0.1*IF(L86&gt;0,P86,1)+0.07*IF(T86&gt;0,X86,1)+0.05*IF(AB86&gt;0,AF86,1)+0.05*IF(BP86&gt;0,BT86,1)+0.1</f>
        <v/>
      </c>
      <c r="BX86" s="63">
        <f>MIN(mkt_cap,mkt_elast*MAX(0,BW86-1))</f>
        <v/>
      </c>
      <c r="BY86" s="47">
        <f>I86+Q86+Y86+AG86</f>
        <v/>
      </c>
      <c r="BZ86" s="47">
        <f>D86+L86+T86+AB86</f>
        <v/>
      </c>
      <c r="CA86" s="65">
        <f>IF(BZ86&gt;0,BY86/BZ86,0)</f>
        <v/>
      </c>
    </row>
    <row r="87">
      <c r="A87" s="58" t="n">
        <v>1927</v>
      </c>
      <c r="B87" s="47">
        <f>Economy!P86</f>
        <v/>
      </c>
      <c r="C87" s="45" t="n">
        <v>61830000</v>
      </c>
      <c r="D87" s="62">
        <f>Japan!B87</f>
        <v/>
      </c>
      <c r="E87" s="68" t="n">
        <v>1</v>
      </c>
      <c r="F87" s="47">
        <f>IF(C87&gt;0,D87*1000000/C87,0)</f>
        <v/>
      </c>
      <c r="G87" s="64">
        <f>IF(AND(E87&gt;0,F86&gt;0,B87&gt;0),MIN(conv_cap,conv_beta*jp_uplift*E87*MAX(0,LN(B87/(F86*H86)))),0)</f>
        <v/>
      </c>
      <c r="H87" s="65">
        <f>H86*(1+G87)</f>
        <v/>
      </c>
      <c r="I87" s="47">
        <f>D87*H87</f>
        <v/>
      </c>
      <c r="J87" s="67">
        <f>IF(C87&gt;0,I87*1000000/C87/Economy!Q87,0)</f>
        <v/>
      </c>
      <c r="K87" s="62">
        <f>Gulf!B87</f>
        <v/>
      </c>
      <c r="L87" s="47">
        <f>Gulf!B87*Gulf!C87*Economy!Q87/1000000</f>
        <v/>
      </c>
      <c r="M87" s="68" t="n">
        <v>0.828</v>
      </c>
      <c r="N87" s="47">
        <f>IF(K87&gt;0,L87*1000000/K87,0)</f>
        <v/>
      </c>
      <c r="O87" s="64">
        <f>IF(AND(M87&gt;0,N86&gt;0,B87&gt;0),MIN(conv_cap,conv_beta*1*M87*MAX(0,LN(B87/(N86*P86)))),0)</f>
        <v/>
      </c>
      <c r="P87" s="65">
        <f>P86*(1+O87)</f>
        <v/>
      </c>
      <c r="Q87" s="47">
        <f>L87*P87</f>
        <v/>
      </c>
      <c r="R87" s="67">
        <f>IF(K87&gt;0,Q87*1000000/K87/Economy!Q87,0)</f>
        <v/>
      </c>
      <c r="S87" s="62">
        <f>People!U87</f>
        <v/>
      </c>
      <c r="T87" s="45" t="n">
        <v>1172</v>
      </c>
      <c r="U87" s="68" t="n">
        <v>0.729</v>
      </c>
      <c r="V87" s="47">
        <f>IF(S87&gt;0,T87*1000000/S87,0)</f>
        <v/>
      </c>
      <c r="W87" s="64">
        <f>IF(AND(U87&gt;0,V86&gt;0,B87&gt;0),MIN(conv_cap,conv_beta*1*U87*MAX(0,LN(B87/(V86*X86)))),0)</f>
        <v/>
      </c>
      <c r="X87" s="65">
        <f>X86*(1+W87)</f>
        <v/>
      </c>
      <c r="Y87" s="47">
        <f>T87*X87</f>
        <v/>
      </c>
      <c r="Z87" s="67">
        <f>IF(S87&gt;0,Y87*1000000/S87/Economy!Q87,0)</f>
        <v/>
      </c>
      <c r="AA87" s="45" t="n">
        <v>11500000</v>
      </c>
      <c r="AB87" s="45" t="n">
        <v>1400</v>
      </c>
      <c r="AC87" s="68" t="n">
        <v>0.579</v>
      </c>
      <c r="AD87" s="47">
        <f>IF(AA87&gt;0,AB87*1000000/AA87,0)</f>
        <v/>
      </c>
      <c r="AE87" s="64">
        <f>IF(AND(AC87&gt;0,AD86&gt;0,B87&gt;0),MIN(conv_cap,conv_beta*1*AC87*MAX(0,LN(B87/(AD86*AF86)))),0)</f>
        <v/>
      </c>
      <c r="AF87" s="65">
        <f>AF86*(1+AE87)</f>
        <v/>
      </c>
      <c r="AG87" s="47">
        <f>AB87*AF87</f>
        <v/>
      </c>
      <c r="AH87" s="67">
        <f>IF(AA87&gt;0,AG87*1000000/AA87/Economy!Q87,0)</f>
        <v/>
      </c>
      <c r="AI87" s="45" t="n">
        <v>482500000</v>
      </c>
      <c r="AJ87" s="45" t="n">
        <v>7625</v>
      </c>
      <c r="AK87" s="68" t="n">
        <v>0.336</v>
      </c>
      <c r="AL87" s="47">
        <f>IF(AI87&gt;0,AJ87*1000000/AI87,0)</f>
        <v/>
      </c>
      <c r="AM87" s="64">
        <f>IF(AND(AK87&gt;0,AL86&gt;0,B87&gt;0),MIN(conv_cap,conv_beta*1*AK87*MAX(0,LN(B87/(AL86*AN86)))),0)</f>
        <v/>
      </c>
      <c r="AN87" s="65">
        <f>AN86*(1+AM87)</f>
        <v/>
      </c>
      <c r="AO87" s="47">
        <f>AJ87*AN87</f>
        <v/>
      </c>
      <c r="AP87" s="67">
        <f>IF(AI87&gt;0,AO87*1000000/AI87/Economy!Q87,0)</f>
        <v/>
      </c>
      <c r="AQ87" s="45" t="n">
        <v>19380000</v>
      </c>
      <c r="AR87" s="45" t="n">
        <v>925</v>
      </c>
      <c r="AS87" s="68" t="n">
        <v>0.592</v>
      </c>
      <c r="AT87" s="47">
        <f>IF(AQ87&gt;0,AR87*1000000/AQ87,0)</f>
        <v/>
      </c>
      <c r="AU87" s="64">
        <f>IF(AND(AS87&gt;0,AT86&gt;0,B87&gt;0),MIN(conv_cap,conv_beta*1*AS87*MAX(0,LN(B87/(AT86*AV86)))),0)</f>
        <v/>
      </c>
      <c r="AV87" s="65">
        <f>AV86*(1+AU87)</f>
        <v/>
      </c>
      <c r="AW87" s="47">
        <f>AR87*AV87</f>
        <v/>
      </c>
      <c r="AX87" s="67">
        <f>IF(AQ87&gt;0,AW87*1000000/AQ87/Economy!Q87,0)</f>
        <v/>
      </c>
      <c r="AY87" s="45" t="n">
        <v>121200000</v>
      </c>
      <c r="AZ87" s="45" t="n">
        <v>5667</v>
      </c>
      <c r="BA87" s="68" t="n">
        <v>0.237</v>
      </c>
      <c r="BB87" s="47">
        <f>IF(AY87&gt;0,AZ87*1000000/AY87,0)</f>
        <v/>
      </c>
      <c r="BC87" s="64">
        <f>IF(AND(BA87&gt;0,BB86&gt;0,B87&gt;0),MIN(conv_cap,conv_beta*1*BA87*MAX(0,LN(B87/(BB86*BD86)))),0)</f>
        <v/>
      </c>
      <c r="BD87" s="65">
        <f>BD86*(1+BC87)</f>
        <v/>
      </c>
      <c r="BE87" s="47">
        <f>AZ87*BD87</f>
        <v/>
      </c>
      <c r="BF87" s="67">
        <f>IF(AY87&gt;0,BE87*1000000/AY87/Economy!Q87,0)</f>
        <v/>
      </c>
      <c r="BG87" s="45" t="n">
        <v>44900000</v>
      </c>
      <c r="BH87" s="45" t="n">
        <v>6556</v>
      </c>
      <c r="BI87" s="68" t="n">
        <v>0.388</v>
      </c>
      <c r="BJ87" s="47">
        <f>IF(BG87&gt;0,BH87*1000000/BG87,0)</f>
        <v/>
      </c>
      <c r="BK87" s="64">
        <f>IF(AND(BI87&gt;0,BJ86&gt;0,B87&gt;0),MIN(conv_cap,conv_beta*1*BI87*MAX(0,LN(B87/(BJ86*BL86)))),0)</f>
        <v/>
      </c>
      <c r="BL87" s="65">
        <f>BL86*(1+BK87)</f>
        <v/>
      </c>
      <c r="BM87" s="47">
        <f>BH87*BL87</f>
        <v/>
      </c>
      <c r="BN87" s="67">
        <f>IF(BG87&gt;0,BM87*1000000/BG87/Economy!Q87,0)</f>
        <v/>
      </c>
      <c r="BO87" s="45" t="n">
        <v>18600000</v>
      </c>
      <c r="BP87" s="45" t="n">
        <v>1712</v>
      </c>
      <c r="BQ87" s="68" t="n">
        <v>0.188</v>
      </c>
      <c r="BR87" s="47">
        <f>IF(BO87&gt;0,BP87*1000000/BO87,0)</f>
        <v/>
      </c>
      <c r="BS87" s="64">
        <f>IF(AND(BQ87&gt;0,BR86&gt;0,B87&gt;0),MIN(conv_cap,conv_beta*1*BQ87*MAX(0,LN(B87/(BR86*BT86)))),0)</f>
        <v/>
      </c>
      <c r="BT87" s="65">
        <f>BT86*(1+BS87)</f>
        <v/>
      </c>
      <c r="BU87" s="47">
        <f>BP87*BT87</f>
        <v/>
      </c>
      <c r="BV87" s="67">
        <f>IF(BO87&gt;0,BU87*1000000/BO87/Economy!Q87,0)</f>
        <v/>
      </c>
      <c r="BW87" s="65">
        <f>0.25*IF(D87&gt;0,H87,1)+0.15*IF(AJ87&gt;0,AN87,1)+0.03*IF(AR87&gt;0,AV87,1)+0.08*IF(AZ87&gt;0,BD87,1)+0.12*IF(BH87&gt;0,BL87,1)+0.1*IF(L87&gt;0,P87,1)+0.07*IF(T87&gt;0,X87,1)+0.05*IF(AB87&gt;0,AF87,1)+0.05*IF(BP87&gt;0,BT87,1)+0.1</f>
        <v/>
      </c>
      <c r="BX87" s="63">
        <f>MIN(mkt_cap,mkt_elast*MAX(0,BW87-1))</f>
        <v/>
      </c>
      <c r="BY87" s="47">
        <f>I87+Q87+Y87+AG87</f>
        <v/>
      </c>
      <c r="BZ87" s="47">
        <f>D87+L87+T87+AB87</f>
        <v/>
      </c>
      <c r="CA87" s="65">
        <f>IF(BZ87&gt;0,BY87/BZ87,0)</f>
        <v/>
      </c>
    </row>
    <row r="88">
      <c r="A88" s="58" t="n">
        <v>1928</v>
      </c>
      <c r="B88" s="47">
        <f>Economy!P87</f>
        <v/>
      </c>
      <c r="C88" s="45" t="n">
        <v>62670000</v>
      </c>
      <c r="D88" s="62">
        <f>Japan!B88</f>
        <v/>
      </c>
      <c r="E88" s="68" t="n">
        <v>1</v>
      </c>
      <c r="F88" s="47">
        <f>IF(C88&gt;0,D88*1000000/C88,0)</f>
        <v/>
      </c>
      <c r="G88" s="64">
        <f>IF(AND(E88&gt;0,F87&gt;0,B88&gt;0),MIN(conv_cap,conv_beta*jp_uplift*E88*MAX(0,LN(B88/(F87*H87)))),0)</f>
        <v/>
      </c>
      <c r="H88" s="65">
        <f>H87*(1+G88)</f>
        <v/>
      </c>
      <c r="I88" s="47">
        <f>D88*H88</f>
        <v/>
      </c>
      <c r="J88" s="67">
        <f>IF(C88&gt;0,I88*1000000/C88/Economy!Q88,0)</f>
        <v/>
      </c>
      <c r="K88" s="62">
        <f>Gulf!B88</f>
        <v/>
      </c>
      <c r="L88" s="47">
        <f>Gulf!B88*Gulf!C88*Economy!Q88/1000000</f>
        <v/>
      </c>
      <c r="M88" s="68" t="n">
        <v>0.839</v>
      </c>
      <c r="N88" s="47">
        <f>IF(K88&gt;0,L88*1000000/K88,0)</f>
        <v/>
      </c>
      <c r="O88" s="64">
        <f>IF(AND(M88&gt;0,N87&gt;0,B88&gt;0),MIN(conv_cap,conv_beta*1*M88*MAX(0,LN(B88/(N87*P87)))),0)</f>
        <v/>
      </c>
      <c r="P88" s="65">
        <f>P87*(1+O88)</f>
        <v/>
      </c>
      <c r="Q88" s="47">
        <f>L88*P88</f>
        <v/>
      </c>
      <c r="R88" s="67">
        <f>IF(K88&gt;0,Q88*1000000/K88/Economy!Q88,0)</f>
        <v/>
      </c>
      <c r="S88" s="62">
        <f>People!U88</f>
        <v/>
      </c>
      <c r="T88" s="45" t="n">
        <v>1211</v>
      </c>
      <c r="U88" s="68" t="n">
        <v>0.733</v>
      </c>
      <c r="V88" s="47">
        <f>IF(S88&gt;0,T88*1000000/S88,0)</f>
        <v/>
      </c>
      <c r="W88" s="64">
        <f>IF(AND(U88&gt;0,V87&gt;0,B88&gt;0),MIN(conv_cap,conv_beta*1*U88*MAX(0,LN(B88/(V87*X87)))),0)</f>
        <v/>
      </c>
      <c r="X88" s="65">
        <f>X87*(1+W88)</f>
        <v/>
      </c>
      <c r="Y88" s="47">
        <f>T88*X88</f>
        <v/>
      </c>
      <c r="Z88" s="67">
        <f>IF(S88&gt;0,Y88*1000000/S88/Economy!Q88,0)</f>
        <v/>
      </c>
      <c r="AA88" s="45" t="n">
        <v>11750000</v>
      </c>
      <c r="AB88" s="45" t="n">
        <v>1450</v>
      </c>
      <c r="AC88" s="68" t="n">
        <v>0.593</v>
      </c>
      <c r="AD88" s="47">
        <f>IF(AA88&gt;0,AB88*1000000/AA88,0)</f>
        <v/>
      </c>
      <c r="AE88" s="64">
        <f>IF(AND(AC88&gt;0,AD87&gt;0,B88&gt;0),MIN(conv_cap,conv_beta*1*AC88*MAX(0,LN(B88/(AD87*AF87)))),0)</f>
        <v/>
      </c>
      <c r="AF88" s="65">
        <f>AF87*(1+AE88)</f>
        <v/>
      </c>
      <c r="AG88" s="47">
        <f>AB88*AF88</f>
        <v/>
      </c>
      <c r="AH88" s="67">
        <f>IF(AA88&gt;0,AG88*1000000/AA88/Economy!Q88,0)</f>
        <v/>
      </c>
      <c r="AI88" s="45" t="n">
        <v>486200000</v>
      </c>
      <c r="AJ88" s="45" t="n">
        <v>7812</v>
      </c>
      <c r="AK88" s="68" t="n">
        <v>0.343</v>
      </c>
      <c r="AL88" s="47">
        <f>IF(AI88&gt;0,AJ88*1000000/AI88,0)</f>
        <v/>
      </c>
      <c r="AM88" s="64">
        <f>IF(AND(AK88&gt;0,AL87&gt;0,B88&gt;0),MIN(conv_cap,conv_beta*1*AK88*MAX(0,LN(B88/(AL87*AN87)))),0)</f>
        <v/>
      </c>
      <c r="AN88" s="65">
        <f>AN87*(1+AM88)</f>
        <v/>
      </c>
      <c r="AO88" s="47">
        <f>AJ88*AN88</f>
        <v/>
      </c>
      <c r="AP88" s="67">
        <f>IF(AI88&gt;0,AO88*1000000/AI88/Economy!Q88,0)</f>
        <v/>
      </c>
      <c r="AQ88" s="45" t="n">
        <v>19690000</v>
      </c>
      <c r="AR88" s="45" t="n">
        <v>962</v>
      </c>
      <c r="AS88" s="68" t="n">
        <v>0.596</v>
      </c>
      <c r="AT88" s="47">
        <f>IF(AQ88&gt;0,AR88*1000000/AQ88,0)</f>
        <v/>
      </c>
      <c r="AU88" s="64">
        <f>IF(AND(AS88&gt;0,AT87&gt;0,B88&gt;0),MIN(conv_cap,conv_beta*1*AS88*MAX(0,LN(B88/(AT87*AV87)))),0)</f>
        <v/>
      </c>
      <c r="AV88" s="65">
        <f>AV87*(1+AU88)</f>
        <v/>
      </c>
      <c r="AW88" s="47">
        <f>AR88*AV88</f>
        <v/>
      </c>
      <c r="AX88" s="67">
        <f>IF(AQ88&gt;0,AW88*1000000/AQ88/Economy!Q88,0)</f>
        <v/>
      </c>
      <c r="AY88" s="45" t="n">
        <v>123100000</v>
      </c>
      <c r="AZ88" s="45" t="n">
        <v>5833</v>
      </c>
      <c r="BA88" s="68" t="n">
        <v>0.244</v>
      </c>
      <c r="BB88" s="47">
        <f>IF(AY88&gt;0,AZ88*1000000/AY88,0)</f>
        <v/>
      </c>
      <c r="BC88" s="64">
        <f>IF(AND(BA88&gt;0,BB87&gt;0,B88&gt;0),MIN(conv_cap,conv_beta*1*BA88*MAX(0,LN(B88/(BB87*BD87)))),0)</f>
        <v/>
      </c>
      <c r="BD88" s="65">
        <f>BD87*(1+BC88)</f>
        <v/>
      </c>
      <c r="BE88" s="47">
        <f>AZ88*BD88</f>
        <v/>
      </c>
      <c r="BF88" s="67">
        <f>IF(AY88&gt;0,BE88*1000000/AY88/Economy!Q88,0)</f>
        <v/>
      </c>
      <c r="BG88" s="45" t="n">
        <v>45400000</v>
      </c>
      <c r="BH88" s="45" t="n">
        <v>6778</v>
      </c>
      <c r="BI88" s="68" t="n">
        <v>0.394</v>
      </c>
      <c r="BJ88" s="47">
        <f>IF(BG88&gt;0,BH88*1000000/BG88,0)</f>
        <v/>
      </c>
      <c r="BK88" s="64">
        <f>IF(AND(BI88&gt;0,BJ87&gt;0,B88&gt;0),MIN(conv_cap,conv_beta*1*BI88*MAX(0,LN(B88/(BJ87*BL87)))),0)</f>
        <v/>
      </c>
      <c r="BL88" s="65">
        <f>BL87*(1+BK88)</f>
        <v/>
      </c>
      <c r="BM88" s="47">
        <f>BH88*BL88</f>
        <v/>
      </c>
      <c r="BN88" s="67">
        <f>IF(BG88&gt;0,BM88*1000000/BG88/Economy!Q88,0)</f>
        <v/>
      </c>
      <c r="BO88" s="45" t="n">
        <v>18800000</v>
      </c>
      <c r="BP88" s="45" t="n">
        <v>1756</v>
      </c>
      <c r="BQ88" s="68" t="n">
        <v>0.194</v>
      </c>
      <c r="BR88" s="47">
        <f>IF(BO88&gt;0,BP88*1000000/BO88,0)</f>
        <v/>
      </c>
      <c r="BS88" s="64">
        <f>IF(AND(BQ88&gt;0,BR87&gt;0,B88&gt;0),MIN(conv_cap,conv_beta*1*BQ88*MAX(0,LN(B88/(BR87*BT87)))),0)</f>
        <v/>
      </c>
      <c r="BT88" s="65">
        <f>BT87*(1+BS88)</f>
        <v/>
      </c>
      <c r="BU88" s="47">
        <f>BP88*BT88</f>
        <v/>
      </c>
      <c r="BV88" s="67">
        <f>IF(BO88&gt;0,BU88*1000000/BO88/Economy!Q88,0)</f>
        <v/>
      </c>
      <c r="BW88" s="65">
        <f>0.25*IF(D88&gt;0,H88,1)+0.15*IF(AJ88&gt;0,AN88,1)+0.03*IF(AR88&gt;0,AV88,1)+0.08*IF(AZ88&gt;0,BD88,1)+0.12*IF(BH88&gt;0,BL88,1)+0.1*IF(L88&gt;0,P88,1)+0.07*IF(T88&gt;0,X88,1)+0.05*IF(AB88&gt;0,AF88,1)+0.05*IF(BP88&gt;0,BT88,1)+0.1</f>
        <v/>
      </c>
      <c r="BX88" s="63">
        <f>MIN(mkt_cap,mkt_elast*MAX(0,BW88-1))</f>
        <v/>
      </c>
      <c r="BY88" s="47">
        <f>I88+Q88+Y88+AG88</f>
        <v/>
      </c>
      <c r="BZ88" s="47">
        <f>D88+L88+T88+AB88</f>
        <v/>
      </c>
      <c r="CA88" s="65">
        <f>IF(BZ88&gt;0,BY88/BZ88,0)</f>
        <v/>
      </c>
    </row>
    <row r="89">
      <c r="A89" s="58" t="n">
        <v>1929</v>
      </c>
      <c r="B89" s="47">
        <f>Economy!P88</f>
        <v/>
      </c>
      <c r="C89" s="45" t="n">
        <v>63500000</v>
      </c>
      <c r="D89" s="62">
        <f>Japan!B89</f>
        <v/>
      </c>
      <c r="E89" s="68" t="n">
        <v>1</v>
      </c>
      <c r="F89" s="47">
        <f>IF(C89&gt;0,D89*1000000/C89,0)</f>
        <v/>
      </c>
      <c r="G89" s="64">
        <f>IF(AND(E89&gt;0,F88&gt;0,B89&gt;0),MIN(conv_cap,conv_beta*jp_uplift*E89*MAX(0,LN(B89/(F88*H88)))),0)</f>
        <v/>
      </c>
      <c r="H89" s="65">
        <f>H88*(1+G89)</f>
        <v/>
      </c>
      <c r="I89" s="47">
        <f>D89*H89</f>
        <v/>
      </c>
      <c r="J89" s="67">
        <f>IF(C89&gt;0,I89*1000000/C89/Economy!Q89,0)</f>
        <v/>
      </c>
      <c r="K89" s="62">
        <f>Gulf!B89</f>
        <v/>
      </c>
      <c r="L89" s="47">
        <f>Gulf!B89*Gulf!C89*Economy!Q89/1000000</f>
        <v/>
      </c>
      <c r="M89" s="68" t="n">
        <v>0.85</v>
      </c>
      <c r="N89" s="47">
        <f>IF(K89&gt;0,L89*1000000/K89,0)</f>
        <v/>
      </c>
      <c r="O89" s="64">
        <f>IF(AND(M89&gt;0,N88&gt;0,B89&gt;0),MIN(conv_cap,conv_beta*1*M89*MAX(0,LN(B89/(N88*P88)))),0)</f>
        <v/>
      </c>
      <c r="P89" s="65">
        <f>P88*(1+O89)</f>
        <v/>
      </c>
      <c r="Q89" s="47">
        <f>L89*P89</f>
        <v/>
      </c>
      <c r="R89" s="67">
        <f>IF(K89&gt;0,Q89*1000000/K89/Economy!Q89,0)</f>
        <v/>
      </c>
      <c r="S89" s="62">
        <f>People!U89</f>
        <v/>
      </c>
      <c r="T89" s="45" t="n">
        <v>1250</v>
      </c>
      <c r="U89" s="68" t="n">
        <v>0.738</v>
      </c>
      <c r="V89" s="47">
        <f>IF(S89&gt;0,T89*1000000/S89,0)</f>
        <v/>
      </c>
      <c r="W89" s="64">
        <f>IF(AND(U89&gt;0,V88&gt;0,B89&gt;0),MIN(conv_cap,conv_beta*1*U89*MAX(0,LN(B89/(V88*X88)))),0)</f>
        <v/>
      </c>
      <c r="X89" s="65">
        <f>X88*(1+W89)</f>
        <v/>
      </c>
      <c r="Y89" s="47">
        <f>T89*X89</f>
        <v/>
      </c>
      <c r="Z89" s="67">
        <f>IF(S89&gt;0,Y89*1000000/S89/Economy!Q89,0)</f>
        <v/>
      </c>
      <c r="AA89" s="45" t="n">
        <v>12000000</v>
      </c>
      <c r="AB89" s="45" t="n">
        <v>1500</v>
      </c>
      <c r="AC89" s="68" t="n">
        <v>0.607</v>
      </c>
      <c r="AD89" s="47">
        <f>IF(AA89&gt;0,AB89*1000000/AA89,0)</f>
        <v/>
      </c>
      <c r="AE89" s="64">
        <f>IF(AND(AC89&gt;0,AD88&gt;0,B89&gt;0),MIN(conv_cap,conv_beta*1*AC89*MAX(0,LN(B89/(AD88*AF88)))),0)</f>
        <v/>
      </c>
      <c r="AF89" s="65">
        <f>AF88*(1+AE89)</f>
        <v/>
      </c>
      <c r="AG89" s="47">
        <f>AB89*AF89</f>
        <v/>
      </c>
      <c r="AH89" s="67">
        <f>IF(AA89&gt;0,AG89*1000000/AA89/Economy!Q89,0)</f>
        <v/>
      </c>
      <c r="AI89" s="45" t="n">
        <v>490000000</v>
      </c>
      <c r="AJ89" s="45" t="n">
        <v>8000</v>
      </c>
      <c r="AK89" s="68" t="n">
        <v>0.35</v>
      </c>
      <c r="AL89" s="47">
        <f>IF(AI89&gt;0,AJ89*1000000/AI89,0)</f>
        <v/>
      </c>
      <c r="AM89" s="64">
        <f>IF(AND(AK89&gt;0,AL88&gt;0,B89&gt;0),MIN(conv_cap,conv_beta*1*AK89*MAX(0,LN(B89/(AL88*AN88)))),0)</f>
        <v/>
      </c>
      <c r="AN89" s="65">
        <f>AN88*(1+AM89)</f>
        <v/>
      </c>
      <c r="AO89" s="47">
        <f>AJ89*AN89</f>
        <v/>
      </c>
      <c r="AP89" s="67">
        <f>IF(AI89&gt;0,AO89*1000000/AI89/Economy!Q89,0)</f>
        <v/>
      </c>
      <c r="AQ89" s="45" t="n">
        <v>20000000</v>
      </c>
      <c r="AR89" s="45" t="n">
        <v>1000</v>
      </c>
      <c r="AS89" s="68" t="n">
        <v>0.6</v>
      </c>
      <c r="AT89" s="47">
        <f>IF(AQ89&gt;0,AR89*1000000/AQ89,0)</f>
        <v/>
      </c>
      <c r="AU89" s="64">
        <f>IF(AND(AS89&gt;0,AT88&gt;0,B89&gt;0),MIN(conv_cap,conv_beta*1*AS89*MAX(0,LN(B89/(AT88*AV88)))),0)</f>
        <v/>
      </c>
      <c r="AV89" s="65">
        <f>AV88*(1+AU89)</f>
        <v/>
      </c>
      <c r="AW89" s="47">
        <f>AR89*AV89</f>
        <v/>
      </c>
      <c r="AX89" s="67">
        <f>IF(AQ89&gt;0,AW89*1000000/AQ89/Economy!Q89,0)</f>
        <v/>
      </c>
      <c r="AY89" s="45" t="n">
        <v>125000000</v>
      </c>
      <c r="AZ89" s="45" t="n">
        <v>6000</v>
      </c>
      <c r="BA89" s="68" t="n">
        <v>0.25</v>
      </c>
      <c r="BB89" s="47">
        <f>IF(AY89&gt;0,AZ89*1000000/AY89,0)</f>
        <v/>
      </c>
      <c r="BC89" s="64">
        <f>IF(AND(BA89&gt;0,BB88&gt;0,B89&gt;0),MIN(conv_cap,conv_beta*1*BA89*MAX(0,LN(B89/(BB88*BD88)))),0)</f>
        <v/>
      </c>
      <c r="BD89" s="65">
        <f>BD88*(1+BC89)</f>
        <v/>
      </c>
      <c r="BE89" s="47">
        <f>AZ89*BD89</f>
        <v/>
      </c>
      <c r="BF89" s="67">
        <f>IF(AY89&gt;0,BE89*1000000/AY89/Economy!Q89,0)</f>
        <v/>
      </c>
      <c r="BG89" s="45" t="n">
        <v>46000000</v>
      </c>
      <c r="BH89" s="45" t="n">
        <v>7000</v>
      </c>
      <c r="BI89" s="68" t="n">
        <v>0.4</v>
      </c>
      <c r="BJ89" s="47">
        <f>IF(BG89&gt;0,BH89*1000000/BG89,0)</f>
        <v/>
      </c>
      <c r="BK89" s="64">
        <f>IF(AND(BI89&gt;0,BJ88&gt;0,B89&gt;0),MIN(conv_cap,conv_beta*1*BI89*MAX(0,LN(B89/(BJ88*BL88)))),0)</f>
        <v/>
      </c>
      <c r="BL89" s="65">
        <f>BL88*(1+BK89)</f>
        <v/>
      </c>
      <c r="BM89" s="47">
        <f>BH89*BL89</f>
        <v/>
      </c>
      <c r="BN89" s="67">
        <f>IF(BG89&gt;0,BM89*1000000/BG89/Economy!Q89,0)</f>
        <v/>
      </c>
      <c r="BO89" s="45" t="n">
        <v>19000000</v>
      </c>
      <c r="BP89" s="45" t="n">
        <v>1800</v>
      </c>
      <c r="BQ89" s="68" t="n">
        <v>0.2</v>
      </c>
      <c r="BR89" s="47">
        <f>IF(BO89&gt;0,BP89*1000000/BO89,0)</f>
        <v/>
      </c>
      <c r="BS89" s="64">
        <f>IF(AND(BQ89&gt;0,BR88&gt;0,B89&gt;0),MIN(conv_cap,conv_beta*1*BQ89*MAX(0,LN(B89/(BR88*BT88)))),0)</f>
        <v/>
      </c>
      <c r="BT89" s="65">
        <f>BT88*(1+BS89)</f>
        <v/>
      </c>
      <c r="BU89" s="47">
        <f>BP89*BT89</f>
        <v/>
      </c>
      <c r="BV89" s="67">
        <f>IF(BO89&gt;0,BU89*1000000/BO89/Economy!Q89,0)</f>
        <v/>
      </c>
      <c r="BW89" s="65">
        <f>0.25*IF(D89&gt;0,H89,1)+0.15*IF(AJ89&gt;0,AN89,1)+0.03*IF(AR89&gt;0,AV89,1)+0.08*IF(AZ89&gt;0,BD89,1)+0.12*IF(BH89&gt;0,BL89,1)+0.1*IF(L89&gt;0,P89,1)+0.07*IF(T89&gt;0,X89,1)+0.05*IF(AB89&gt;0,AF89,1)+0.05*IF(BP89&gt;0,BT89,1)+0.1</f>
        <v/>
      </c>
      <c r="BX89" s="63">
        <f>MIN(mkt_cap,mkt_elast*MAX(0,BW89-1))</f>
        <v/>
      </c>
      <c r="BY89" s="47">
        <f>I89+Q89+Y89+AG89</f>
        <v/>
      </c>
      <c r="BZ89" s="47">
        <f>D89+L89+T89+AB89</f>
        <v/>
      </c>
      <c r="CA89" s="65">
        <f>IF(BZ89&gt;0,BY89/BZ89,0)</f>
        <v/>
      </c>
    </row>
    <row r="90">
      <c r="A90" s="58" t="n">
        <v>1930</v>
      </c>
      <c r="B90" s="47">
        <f>Economy!P89</f>
        <v/>
      </c>
      <c r="C90" s="45" t="n">
        <v>64470000</v>
      </c>
      <c r="D90" s="62">
        <f>Japan!B90</f>
        <v/>
      </c>
      <c r="E90" s="68" t="n">
        <v>1</v>
      </c>
      <c r="F90" s="47">
        <f>IF(C90&gt;0,D90*1000000/C90,0)</f>
        <v/>
      </c>
      <c r="G90" s="64">
        <f>IF(AND(E90&gt;0,F89&gt;0,B90&gt;0),MIN(conv_cap,conv_beta*jp_uplift*E90*MAX(0,LN(B90/(F89*H89)))),0)</f>
        <v/>
      </c>
      <c r="H90" s="65">
        <f>H89*(1+G90)</f>
        <v/>
      </c>
      <c r="I90" s="47">
        <f>D90*H90</f>
        <v/>
      </c>
      <c r="J90" s="67">
        <f>IF(C90&gt;0,I90*1000000/C90/Economy!Q90,0)</f>
        <v/>
      </c>
      <c r="K90" s="62">
        <f>Gulf!B90</f>
        <v/>
      </c>
      <c r="L90" s="47">
        <f>Gulf!B90*Gulf!C90*Economy!Q90/1000000</f>
        <v/>
      </c>
      <c r="M90" s="68" t="n">
        <v>0.85</v>
      </c>
      <c r="N90" s="47">
        <f>IF(K90&gt;0,L90*1000000/K90,0)</f>
        <v/>
      </c>
      <c r="O90" s="64">
        <f>IF(AND(M90&gt;0,N89&gt;0,B90&gt;0),MIN(conv_cap,conv_beta*1*M90*MAX(0,LN(B90/(N89*P89)))),0)</f>
        <v/>
      </c>
      <c r="P90" s="65">
        <f>P89*(1+O90)</f>
        <v/>
      </c>
      <c r="Q90" s="47">
        <f>L90*P90</f>
        <v/>
      </c>
      <c r="R90" s="67">
        <f>IF(K90&gt;0,Q90*1000000/K90/Economy!Q90,0)</f>
        <v/>
      </c>
      <c r="S90" s="62">
        <f>People!U90</f>
        <v/>
      </c>
      <c r="T90" s="45" t="n">
        <v>1140</v>
      </c>
      <c r="U90" s="68" t="n">
        <v>0.742</v>
      </c>
      <c r="V90" s="47">
        <f>IF(S90&gt;0,T90*1000000/S90,0)</f>
        <v/>
      </c>
      <c r="W90" s="64">
        <f>IF(AND(U90&gt;0,V89&gt;0,B90&gt;0),MIN(conv_cap,conv_beta*1*U90*MAX(0,LN(B90/(V89*X89)))),0)</f>
        <v/>
      </c>
      <c r="X90" s="65">
        <f>X89*(1+W90)</f>
        <v/>
      </c>
      <c r="Y90" s="47">
        <f>T90*X90</f>
        <v/>
      </c>
      <c r="Z90" s="67">
        <f>IF(S90&gt;0,Y90*1000000/S90/Economy!Q90,0)</f>
        <v/>
      </c>
      <c r="AA90" s="45" t="n">
        <v>12170000</v>
      </c>
      <c r="AB90" s="45" t="n">
        <v>1400</v>
      </c>
      <c r="AC90" s="68" t="n">
        <v>0.621</v>
      </c>
      <c r="AD90" s="47">
        <f>IF(AA90&gt;0,AB90*1000000/AA90,0)</f>
        <v/>
      </c>
      <c r="AE90" s="64">
        <f>IF(AND(AC90&gt;0,AD89&gt;0,B90&gt;0),MIN(conv_cap,conv_beta*1*AC90*MAX(0,LN(B90/(AD89*AF89)))),0)</f>
        <v/>
      </c>
      <c r="AF90" s="65">
        <f>AF89*(1+AE90)</f>
        <v/>
      </c>
      <c r="AG90" s="47">
        <f>AB90*AF90</f>
        <v/>
      </c>
      <c r="AH90" s="67">
        <f>IF(AA90&gt;0,AG90*1000000/AA90/Economy!Q90,0)</f>
        <v/>
      </c>
      <c r="AI90" s="45" t="n">
        <v>493300000</v>
      </c>
      <c r="AJ90" s="45" t="n">
        <v>7667</v>
      </c>
      <c r="AK90" s="68" t="n">
        <v>0.35</v>
      </c>
      <c r="AL90" s="47">
        <f>IF(AI90&gt;0,AJ90*1000000/AI90,0)</f>
        <v/>
      </c>
      <c r="AM90" s="64">
        <f>IF(AND(AK90&gt;0,AL89&gt;0,B90&gt;0),MIN(conv_cap,conv_beta*1*AK90*MAX(0,LN(B90/(AL89*AN89)))),0)</f>
        <v/>
      </c>
      <c r="AN90" s="65">
        <f>AN89*(1+AM90)</f>
        <v/>
      </c>
      <c r="AO90" s="47">
        <f>AJ90*AN90</f>
        <v/>
      </c>
      <c r="AP90" s="67">
        <f>IF(AI90&gt;0,AO90*1000000/AI90/Economy!Q90,0)</f>
        <v/>
      </c>
      <c r="AQ90" s="45" t="n">
        <v>20330000</v>
      </c>
      <c r="AR90" s="45" t="n">
        <v>933</v>
      </c>
      <c r="AS90" s="68" t="n">
        <v>0.6</v>
      </c>
      <c r="AT90" s="47">
        <f>IF(AQ90&gt;0,AR90*1000000/AQ90,0)</f>
        <v/>
      </c>
      <c r="AU90" s="64">
        <f>IF(AND(AS90&gt;0,AT89&gt;0,B90&gt;0),MIN(conv_cap,conv_beta*1*AS90*MAX(0,LN(B90/(AT89*AV89)))),0)</f>
        <v/>
      </c>
      <c r="AV90" s="65">
        <f>AV89*(1+AU90)</f>
        <v/>
      </c>
      <c r="AW90" s="47">
        <f>AR90*AV90</f>
        <v/>
      </c>
      <c r="AX90" s="67">
        <f>IF(AQ90&gt;0,AW90*1000000/AQ90/Economy!Q90,0)</f>
        <v/>
      </c>
      <c r="AY90" s="45" t="n">
        <v>126700000</v>
      </c>
      <c r="AZ90" s="45" t="n">
        <v>5167</v>
      </c>
      <c r="BA90" s="68" t="n">
        <v>0.25</v>
      </c>
      <c r="BB90" s="47">
        <f>IF(AY90&gt;0,AZ90*1000000/AY90,0)</f>
        <v/>
      </c>
      <c r="BC90" s="64">
        <f>IF(AND(BA90&gt;0,BB89&gt;0,B90&gt;0),MIN(conv_cap,conv_beta*1*BA90*MAX(0,LN(B90/(BB89*BD89)))),0)</f>
        <v/>
      </c>
      <c r="BD90" s="65">
        <f>BD89*(1+BC90)</f>
        <v/>
      </c>
      <c r="BE90" s="47">
        <f>AZ90*BD90</f>
        <v/>
      </c>
      <c r="BF90" s="67">
        <f>IF(AY90&gt;0,BE90*1000000/AY90/Economy!Q90,0)</f>
        <v/>
      </c>
      <c r="BG90" s="45" t="n">
        <v>46700000</v>
      </c>
      <c r="BH90" s="45" t="n">
        <v>6000</v>
      </c>
      <c r="BI90" s="68" t="n">
        <v>0.4</v>
      </c>
      <c r="BJ90" s="47">
        <f>IF(BG90&gt;0,BH90*1000000/BG90,0)</f>
        <v/>
      </c>
      <c r="BK90" s="64">
        <f>IF(AND(BI90&gt;0,BJ89&gt;0,B90&gt;0),MIN(conv_cap,conv_beta*1*BI90*MAX(0,LN(B90/(BJ89*BL89)))),0)</f>
        <v/>
      </c>
      <c r="BL90" s="65">
        <f>BL89*(1+BK90)</f>
        <v/>
      </c>
      <c r="BM90" s="47">
        <f>BH90*BL90</f>
        <v/>
      </c>
      <c r="BN90" s="67">
        <f>IF(BG90&gt;0,BM90*1000000/BG90/Economy!Q90,0)</f>
        <v/>
      </c>
      <c r="BO90" s="45" t="n">
        <v>19300000</v>
      </c>
      <c r="BP90" s="45" t="n">
        <v>1667</v>
      </c>
      <c r="BQ90" s="68" t="n">
        <v>0.217</v>
      </c>
      <c r="BR90" s="47">
        <f>IF(BO90&gt;0,BP90*1000000/BO90,0)</f>
        <v/>
      </c>
      <c r="BS90" s="64">
        <f>IF(AND(BQ90&gt;0,BR89&gt;0,B90&gt;0),MIN(conv_cap,conv_beta*1*BQ90*MAX(0,LN(B90/(BR89*BT89)))),0)</f>
        <v/>
      </c>
      <c r="BT90" s="65">
        <f>BT89*(1+BS90)</f>
        <v/>
      </c>
      <c r="BU90" s="47">
        <f>BP90*BT90</f>
        <v/>
      </c>
      <c r="BV90" s="67">
        <f>IF(BO90&gt;0,BU90*1000000/BO90/Economy!Q90,0)</f>
        <v/>
      </c>
      <c r="BW90" s="65">
        <f>0.25*IF(D90&gt;0,H90,1)+0.15*IF(AJ90&gt;0,AN90,1)+0.03*IF(AR90&gt;0,AV90,1)+0.08*IF(AZ90&gt;0,BD90,1)+0.12*IF(BH90&gt;0,BL90,1)+0.1*IF(L90&gt;0,P90,1)+0.07*IF(T90&gt;0,X90,1)+0.05*IF(AB90&gt;0,AF90,1)+0.05*IF(BP90&gt;0,BT90,1)+0.1</f>
        <v/>
      </c>
      <c r="BX90" s="63">
        <f>MIN(mkt_cap,mkt_elast*MAX(0,BW90-1))</f>
        <v/>
      </c>
      <c r="BY90" s="47">
        <f>I90+Q90+Y90+AG90</f>
        <v/>
      </c>
      <c r="BZ90" s="47">
        <f>D90+L90+T90+AB90</f>
        <v/>
      </c>
      <c r="CA90" s="65">
        <f>IF(BZ90&gt;0,BY90/BZ90,0)</f>
        <v/>
      </c>
    </row>
    <row r="91">
      <c r="A91" s="58" t="n">
        <v>1931</v>
      </c>
      <c r="B91" s="47">
        <f>Economy!P90</f>
        <v/>
      </c>
      <c r="C91" s="45" t="n">
        <v>65430000</v>
      </c>
      <c r="D91" s="62">
        <f>Japan!B91</f>
        <v/>
      </c>
      <c r="E91" s="68" t="n">
        <v>1</v>
      </c>
      <c r="F91" s="47">
        <f>IF(C91&gt;0,D91*1000000/C91,0)</f>
        <v/>
      </c>
      <c r="G91" s="64">
        <f>IF(AND(E91&gt;0,F90&gt;0,B91&gt;0),MIN(conv_cap,conv_beta*jp_uplift*E91*MAX(0,LN(B91/(F90*H90)))),0)</f>
        <v/>
      </c>
      <c r="H91" s="65">
        <f>H90*(1+G91)</f>
        <v/>
      </c>
      <c r="I91" s="47">
        <f>D91*H91</f>
        <v/>
      </c>
      <c r="J91" s="67">
        <f>IF(C91&gt;0,I91*1000000/C91/Economy!Q91,0)</f>
        <v/>
      </c>
      <c r="K91" s="62">
        <f>Gulf!B91</f>
        <v/>
      </c>
      <c r="L91" s="47">
        <f>Gulf!B91*Gulf!C91*Economy!Q91/1000000</f>
        <v/>
      </c>
      <c r="M91" s="68" t="n">
        <v>0.85</v>
      </c>
      <c r="N91" s="47">
        <f>IF(K91&gt;0,L91*1000000/K91,0)</f>
        <v/>
      </c>
      <c r="O91" s="64">
        <f>IF(AND(M91&gt;0,N90&gt;0,B91&gt;0),MIN(conv_cap,conv_beta*1*M91*MAX(0,LN(B91/(N90*P90)))),0)</f>
        <v/>
      </c>
      <c r="P91" s="65">
        <f>P90*(1+O91)</f>
        <v/>
      </c>
      <c r="Q91" s="47">
        <f>L91*P91</f>
        <v/>
      </c>
      <c r="R91" s="67">
        <f>IF(K91&gt;0,Q91*1000000/K91/Economy!Q91,0)</f>
        <v/>
      </c>
      <c r="S91" s="62">
        <f>People!U91</f>
        <v/>
      </c>
      <c r="T91" s="45" t="n">
        <v>1030</v>
      </c>
      <c r="U91" s="68" t="n">
        <v>0.746</v>
      </c>
      <c r="V91" s="47">
        <f>IF(S91&gt;0,T91*1000000/S91,0)</f>
        <v/>
      </c>
      <c r="W91" s="64">
        <f>IF(AND(U91&gt;0,V90&gt;0,B91&gt;0),MIN(conv_cap,conv_beta*1*U91*MAX(0,LN(B91/(V90*X90)))),0)</f>
        <v/>
      </c>
      <c r="X91" s="65">
        <f>X90*(1+W91)</f>
        <v/>
      </c>
      <c r="Y91" s="47">
        <f>T91*X91</f>
        <v/>
      </c>
      <c r="Z91" s="67">
        <f>IF(S91&gt;0,Y91*1000000/S91/Economy!Q91,0)</f>
        <v/>
      </c>
      <c r="AA91" s="45" t="n">
        <v>12330000</v>
      </c>
      <c r="AB91" s="45" t="n">
        <v>1300</v>
      </c>
      <c r="AC91" s="68" t="n">
        <v>0.636</v>
      </c>
      <c r="AD91" s="47">
        <f>IF(AA91&gt;0,AB91*1000000/AA91,0)</f>
        <v/>
      </c>
      <c r="AE91" s="64">
        <f>IF(AND(AC91&gt;0,AD90&gt;0,B91&gt;0),MIN(conv_cap,conv_beta*1*AC91*MAX(0,LN(B91/(AD90*AF90)))),0)</f>
        <v/>
      </c>
      <c r="AF91" s="65">
        <f>AF90*(1+AE91)</f>
        <v/>
      </c>
      <c r="AG91" s="47">
        <f>AB91*AF91</f>
        <v/>
      </c>
      <c r="AH91" s="67">
        <f>IF(AA91&gt;0,AG91*1000000/AA91/Economy!Q91,0)</f>
        <v/>
      </c>
      <c r="AI91" s="45" t="n">
        <v>496700000</v>
      </c>
      <c r="AJ91" s="45" t="n">
        <v>7333</v>
      </c>
      <c r="AK91" s="68" t="n">
        <v>0.35</v>
      </c>
      <c r="AL91" s="47">
        <f>IF(AI91&gt;0,AJ91*1000000/AI91,0)</f>
        <v/>
      </c>
      <c r="AM91" s="64">
        <f>IF(AND(AK91&gt;0,AL90&gt;0,B91&gt;0),MIN(conv_cap,conv_beta*1*AK91*MAX(0,LN(B91/(AL90*AN90)))),0)</f>
        <v/>
      </c>
      <c r="AN91" s="65">
        <f>AN90*(1+AM91)</f>
        <v/>
      </c>
      <c r="AO91" s="47">
        <f>AJ91*AN91</f>
        <v/>
      </c>
      <c r="AP91" s="67">
        <f>IF(AI91&gt;0,AO91*1000000/AI91/Economy!Q91,0)</f>
        <v/>
      </c>
      <c r="AQ91" s="45" t="n">
        <v>20670000</v>
      </c>
      <c r="AR91" s="45" t="n">
        <v>867</v>
      </c>
      <c r="AS91" s="68" t="n">
        <v>0.6</v>
      </c>
      <c r="AT91" s="47">
        <f>IF(AQ91&gt;0,AR91*1000000/AQ91,0)</f>
        <v/>
      </c>
      <c r="AU91" s="64">
        <f>IF(AND(AS91&gt;0,AT90&gt;0,B91&gt;0),MIN(conv_cap,conv_beta*1*AS91*MAX(0,LN(B91/(AT90*AV90)))),0)</f>
        <v/>
      </c>
      <c r="AV91" s="65">
        <f>AV90*(1+AU91)</f>
        <v/>
      </c>
      <c r="AW91" s="47">
        <f>AR91*AV91</f>
        <v/>
      </c>
      <c r="AX91" s="67">
        <f>IF(AQ91&gt;0,AW91*1000000/AQ91/Economy!Q91,0)</f>
        <v/>
      </c>
      <c r="AY91" s="45" t="n">
        <v>128300000</v>
      </c>
      <c r="AZ91" s="45" t="n">
        <v>4333</v>
      </c>
      <c r="BA91" s="68" t="n">
        <v>0.25</v>
      </c>
      <c r="BB91" s="47">
        <f>IF(AY91&gt;0,AZ91*1000000/AY91,0)</f>
        <v/>
      </c>
      <c r="BC91" s="64">
        <f>IF(AND(BA91&gt;0,BB90&gt;0,B91&gt;0),MIN(conv_cap,conv_beta*1*BA91*MAX(0,LN(B91/(BB90*BD90)))),0)</f>
        <v/>
      </c>
      <c r="BD91" s="65">
        <f>BD90*(1+BC91)</f>
        <v/>
      </c>
      <c r="BE91" s="47">
        <f>AZ91*BD91</f>
        <v/>
      </c>
      <c r="BF91" s="67">
        <f>IF(AY91&gt;0,BE91*1000000/AY91/Economy!Q91,0)</f>
        <v/>
      </c>
      <c r="BG91" s="45" t="n">
        <v>47300000</v>
      </c>
      <c r="BH91" s="45" t="n">
        <v>5000</v>
      </c>
      <c r="BI91" s="68" t="n">
        <v>0.4</v>
      </c>
      <c r="BJ91" s="47">
        <f>IF(BG91&gt;0,BH91*1000000/BG91,0)</f>
        <v/>
      </c>
      <c r="BK91" s="64">
        <f>IF(AND(BI91&gt;0,BJ90&gt;0,B91&gt;0),MIN(conv_cap,conv_beta*1*BI91*MAX(0,LN(B91/(BJ90*BL90)))),0)</f>
        <v/>
      </c>
      <c r="BL91" s="65">
        <f>BL90*(1+BK91)</f>
        <v/>
      </c>
      <c r="BM91" s="47">
        <f>BH91*BL91</f>
        <v/>
      </c>
      <c r="BN91" s="67">
        <f>IF(BG91&gt;0,BM91*1000000/BG91/Economy!Q91,0)</f>
        <v/>
      </c>
      <c r="BO91" s="45" t="n">
        <v>19700000</v>
      </c>
      <c r="BP91" s="45" t="n">
        <v>1533</v>
      </c>
      <c r="BQ91" s="68" t="n">
        <v>0.233</v>
      </c>
      <c r="BR91" s="47">
        <f>IF(BO91&gt;0,BP91*1000000/BO91,0)</f>
        <v/>
      </c>
      <c r="BS91" s="64">
        <f>IF(AND(BQ91&gt;0,BR90&gt;0,B91&gt;0),MIN(conv_cap,conv_beta*1*BQ91*MAX(0,LN(B91/(BR90*BT90)))),0)</f>
        <v/>
      </c>
      <c r="BT91" s="65">
        <f>BT90*(1+BS91)</f>
        <v/>
      </c>
      <c r="BU91" s="47">
        <f>BP91*BT91</f>
        <v/>
      </c>
      <c r="BV91" s="67">
        <f>IF(BO91&gt;0,BU91*1000000/BO91/Economy!Q91,0)</f>
        <v/>
      </c>
      <c r="BW91" s="65">
        <f>0.25*IF(D91&gt;0,H91,1)+0.15*IF(AJ91&gt;0,AN91,1)+0.03*IF(AR91&gt;0,AV91,1)+0.08*IF(AZ91&gt;0,BD91,1)+0.12*IF(BH91&gt;0,BL91,1)+0.1*IF(L91&gt;0,P91,1)+0.07*IF(T91&gt;0,X91,1)+0.05*IF(AB91&gt;0,AF91,1)+0.05*IF(BP91&gt;0,BT91,1)+0.1</f>
        <v/>
      </c>
      <c r="BX91" s="63">
        <f>MIN(mkt_cap,mkt_elast*MAX(0,BW91-1))</f>
        <v/>
      </c>
      <c r="BY91" s="47">
        <f>I91+Q91+Y91+AG91</f>
        <v/>
      </c>
      <c r="BZ91" s="47">
        <f>D91+L91+T91+AB91</f>
        <v/>
      </c>
      <c r="CA91" s="65">
        <f>IF(BZ91&gt;0,BY91/BZ91,0)</f>
        <v/>
      </c>
    </row>
    <row r="92">
      <c r="A92" s="58" t="n">
        <v>1932</v>
      </c>
      <c r="B92" s="47">
        <f>Economy!P91</f>
        <v/>
      </c>
      <c r="C92" s="45" t="n">
        <v>66400000</v>
      </c>
      <c r="D92" s="62">
        <f>Japan!B92</f>
        <v/>
      </c>
      <c r="E92" s="68" t="n">
        <v>1</v>
      </c>
      <c r="F92" s="47">
        <f>IF(C92&gt;0,D92*1000000/C92,0)</f>
        <v/>
      </c>
      <c r="G92" s="64">
        <f>IF(AND(E92&gt;0,F91&gt;0,B92&gt;0),MIN(conv_cap,conv_beta*jp_uplift*E92*MAX(0,LN(B92/(F91*H91)))),0)</f>
        <v/>
      </c>
      <c r="H92" s="65">
        <f>H91*(1+G92)</f>
        <v/>
      </c>
      <c r="I92" s="47">
        <f>D92*H92</f>
        <v/>
      </c>
      <c r="J92" s="67">
        <f>IF(C92&gt;0,I92*1000000/C92/Economy!Q92,0)</f>
        <v/>
      </c>
      <c r="K92" s="62">
        <f>Gulf!B92</f>
        <v/>
      </c>
      <c r="L92" s="47">
        <f>Gulf!B92*Gulf!C92*Economy!Q92/1000000</f>
        <v/>
      </c>
      <c r="M92" s="68" t="n">
        <v>0.85</v>
      </c>
      <c r="N92" s="47">
        <f>IF(K92&gt;0,L92*1000000/K92,0)</f>
        <v/>
      </c>
      <c r="O92" s="64">
        <f>IF(AND(M92&gt;0,N91&gt;0,B92&gt;0),MIN(conv_cap,conv_beta*1*M92*MAX(0,LN(B92/(N91*P91)))),0)</f>
        <v/>
      </c>
      <c r="P92" s="65">
        <f>P91*(1+O92)</f>
        <v/>
      </c>
      <c r="Q92" s="47">
        <f>L92*P92</f>
        <v/>
      </c>
      <c r="R92" s="67">
        <f>IF(K92&gt;0,Q92*1000000/K92/Economy!Q92,0)</f>
        <v/>
      </c>
      <c r="S92" s="62">
        <f>People!U92</f>
        <v/>
      </c>
      <c r="T92" s="45" t="n">
        <v>920</v>
      </c>
      <c r="U92" s="68" t="n">
        <v>0.75</v>
      </c>
      <c r="V92" s="47">
        <f>IF(S92&gt;0,T92*1000000/S92,0)</f>
        <v/>
      </c>
      <c r="W92" s="64">
        <f>IF(AND(U92&gt;0,V91&gt;0,B92&gt;0),MIN(conv_cap,conv_beta*1*U92*MAX(0,LN(B92/(V91*X91)))),0)</f>
        <v/>
      </c>
      <c r="X92" s="65">
        <f>X91*(1+W92)</f>
        <v/>
      </c>
      <c r="Y92" s="47">
        <f>T92*X92</f>
        <v/>
      </c>
      <c r="Z92" s="67">
        <f>IF(S92&gt;0,Y92*1000000/S92/Economy!Q92,0)</f>
        <v/>
      </c>
      <c r="AA92" s="45" t="n">
        <v>12500000</v>
      </c>
      <c r="AB92" s="45" t="n">
        <v>1200</v>
      </c>
      <c r="AC92" s="68" t="n">
        <v>0.65</v>
      </c>
      <c r="AD92" s="47">
        <f>IF(AA92&gt;0,AB92*1000000/AA92,0)</f>
        <v/>
      </c>
      <c r="AE92" s="64">
        <f>IF(AND(AC92&gt;0,AD91&gt;0,B92&gt;0),MIN(conv_cap,conv_beta*1*AC92*MAX(0,LN(B92/(AD91*AF91)))),0)</f>
        <v/>
      </c>
      <c r="AF92" s="65">
        <f>AF91*(1+AE92)</f>
        <v/>
      </c>
      <c r="AG92" s="47">
        <f>AB92*AF92</f>
        <v/>
      </c>
      <c r="AH92" s="67">
        <f>IF(AA92&gt;0,AG92*1000000/AA92/Economy!Q92,0)</f>
        <v/>
      </c>
      <c r="AI92" s="45" t="n">
        <v>500000000</v>
      </c>
      <c r="AJ92" s="45" t="n">
        <v>7000</v>
      </c>
      <c r="AK92" s="68" t="n">
        <v>0.35</v>
      </c>
      <c r="AL92" s="47">
        <f>IF(AI92&gt;0,AJ92*1000000/AI92,0)</f>
        <v/>
      </c>
      <c r="AM92" s="64">
        <f>IF(AND(AK92&gt;0,AL91&gt;0,B92&gt;0),MIN(conv_cap,conv_beta*1*AK92*MAX(0,LN(B92/(AL91*AN91)))),0)</f>
        <v/>
      </c>
      <c r="AN92" s="65">
        <f>AN91*(1+AM92)</f>
        <v/>
      </c>
      <c r="AO92" s="47">
        <f>AJ92*AN92</f>
        <v/>
      </c>
      <c r="AP92" s="67">
        <f>IF(AI92&gt;0,AO92*1000000/AI92/Economy!Q92,0)</f>
        <v/>
      </c>
      <c r="AQ92" s="45" t="n">
        <v>21000000</v>
      </c>
      <c r="AR92" s="45" t="n">
        <v>800</v>
      </c>
      <c r="AS92" s="68" t="n">
        <v>0.6</v>
      </c>
      <c r="AT92" s="47">
        <f>IF(AQ92&gt;0,AR92*1000000/AQ92,0)</f>
        <v/>
      </c>
      <c r="AU92" s="64">
        <f>IF(AND(AS92&gt;0,AT91&gt;0,B92&gt;0),MIN(conv_cap,conv_beta*1*AS92*MAX(0,LN(B92/(AT91*AV91)))),0)</f>
        <v/>
      </c>
      <c r="AV92" s="65">
        <f>AV91*(1+AU92)</f>
        <v/>
      </c>
      <c r="AW92" s="47">
        <f>AR92*AV92</f>
        <v/>
      </c>
      <c r="AX92" s="67">
        <f>IF(AQ92&gt;0,AW92*1000000/AQ92/Economy!Q92,0)</f>
        <v/>
      </c>
      <c r="AY92" s="45" t="n">
        <v>130000000</v>
      </c>
      <c r="AZ92" s="45" t="n">
        <v>3500</v>
      </c>
      <c r="BA92" s="68" t="n">
        <v>0.25</v>
      </c>
      <c r="BB92" s="47">
        <f>IF(AY92&gt;0,AZ92*1000000/AY92,0)</f>
        <v/>
      </c>
      <c r="BC92" s="64">
        <f>IF(AND(BA92&gt;0,BB91&gt;0,B92&gt;0),MIN(conv_cap,conv_beta*1*BA92*MAX(0,LN(B92/(BB91*BD91)))),0)</f>
        <v/>
      </c>
      <c r="BD92" s="65">
        <f>BD91*(1+BC92)</f>
        <v/>
      </c>
      <c r="BE92" s="47">
        <f>AZ92*BD92</f>
        <v/>
      </c>
      <c r="BF92" s="67">
        <f>IF(AY92&gt;0,BE92*1000000/AY92/Economy!Q92,0)</f>
        <v/>
      </c>
      <c r="BG92" s="45" t="n">
        <v>48000000</v>
      </c>
      <c r="BH92" s="45" t="n">
        <v>4000</v>
      </c>
      <c r="BI92" s="68" t="n">
        <v>0.4</v>
      </c>
      <c r="BJ92" s="47">
        <f>IF(BG92&gt;0,BH92*1000000/BG92,0)</f>
        <v/>
      </c>
      <c r="BK92" s="64">
        <f>IF(AND(BI92&gt;0,BJ91&gt;0,B92&gt;0),MIN(conv_cap,conv_beta*1*BI92*MAX(0,LN(B92/(BJ91*BL91)))),0)</f>
        <v/>
      </c>
      <c r="BL92" s="65">
        <f>BL91*(1+BK92)</f>
        <v/>
      </c>
      <c r="BM92" s="47">
        <f>BH92*BL92</f>
        <v/>
      </c>
      <c r="BN92" s="67">
        <f>IF(BG92&gt;0,BM92*1000000/BG92/Economy!Q92,0)</f>
        <v/>
      </c>
      <c r="BO92" s="45" t="n">
        <v>20000000</v>
      </c>
      <c r="BP92" s="45" t="n">
        <v>1400</v>
      </c>
      <c r="BQ92" s="68" t="n">
        <v>0.25</v>
      </c>
      <c r="BR92" s="47">
        <f>IF(BO92&gt;0,BP92*1000000/BO92,0)</f>
        <v/>
      </c>
      <c r="BS92" s="64">
        <f>IF(AND(BQ92&gt;0,BR91&gt;0,B92&gt;0),MIN(conv_cap,conv_beta*1*BQ92*MAX(0,LN(B92/(BR91*BT91)))),0)</f>
        <v/>
      </c>
      <c r="BT92" s="65">
        <f>BT91*(1+BS92)</f>
        <v/>
      </c>
      <c r="BU92" s="47">
        <f>BP92*BT92</f>
        <v/>
      </c>
      <c r="BV92" s="67">
        <f>IF(BO92&gt;0,BU92*1000000/BO92/Economy!Q92,0)</f>
        <v/>
      </c>
      <c r="BW92" s="65">
        <f>0.25*IF(D92&gt;0,H92,1)+0.15*IF(AJ92&gt;0,AN92,1)+0.03*IF(AR92&gt;0,AV92,1)+0.08*IF(AZ92&gt;0,BD92,1)+0.12*IF(BH92&gt;0,BL92,1)+0.1*IF(L92&gt;0,P92,1)+0.07*IF(T92&gt;0,X92,1)+0.05*IF(AB92&gt;0,AF92,1)+0.05*IF(BP92&gt;0,BT92,1)+0.1</f>
        <v/>
      </c>
      <c r="BX92" s="63">
        <f>MIN(mkt_cap,mkt_elast*MAX(0,BW92-1))</f>
        <v/>
      </c>
      <c r="BY92" s="47">
        <f>I92+Q92+Y92+AG92</f>
        <v/>
      </c>
      <c r="BZ92" s="47">
        <f>D92+L92+T92+AB92</f>
        <v/>
      </c>
      <c r="CA92" s="65">
        <f>IF(BZ92&gt;0,BY92/BZ92,0)</f>
        <v/>
      </c>
    </row>
  </sheetData>
  <mergeCells count="11">
    <mergeCell ref="C4:J4"/>
    <mergeCell ref="BO4:BV4"/>
    <mergeCell ref="AA4:AH4"/>
    <mergeCell ref="AQ4:AX4"/>
    <mergeCell ref="AI4:AP4"/>
    <mergeCell ref="BG4:BN4"/>
    <mergeCell ref="BW4:BX4"/>
    <mergeCell ref="AY4:BF4"/>
    <mergeCell ref="BY4:CA4"/>
    <mergeCell ref="K4:R4"/>
    <mergeCell ref="S4:Z4"/>
  </mergeCells>
  <pageMargins left="0.75" right="0.75" top="1" bottom="1" header="0.5" footer="0.5"/>
  <pageSetup orientation="landscape" fitToHeight="0" fitToWidth="1"/>
  <legacyDrawing xmlns:r="http://schemas.openxmlformats.org/officeDocument/2006/relationships" r:id="anysvml"/>
</worksheet>
</file>

<file path=xl/worksheets/sheet20.xml><?xml version="1.0" encoding="utf-8"?>
<worksheet xmlns="http://schemas.openxmlformats.org/spreadsheetml/2006/main">
  <sheetPr>
    <tabColor rgb="007030A0"/>
    <outlinePr summaryBelow="1" summaryRight="1"/>
    <pageSetUpPr fitToPage="1"/>
  </sheetPr>
  <dimension ref="A1:AF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12.5" customWidth="1" min="28" max="28"/>
    <col width="12.5" customWidth="1" min="29" max="29"/>
    <col width="12.5" customWidth="1" min="30" max="30"/>
    <col width="12.5" customWidth="1" min="31" max="31"/>
    <col width="12.5" customWidth="1" min="32" max="32"/>
  </cols>
  <sheetData>
    <row r="1">
      <c r="A1" s="18" t="inlineStr">
        <is>
          <t>Gulf Republic and the admission test</t>
        </is>
      </c>
    </row>
    <row r="2">
      <c r="A2" s="2" t="inlineStr">
        <is>
          <t>The six §25 indicators against the bar, and what the Gulf adds if it joins. Switch it on Levers (Gulf Republic).</t>
        </is>
      </c>
    </row>
    <row r="3">
      <c r="A3" s="19" t="inlineStr">
        <is>
          <t>Years run down the page. Blue = input you can change · black = formula · green = link to another sheet. Hover a column heading for its definition.</t>
        </is>
      </c>
    </row>
    <row r="4">
      <c r="B4" s="56" t="inlineStr">
        <is>
          <t>Economy</t>
        </is>
      </c>
      <c r="F4" s="56" t="inlineStr">
        <is>
          <t>Admission indicators (§25)</t>
        </is>
      </c>
      <c r="U4" s="56" t="inlineStr">
        <is>
          <t>Test</t>
        </is>
      </c>
    </row>
    <row r="5" ht="54" customHeight="1">
      <c r="A5" s="57" t="inlineStr">
        <is>
          <t>Year</t>
        </is>
      </c>
      <c r="B5" s="6" t="inlineStr">
        <is>
          <t>Residents</t>
        </is>
      </c>
      <c r="C5" s="6" t="inlineStr">
        <is>
          <t>Output per person vs the US, historical</t>
        </is>
      </c>
      <c r="D5" s="6" t="inlineStr">
        <is>
          <t>GDP ($m)</t>
        </is>
      </c>
      <c r="E5" s="6" t="inlineStr">
        <is>
          <t>Member of Pacifica (1/0)</t>
        </is>
      </c>
      <c r="F5" s="6" t="inlineStr">
        <is>
          <t>Gulf: Infant deaths per 1,000 births</t>
        </is>
      </c>
      <c r="G5" s="6" t="inlineStr">
        <is>
          <t>Bar: weakest member (Infant deaths per 1,000 births)</t>
        </is>
      </c>
      <c r="H5" s="6" t="inlineStr">
        <is>
          <t>Gulf: Literacy, age 10+</t>
        </is>
      </c>
      <c r="I5" s="6" t="inlineStr">
        <is>
          <t>Bar: weakest member (Literacy, age 10+)</t>
        </is>
      </c>
      <c r="J5" s="6" t="inlineStr">
        <is>
          <t>Gulf: Unskilled real wage (bar = 100%)</t>
        </is>
      </c>
      <c r="K5" s="6" t="inlineStr">
        <is>
          <t>Bar: weakest member (Unskilled real wage (bar = 100%))</t>
        </is>
      </c>
      <c r="L5" s="6" t="inlineStr">
        <is>
          <t>Gulf: Homicides per 100,000</t>
        </is>
      </c>
      <c r="M5" s="6" t="inlineStr">
        <is>
          <t>Bar: weakest member (Homicides per 100,000)</t>
        </is>
      </c>
      <c r="N5" s="6" t="inlineStr">
        <is>
          <t>Gulf: Typhoid deaths per 100,000</t>
        </is>
      </c>
      <c r="O5" s="6" t="inlineStr">
        <is>
          <t>Bar: weakest member (Typhoid deaths per 100,000)</t>
        </is>
      </c>
      <c r="P5" s="6" t="inlineStr">
        <is>
          <t>Gulf: Black / white infant mortality</t>
        </is>
      </c>
      <c r="Q5" s="6" t="inlineStr">
        <is>
          <t>Parity bar (Black / white infant mortality)</t>
        </is>
      </c>
      <c r="R5" s="6" t="inlineStr">
        <is>
          <t>Gulf: Black / white pass rate, Defense Law examination</t>
        </is>
      </c>
      <c r="S5" s="6" t="inlineStr">
        <is>
          <t>Parity bar (Black / white pass rate, Defense Law examination)</t>
        </is>
      </c>
      <c r="T5" s="6" t="inlineStr">
        <is>
          <t>Gulf real wage after the oil glut</t>
        </is>
      </c>
      <c r="U5" s="6" t="inlineStr">
        <is>
          <t>Passes: Infant deaths per 1</t>
        </is>
      </c>
      <c r="V5" s="6" t="inlineStr">
        <is>
          <t>Passes: Literacy</t>
        </is>
      </c>
      <c r="W5" s="6" t="inlineStr">
        <is>
          <t>Passes: Unskilled real wage</t>
        </is>
      </c>
      <c r="X5" s="6" t="inlineStr">
        <is>
          <t>Passes: Homicides per 100</t>
        </is>
      </c>
      <c r="Y5" s="6" t="inlineStr">
        <is>
          <t>Passes: Typhoid deaths per 100</t>
        </is>
      </c>
      <c r="Z5" s="6" t="inlineStr">
        <is>
          <t>Passes: Black / white infant mortality</t>
        </is>
      </c>
      <c r="AA5" s="6" t="inlineStr">
        <is>
          <t>Passes: Black / white pass rate</t>
        </is>
      </c>
      <c r="AB5" s="6" t="inlineStr">
        <is>
          <t>The five general measures pass</t>
        </is>
      </c>
      <c r="AC5" s="6" t="inlineStr">
        <is>
          <t>Both parity measures pass</t>
        </is>
      </c>
      <c r="AD5" s="6" t="inlineStr">
        <is>
          <t>Everything passes</t>
        </is>
      </c>
      <c r="AE5" s="6" t="inlineStr">
        <is>
          <t>Passing years in a row</t>
        </is>
      </c>
      <c r="AF5" s="6" t="inlineStr">
        <is>
          <t>May join this year (a generation of passing years before)</t>
        </is>
      </c>
    </row>
    <row r="6">
      <c r="A6" s="58" t="n">
        <v>1846</v>
      </c>
      <c r="B6" s="45" t="n">
        <v>0</v>
      </c>
      <c r="C6" s="68" t="n">
        <v>0</v>
      </c>
      <c r="D6" s="47">
        <f>Partners!Q6*(1-IF(AND(OR(oil_compact=0,$A6&lt;compact_year),OR($A6=1931,$A6=1932)),gulf_glut_gdp,0))</f>
        <v/>
      </c>
      <c r="E6" s="47">
        <f>IF(AND(gulf_on=1,$A6&gt;=gulf_year),1,0)</f>
        <v/>
      </c>
      <c r="F6" s="45" t="n">
        <v>0</v>
      </c>
      <c r="G6" s="45" t="n">
        <v>0</v>
      </c>
      <c r="H6" s="59" t="n">
        <v>0</v>
      </c>
      <c r="I6" s="59" t="n">
        <v>0</v>
      </c>
      <c r="J6" s="59" t="n">
        <v>0</v>
      </c>
      <c r="K6" s="59" t="n">
        <v>0</v>
      </c>
      <c r="L6" s="52" t="n">
        <v>0</v>
      </c>
      <c r="M6" s="52" t="n">
        <v>0</v>
      </c>
      <c r="N6" s="52" t="n">
        <v>0</v>
      </c>
      <c r="O6" s="52" t="n">
        <v>0</v>
      </c>
      <c r="P6" s="68" t="n">
        <v>0</v>
      </c>
      <c r="Q6" s="68" t="n">
        <v>0</v>
      </c>
      <c r="R6" s="68" t="n">
        <v>0</v>
      </c>
      <c r="S6" s="68" t="n">
        <v>0</v>
      </c>
      <c r="T6" s="63">
        <f>J6-IF(AND(OR(oil_compact=0,$A6&lt;compact_year),$A6&gt;=1931,$A6&lt;=1933),gulf_wage_dip,0)</f>
        <v/>
      </c>
      <c r="U6" s="47">
        <f>IF($A6&lt;1900,0,IF(F6&lt;=G6,1,0))</f>
        <v/>
      </c>
      <c r="V6" s="47">
        <f>IF($A6&lt;1900,0,IF(H6&gt;=I6,1,0))</f>
        <v/>
      </c>
      <c r="W6" s="47">
        <f>IF($A6&lt;1900,0,IF(T6&gt;=K6,1,0))</f>
        <v/>
      </c>
      <c r="X6" s="47">
        <f>IF($A6&lt;1900,0,IF(L6&lt;=M6,1,0))</f>
        <v/>
      </c>
      <c r="Y6" s="47">
        <f>IF($A6&lt;1900,0,IF(N6&lt;=O6,1,0))</f>
        <v/>
      </c>
      <c r="Z6" s="47">
        <f>IF($A6&lt;1900,0,IF(P6&lt;=Q6,1,0))</f>
        <v/>
      </c>
      <c r="AA6" s="47">
        <f>IF($A6&lt;1900,0,IF(R6&gt;=S6,1,0))</f>
        <v/>
      </c>
      <c r="AB6" s="47">
        <f>IF(SUM(U6:Y6)=5,1,0)</f>
        <v/>
      </c>
      <c r="AC6" s="47">
        <f>IF(Z6+AA6=2,1,0)</f>
        <v/>
      </c>
      <c r="AD6" s="47">
        <f>IF(AND(AB6=1,AC6=1),1,0)</f>
        <v/>
      </c>
      <c r="AE6" s="47">
        <f>0</f>
        <v/>
      </c>
      <c r="AF6" s="47">
        <f>0</f>
        <v/>
      </c>
    </row>
    <row r="7">
      <c r="A7" s="58" t="n">
        <v>1847</v>
      </c>
      <c r="B7" s="45" t="n">
        <v>0</v>
      </c>
      <c r="C7" s="68" t="n">
        <v>0</v>
      </c>
      <c r="D7" s="47">
        <f>Partners!Q7*(1-IF(AND(OR(oil_compact=0,$A7&lt;compact_year),OR($A7=1931,$A7=1932)),gulf_glut_gdp,0))</f>
        <v/>
      </c>
      <c r="E7" s="47">
        <f>IF(AND(gulf_on=1,$A7&gt;=gulf_year),1,0)</f>
        <v/>
      </c>
      <c r="F7" s="45" t="n">
        <v>0</v>
      </c>
      <c r="G7" s="45" t="n">
        <v>0</v>
      </c>
      <c r="H7" s="59" t="n">
        <v>0</v>
      </c>
      <c r="I7" s="59" t="n">
        <v>0</v>
      </c>
      <c r="J7" s="59" t="n">
        <v>0</v>
      </c>
      <c r="K7" s="59" t="n">
        <v>0</v>
      </c>
      <c r="L7" s="52" t="n">
        <v>0</v>
      </c>
      <c r="M7" s="52" t="n">
        <v>0</v>
      </c>
      <c r="N7" s="52" t="n">
        <v>0</v>
      </c>
      <c r="O7" s="52" t="n">
        <v>0</v>
      </c>
      <c r="P7" s="68" t="n">
        <v>0</v>
      </c>
      <c r="Q7" s="68" t="n">
        <v>0</v>
      </c>
      <c r="R7" s="68" t="n">
        <v>0</v>
      </c>
      <c r="S7" s="68" t="n">
        <v>0</v>
      </c>
      <c r="T7" s="63">
        <f>J7-IF(AND(OR(oil_compact=0,$A7&lt;compact_year),$A7&gt;=1931,$A7&lt;=1933),gulf_wage_dip,0)</f>
        <v/>
      </c>
      <c r="U7" s="47">
        <f>IF($A7&lt;1900,0,IF(F7&lt;=G7,1,0))</f>
        <v/>
      </c>
      <c r="V7" s="47">
        <f>IF($A7&lt;1900,0,IF(H7&gt;=I7,1,0))</f>
        <v/>
      </c>
      <c r="W7" s="47">
        <f>IF($A7&lt;1900,0,IF(T7&gt;=K7,1,0))</f>
        <v/>
      </c>
      <c r="X7" s="47">
        <f>IF($A7&lt;1900,0,IF(L7&lt;=M7,1,0))</f>
        <v/>
      </c>
      <c r="Y7" s="47">
        <f>IF($A7&lt;1900,0,IF(N7&lt;=O7,1,0))</f>
        <v/>
      </c>
      <c r="Z7" s="47">
        <f>IF($A7&lt;1900,0,IF(P7&lt;=Q7,1,0))</f>
        <v/>
      </c>
      <c r="AA7" s="47">
        <f>IF($A7&lt;1900,0,IF(R7&gt;=S7,1,0))</f>
        <v/>
      </c>
      <c r="AB7" s="47">
        <f>IF(SUM(U7:Y7)=5,1,0)</f>
        <v/>
      </c>
      <c r="AC7" s="47">
        <f>IF(Z7+AA7=2,1,0)</f>
        <v/>
      </c>
      <c r="AD7" s="47">
        <f>IF(AND(AB7=1,AC7=1),1,0)</f>
        <v/>
      </c>
      <c r="AE7" s="47">
        <f>IF(AD7=1,AE6+1,0)</f>
        <v/>
      </c>
      <c r="AF7" s="47">
        <f>IF(AE6&gt;=gulf_years_req,1,0)</f>
        <v/>
      </c>
    </row>
    <row r="8">
      <c r="A8" s="58" t="n">
        <v>1848</v>
      </c>
      <c r="B8" s="45" t="n">
        <v>0</v>
      </c>
      <c r="C8" s="68" t="n">
        <v>0</v>
      </c>
      <c r="D8" s="47">
        <f>Partners!Q8*(1-IF(AND(OR(oil_compact=0,$A8&lt;compact_year),OR($A8=1931,$A8=1932)),gulf_glut_gdp,0))</f>
        <v/>
      </c>
      <c r="E8" s="47">
        <f>IF(AND(gulf_on=1,$A8&gt;=gulf_year),1,0)</f>
        <v/>
      </c>
      <c r="F8" s="45" t="n">
        <v>0</v>
      </c>
      <c r="G8" s="45" t="n">
        <v>0</v>
      </c>
      <c r="H8" s="59" t="n">
        <v>0</v>
      </c>
      <c r="I8" s="59" t="n">
        <v>0</v>
      </c>
      <c r="J8" s="59" t="n">
        <v>0</v>
      </c>
      <c r="K8" s="59" t="n">
        <v>0</v>
      </c>
      <c r="L8" s="52" t="n">
        <v>0</v>
      </c>
      <c r="M8" s="52" t="n">
        <v>0</v>
      </c>
      <c r="N8" s="52" t="n">
        <v>0</v>
      </c>
      <c r="O8" s="52" t="n">
        <v>0</v>
      </c>
      <c r="P8" s="68" t="n">
        <v>0</v>
      </c>
      <c r="Q8" s="68" t="n">
        <v>0</v>
      </c>
      <c r="R8" s="68" t="n">
        <v>0</v>
      </c>
      <c r="S8" s="68" t="n">
        <v>0</v>
      </c>
      <c r="T8" s="63">
        <f>J8-IF(AND(OR(oil_compact=0,$A8&lt;compact_year),$A8&gt;=1931,$A8&lt;=1933),gulf_wage_dip,0)</f>
        <v/>
      </c>
      <c r="U8" s="47">
        <f>IF($A8&lt;1900,0,IF(F8&lt;=G8,1,0))</f>
        <v/>
      </c>
      <c r="V8" s="47">
        <f>IF($A8&lt;1900,0,IF(H8&gt;=I8,1,0))</f>
        <v/>
      </c>
      <c r="W8" s="47">
        <f>IF($A8&lt;1900,0,IF(T8&gt;=K8,1,0))</f>
        <v/>
      </c>
      <c r="X8" s="47">
        <f>IF($A8&lt;1900,0,IF(L8&lt;=M8,1,0))</f>
        <v/>
      </c>
      <c r="Y8" s="47">
        <f>IF($A8&lt;1900,0,IF(N8&lt;=O8,1,0))</f>
        <v/>
      </c>
      <c r="Z8" s="47">
        <f>IF($A8&lt;1900,0,IF(P8&lt;=Q8,1,0))</f>
        <v/>
      </c>
      <c r="AA8" s="47">
        <f>IF($A8&lt;1900,0,IF(R8&gt;=S8,1,0))</f>
        <v/>
      </c>
      <c r="AB8" s="47">
        <f>IF(SUM(U8:Y8)=5,1,0)</f>
        <v/>
      </c>
      <c r="AC8" s="47">
        <f>IF(Z8+AA8=2,1,0)</f>
        <v/>
      </c>
      <c r="AD8" s="47">
        <f>IF(AND(AB8=1,AC8=1),1,0)</f>
        <v/>
      </c>
      <c r="AE8" s="47">
        <f>IF(AD8=1,AE7+1,0)</f>
        <v/>
      </c>
      <c r="AF8" s="47">
        <f>IF(AE7&gt;=gulf_years_req,1,0)</f>
        <v/>
      </c>
    </row>
    <row r="9">
      <c r="A9" s="58" t="n">
        <v>1849</v>
      </c>
      <c r="B9" s="45" t="n">
        <v>0</v>
      </c>
      <c r="C9" s="68" t="n">
        <v>0</v>
      </c>
      <c r="D9" s="47">
        <f>Partners!Q9*(1-IF(AND(OR(oil_compact=0,$A9&lt;compact_year),OR($A9=1931,$A9=1932)),gulf_glut_gdp,0))</f>
        <v/>
      </c>
      <c r="E9" s="47">
        <f>IF(AND(gulf_on=1,$A9&gt;=gulf_year),1,0)</f>
        <v/>
      </c>
      <c r="F9" s="45" t="n">
        <v>0</v>
      </c>
      <c r="G9" s="45" t="n">
        <v>0</v>
      </c>
      <c r="H9" s="59" t="n">
        <v>0</v>
      </c>
      <c r="I9" s="59" t="n">
        <v>0</v>
      </c>
      <c r="J9" s="59" t="n">
        <v>0</v>
      </c>
      <c r="K9" s="59" t="n">
        <v>0</v>
      </c>
      <c r="L9" s="52" t="n">
        <v>0</v>
      </c>
      <c r="M9" s="52" t="n">
        <v>0</v>
      </c>
      <c r="N9" s="52" t="n">
        <v>0</v>
      </c>
      <c r="O9" s="52" t="n">
        <v>0</v>
      </c>
      <c r="P9" s="68" t="n">
        <v>0</v>
      </c>
      <c r="Q9" s="68" t="n">
        <v>0</v>
      </c>
      <c r="R9" s="68" t="n">
        <v>0</v>
      </c>
      <c r="S9" s="68" t="n">
        <v>0</v>
      </c>
      <c r="T9" s="63">
        <f>J9-IF(AND(OR(oil_compact=0,$A9&lt;compact_year),$A9&gt;=1931,$A9&lt;=1933),gulf_wage_dip,0)</f>
        <v/>
      </c>
      <c r="U9" s="47">
        <f>IF($A9&lt;1900,0,IF(F9&lt;=G9,1,0))</f>
        <v/>
      </c>
      <c r="V9" s="47">
        <f>IF($A9&lt;1900,0,IF(H9&gt;=I9,1,0))</f>
        <v/>
      </c>
      <c r="W9" s="47">
        <f>IF($A9&lt;1900,0,IF(T9&gt;=K9,1,0))</f>
        <v/>
      </c>
      <c r="X9" s="47">
        <f>IF($A9&lt;1900,0,IF(L9&lt;=M9,1,0))</f>
        <v/>
      </c>
      <c r="Y9" s="47">
        <f>IF($A9&lt;1900,0,IF(N9&lt;=O9,1,0))</f>
        <v/>
      </c>
      <c r="Z9" s="47">
        <f>IF($A9&lt;1900,0,IF(P9&lt;=Q9,1,0))</f>
        <v/>
      </c>
      <c r="AA9" s="47">
        <f>IF($A9&lt;1900,0,IF(R9&gt;=S9,1,0))</f>
        <v/>
      </c>
      <c r="AB9" s="47">
        <f>IF(SUM(U9:Y9)=5,1,0)</f>
        <v/>
      </c>
      <c r="AC9" s="47">
        <f>IF(Z9+AA9=2,1,0)</f>
        <v/>
      </c>
      <c r="AD9" s="47">
        <f>IF(AND(AB9=1,AC9=1),1,0)</f>
        <v/>
      </c>
      <c r="AE9" s="47">
        <f>IF(AD9=1,AE8+1,0)</f>
        <v/>
      </c>
      <c r="AF9" s="47">
        <f>IF(AE8&gt;=gulf_years_req,1,0)</f>
        <v/>
      </c>
    </row>
    <row r="10">
      <c r="A10" s="58" t="n">
        <v>1850</v>
      </c>
      <c r="B10" s="45" t="n">
        <v>0</v>
      </c>
      <c r="C10" s="68" t="n">
        <v>0</v>
      </c>
      <c r="D10" s="47">
        <f>Partners!Q10*(1-IF(AND(OR(oil_compact=0,$A10&lt;compact_year),OR($A10=1931,$A10=1932)),gulf_glut_gdp,0))</f>
        <v/>
      </c>
      <c r="E10" s="47">
        <f>IF(AND(gulf_on=1,$A10&gt;=gulf_year),1,0)</f>
        <v/>
      </c>
      <c r="F10" s="45" t="n">
        <v>0</v>
      </c>
      <c r="G10" s="45" t="n">
        <v>0</v>
      </c>
      <c r="H10" s="59" t="n">
        <v>0</v>
      </c>
      <c r="I10" s="59" t="n">
        <v>0</v>
      </c>
      <c r="J10" s="59" t="n">
        <v>0</v>
      </c>
      <c r="K10" s="59" t="n">
        <v>0</v>
      </c>
      <c r="L10" s="52" t="n">
        <v>0</v>
      </c>
      <c r="M10" s="52" t="n">
        <v>0</v>
      </c>
      <c r="N10" s="52" t="n">
        <v>0</v>
      </c>
      <c r="O10" s="52" t="n">
        <v>0</v>
      </c>
      <c r="P10" s="68" t="n">
        <v>0</v>
      </c>
      <c r="Q10" s="68" t="n">
        <v>0</v>
      </c>
      <c r="R10" s="68" t="n">
        <v>0</v>
      </c>
      <c r="S10" s="68" t="n">
        <v>0</v>
      </c>
      <c r="T10" s="63">
        <f>J10-IF(AND(OR(oil_compact=0,$A10&lt;compact_year),$A10&gt;=1931,$A10&lt;=1933),gulf_wage_dip,0)</f>
        <v/>
      </c>
      <c r="U10" s="47">
        <f>IF($A10&lt;1900,0,IF(F10&lt;=G10,1,0))</f>
        <v/>
      </c>
      <c r="V10" s="47">
        <f>IF($A10&lt;1900,0,IF(H10&gt;=I10,1,0))</f>
        <v/>
      </c>
      <c r="W10" s="47">
        <f>IF($A10&lt;1900,0,IF(T10&gt;=K10,1,0))</f>
        <v/>
      </c>
      <c r="X10" s="47">
        <f>IF($A10&lt;1900,0,IF(L10&lt;=M10,1,0))</f>
        <v/>
      </c>
      <c r="Y10" s="47">
        <f>IF($A10&lt;1900,0,IF(N10&lt;=O10,1,0))</f>
        <v/>
      </c>
      <c r="Z10" s="47">
        <f>IF($A10&lt;1900,0,IF(P10&lt;=Q10,1,0))</f>
        <v/>
      </c>
      <c r="AA10" s="47">
        <f>IF($A10&lt;1900,0,IF(R10&gt;=S10,1,0))</f>
        <v/>
      </c>
      <c r="AB10" s="47">
        <f>IF(SUM(U10:Y10)=5,1,0)</f>
        <v/>
      </c>
      <c r="AC10" s="47">
        <f>IF(Z10+AA10=2,1,0)</f>
        <v/>
      </c>
      <c r="AD10" s="47">
        <f>IF(AND(AB10=1,AC10=1),1,0)</f>
        <v/>
      </c>
      <c r="AE10" s="47">
        <f>IF(AD10=1,AE9+1,0)</f>
        <v/>
      </c>
      <c r="AF10" s="47">
        <f>IF(AE9&gt;=gulf_years_req,1,0)</f>
        <v/>
      </c>
    </row>
    <row r="11">
      <c r="A11" s="58" t="n">
        <v>1851</v>
      </c>
      <c r="B11" s="45" t="n">
        <v>0</v>
      </c>
      <c r="C11" s="68" t="n">
        <v>0</v>
      </c>
      <c r="D11" s="47">
        <f>Partners!Q11*(1-IF(AND(OR(oil_compact=0,$A11&lt;compact_year),OR($A11=1931,$A11=1932)),gulf_glut_gdp,0))</f>
        <v/>
      </c>
      <c r="E11" s="47">
        <f>IF(AND(gulf_on=1,$A11&gt;=gulf_year),1,0)</f>
        <v/>
      </c>
      <c r="F11" s="45" t="n">
        <v>0</v>
      </c>
      <c r="G11" s="45" t="n">
        <v>0</v>
      </c>
      <c r="H11" s="59" t="n">
        <v>0</v>
      </c>
      <c r="I11" s="59" t="n">
        <v>0</v>
      </c>
      <c r="J11" s="59" t="n">
        <v>0</v>
      </c>
      <c r="K11" s="59" t="n">
        <v>0</v>
      </c>
      <c r="L11" s="52" t="n">
        <v>0</v>
      </c>
      <c r="M11" s="52" t="n">
        <v>0</v>
      </c>
      <c r="N11" s="52" t="n">
        <v>0</v>
      </c>
      <c r="O11" s="52" t="n">
        <v>0</v>
      </c>
      <c r="P11" s="68" t="n">
        <v>0</v>
      </c>
      <c r="Q11" s="68" t="n">
        <v>0</v>
      </c>
      <c r="R11" s="68" t="n">
        <v>0</v>
      </c>
      <c r="S11" s="68" t="n">
        <v>0</v>
      </c>
      <c r="T11" s="63">
        <f>J11-IF(AND(OR(oil_compact=0,$A11&lt;compact_year),$A11&gt;=1931,$A11&lt;=1933),gulf_wage_dip,0)</f>
        <v/>
      </c>
      <c r="U11" s="47">
        <f>IF($A11&lt;1900,0,IF(F11&lt;=G11,1,0))</f>
        <v/>
      </c>
      <c r="V11" s="47">
        <f>IF($A11&lt;1900,0,IF(H11&gt;=I11,1,0))</f>
        <v/>
      </c>
      <c r="W11" s="47">
        <f>IF($A11&lt;1900,0,IF(T11&gt;=K11,1,0))</f>
        <v/>
      </c>
      <c r="X11" s="47">
        <f>IF($A11&lt;1900,0,IF(L11&lt;=M11,1,0))</f>
        <v/>
      </c>
      <c r="Y11" s="47">
        <f>IF($A11&lt;1900,0,IF(N11&lt;=O11,1,0))</f>
        <v/>
      </c>
      <c r="Z11" s="47">
        <f>IF($A11&lt;1900,0,IF(P11&lt;=Q11,1,0))</f>
        <v/>
      </c>
      <c r="AA11" s="47">
        <f>IF($A11&lt;1900,0,IF(R11&gt;=S11,1,0))</f>
        <v/>
      </c>
      <c r="AB11" s="47">
        <f>IF(SUM(U11:Y11)=5,1,0)</f>
        <v/>
      </c>
      <c r="AC11" s="47">
        <f>IF(Z11+AA11=2,1,0)</f>
        <v/>
      </c>
      <c r="AD11" s="47">
        <f>IF(AND(AB11=1,AC11=1),1,0)</f>
        <v/>
      </c>
      <c r="AE11" s="47">
        <f>IF(AD11=1,AE10+1,0)</f>
        <v/>
      </c>
      <c r="AF11" s="47">
        <f>IF(AE10&gt;=gulf_years_req,1,0)</f>
        <v/>
      </c>
    </row>
    <row r="12">
      <c r="A12" s="58" t="n">
        <v>1852</v>
      </c>
      <c r="B12" s="45" t="n">
        <v>0</v>
      </c>
      <c r="C12" s="68" t="n">
        <v>0</v>
      </c>
      <c r="D12" s="47">
        <f>Partners!Q12*(1-IF(AND(OR(oil_compact=0,$A12&lt;compact_year),OR($A12=1931,$A12=1932)),gulf_glut_gdp,0))</f>
        <v/>
      </c>
      <c r="E12" s="47">
        <f>IF(AND(gulf_on=1,$A12&gt;=gulf_year),1,0)</f>
        <v/>
      </c>
      <c r="F12" s="45" t="n">
        <v>0</v>
      </c>
      <c r="G12" s="45" t="n">
        <v>0</v>
      </c>
      <c r="H12" s="59" t="n">
        <v>0</v>
      </c>
      <c r="I12" s="59" t="n">
        <v>0</v>
      </c>
      <c r="J12" s="59" t="n">
        <v>0</v>
      </c>
      <c r="K12" s="59" t="n">
        <v>0</v>
      </c>
      <c r="L12" s="52" t="n">
        <v>0</v>
      </c>
      <c r="M12" s="52" t="n">
        <v>0</v>
      </c>
      <c r="N12" s="52" t="n">
        <v>0</v>
      </c>
      <c r="O12" s="52" t="n">
        <v>0</v>
      </c>
      <c r="P12" s="68" t="n">
        <v>0</v>
      </c>
      <c r="Q12" s="68" t="n">
        <v>0</v>
      </c>
      <c r="R12" s="68" t="n">
        <v>0</v>
      </c>
      <c r="S12" s="68" t="n">
        <v>0</v>
      </c>
      <c r="T12" s="63">
        <f>J12-IF(AND(OR(oil_compact=0,$A12&lt;compact_year),$A12&gt;=1931,$A12&lt;=1933),gulf_wage_dip,0)</f>
        <v/>
      </c>
      <c r="U12" s="47">
        <f>IF($A12&lt;1900,0,IF(F12&lt;=G12,1,0))</f>
        <v/>
      </c>
      <c r="V12" s="47">
        <f>IF($A12&lt;1900,0,IF(H12&gt;=I12,1,0))</f>
        <v/>
      </c>
      <c r="W12" s="47">
        <f>IF($A12&lt;1900,0,IF(T12&gt;=K12,1,0))</f>
        <v/>
      </c>
      <c r="X12" s="47">
        <f>IF($A12&lt;1900,0,IF(L12&lt;=M12,1,0))</f>
        <v/>
      </c>
      <c r="Y12" s="47">
        <f>IF($A12&lt;1900,0,IF(N12&lt;=O12,1,0))</f>
        <v/>
      </c>
      <c r="Z12" s="47">
        <f>IF($A12&lt;1900,0,IF(P12&lt;=Q12,1,0))</f>
        <v/>
      </c>
      <c r="AA12" s="47">
        <f>IF($A12&lt;1900,0,IF(R12&gt;=S12,1,0))</f>
        <v/>
      </c>
      <c r="AB12" s="47">
        <f>IF(SUM(U12:Y12)=5,1,0)</f>
        <v/>
      </c>
      <c r="AC12" s="47">
        <f>IF(Z12+AA12=2,1,0)</f>
        <v/>
      </c>
      <c r="AD12" s="47">
        <f>IF(AND(AB12=1,AC12=1),1,0)</f>
        <v/>
      </c>
      <c r="AE12" s="47">
        <f>IF(AD12=1,AE11+1,0)</f>
        <v/>
      </c>
      <c r="AF12" s="47">
        <f>IF(AE11&gt;=gulf_years_req,1,0)</f>
        <v/>
      </c>
    </row>
    <row r="13">
      <c r="A13" s="58" t="n">
        <v>1853</v>
      </c>
      <c r="B13" s="45" t="n">
        <v>0</v>
      </c>
      <c r="C13" s="68" t="n">
        <v>0</v>
      </c>
      <c r="D13" s="47">
        <f>Partners!Q13*(1-IF(AND(OR(oil_compact=0,$A13&lt;compact_year),OR($A13=1931,$A13=1932)),gulf_glut_gdp,0))</f>
        <v/>
      </c>
      <c r="E13" s="47">
        <f>IF(AND(gulf_on=1,$A13&gt;=gulf_year),1,0)</f>
        <v/>
      </c>
      <c r="F13" s="45" t="n">
        <v>0</v>
      </c>
      <c r="G13" s="45" t="n">
        <v>0</v>
      </c>
      <c r="H13" s="59" t="n">
        <v>0</v>
      </c>
      <c r="I13" s="59" t="n">
        <v>0</v>
      </c>
      <c r="J13" s="59" t="n">
        <v>0</v>
      </c>
      <c r="K13" s="59" t="n">
        <v>0</v>
      </c>
      <c r="L13" s="52" t="n">
        <v>0</v>
      </c>
      <c r="M13" s="52" t="n">
        <v>0</v>
      </c>
      <c r="N13" s="52" t="n">
        <v>0</v>
      </c>
      <c r="O13" s="52" t="n">
        <v>0</v>
      </c>
      <c r="P13" s="68" t="n">
        <v>0</v>
      </c>
      <c r="Q13" s="68" t="n">
        <v>0</v>
      </c>
      <c r="R13" s="68" t="n">
        <v>0</v>
      </c>
      <c r="S13" s="68" t="n">
        <v>0</v>
      </c>
      <c r="T13" s="63">
        <f>J13-IF(AND(OR(oil_compact=0,$A13&lt;compact_year),$A13&gt;=1931,$A13&lt;=1933),gulf_wage_dip,0)</f>
        <v/>
      </c>
      <c r="U13" s="47">
        <f>IF($A13&lt;1900,0,IF(F13&lt;=G13,1,0))</f>
        <v/>
      </c>
      <c r="V13" s="47">
        <f>IF($A13&lt;1900,0,IF(H13&gt;=I13,1,0))</f>
        <v/>
      </c>
      <c r="W13" s="47">
        <f>IF($A13&lt;1900,0,IF(T13&gt;=K13,1,0))</f>
        <v/>
      </c>
      <c r="X13" s="47">
        <f>IF($A13&lt;1900,0,IF(L13&lt;=M13,1,0))</f>
        <v/>
      </c>
      <c r="Y13" s="47">
        <f>IF($A13&lt;1900,0,IF(N13&lt;=O13,1,0))</f>
        <v/>
      </c>
      <c r="Z13" s="47">
        <f>IF($A13&lt;1900,0,IF(P13&lt;=Q13,1,0))</f>
        <v/>
      </c>
      <c r="AA13" s="47">
        <f>IF($A13&lt;1900,0,IF(R13&gt;=S13,1,0))</f>
        <v/>
      </c>
      <c r="AB13" s="47">
        <f>IF(SUM(U13:Y13)=5,1,0)</f>
        <v/>
      </c>
      <c r="AC13" s="47">
        <f>IF(Z13+AA13=2,1,0)</f>
        <v/>
      </c>
      <c r="AD13" s="47">
        <f>IF(AND(AB13=1,AC13=1),1,0)</f>
        <v/>
      </c>
      <c r="AE13" s="47">
        <f>IF(AD13=1,AE12+1,0)</f>
        <v/>
      </c>
      <c r="AF13" s="47">
        <f>IF(AE12&gt;=gulf_years_req,1,0)</f>
        <v/>
      </c>
    </row>
    <row r="14">
      <c r="A14" s="58" t="n">
        <v>1854</v>
      </c>
      <c r="B14" s="45" t="n">
        <v>0</v>
      </c>
      <c r="C14" s="68" t="n">
        <v>0</v>
      </c>
      <c r="D14" s="47">
        <f>Partners!Q14*(1-IF(AND(OR(oil_compact=0,$A14&lt;compact_year),OR($A14=1931,$A14=1932)),gulf_glut_gdp,0))</f>
        <v/>
      </c>
      <c r="E14" s="47">
        <f>IF(AND(gulf_on=1,$A14&gt;=gulf_year),1,0)</f>
        <v/>
      </c>
      <c r="F14" s="45" t="n">
        <v>0</v>
      </c>
      <c r="G14" s="45" t="n">
        <v>0</v>
      </c>
      <c r="H14" s="59" t="n">
        <v>0</v>
      </c>
      <c r="I14" s="59" t="n">
        <v>0</v>
      </c>
      <c r="J14" s="59" t="n">
        <v>0</v>
      </c>
      <c r="K14" s="59" t="n">
        <v>0</v>
      </c>
      <c r="L14" s="52" t="n">
        <v>0</v>
      </c>
      <c r="M14" s="52" t="n">
        <v>0</v>
      </c>
      <c r="N14" s="52" t="n">
        <v>0</v>
      </c>
      <c r="O14" s="52" t="n">
        <v>0</v>
      </c>
      <c r="P14" s="68" t="n">
        <v>0</v>
      </c>
      <c r="Q14" s="68" t="n">
        <v>0</v>
      </c>
      <c r="R14" s="68" t="n">
        <v>0</v>
      </c>
      <c r="S14" s="68" t="n">
        <v>0</v>
      </c>
      <c r="T14" s="63">
        <f>J14-IF(AND(OR(oil_compact=0,$A14&lt;compact_year),$A14&gt;=1931,$A14&lt;=1933),gulf_wage_dip,0)</f>
        <v/>
      </c>
      <c r="U14" s="47">
        <f>IF($A14&lt;1900,0,IF(F14&lt;=G14,1,0))</f>
        <v/>
      </c>
      <c r="V14" s="47">
        <f>IF($A14&lt;1900,0,IF(H14&gt;=I14,1,0))</f>
        <v/>
      </c>
      <c r="W14" s="47">
        <f>IF($A14&lt;1900,0,IF(T14&gt;=K14,1,0))</f>
        <v/>
      </c>
      <c r="X14" s="47">
        <f>IF($A14&lt;1900,0,IF(L14&lt;=M14,1,0))</f>
        <v/>
      </c>
      <c r="Y14" s="47">
        <f>IF($A14&lt;1900,0,IF(N14&lt;=O14,1,0))</f>
        <v/>
      </c>
      <c r="Z14" s="47">
        <f>IF($A14&lt;1900,0,IF(P14&lt;=Q14,1,0))</f>
        <v/>
      </c>
      <c r="AA14" s="47">
        <f>IF($A14&lt;1900,0,IF(R14&gt;=S14,1,0))</f>
        <v/>
      </c>
      <c r="AB14" s="47">
        <f>IF(SUM(U14:Y14)=5,1,0)</f>
        <v/>
      </c>
      <c r="AC14" s="47">
        <f>IF(Z14+AA14=2,1,0)</f>
        <v/>
      </c>
      <c r="AD14" s="47">
        <f>IF(AND(AB14=1,AC14=1),1,0)</f>
        <v/>
      </c>
      <c r="AE14" s="47">
        <f>IF(AD14=1,AE13+1,0)</f>
        <v/>
      </c>
      <c r="AF14" s="47">
        <f>IF(AE13&gt;=gulf_years_req,1,0)</f>
        <v/>
      </c>
    </row>
    <row r="15">
      <c r="A15" s="58" t="n">
        <v>1855</v>
      </c>
      <c r="B15" s="45" t="n">
        <v>0</v>
      </c>
      <c r="C15" s="68" t="n">
        <v>0</v>
      </c>
      <c r="D15" s="47">
        <f>Partners!Q15*(1-IF(AND(OR(oil_compact=0,$A15&lt;compact_year),OR($A15=1931,$A15=1932)),gulf_glut_gdp,0))</f>
        <v/>
      </c>
      <c r="E15" s="47">
        <f>IF(AND(gulf_on=1,$A15&gt;=gulf_year),1,0)</f>
        <v/>
      </c>
      <c r="F15" s="45" t="n">
        <v>0</v>
      </c>
      <c r="G15" s="45" t="n">
        <v>0</v>
      </c>
      <c r="H15" s="59" t="n">
        <v>0</v>
      </c>
      <c r="I15" s="59" t="n">
        <v>0</v>
      </c>
      <c r="J15" s="59" t="n">
        <v>0</v>
      </c>
      <c r="K15" s="59" t="n">
        <v>0</v>
      </c>
      <c r="L15" s="52" t="n">
        <v>0</v>
      </c>
      <c r="M15" s="52" t="n">
        <v>0</v>
      </c>
      <c r="N15" s="52" t="n">
        <v>0</v>
      </c>
      <c r="O15" s="52" t="n">
        <v>0</v>
      </c>
      <c r="P15" s="68" t="n">
        <v>0</v>
      </c>
      <c r="Q15" s="68" t="n">
        <v>0</v>
      </c>
      <c r="R15" s="68" t="n">
        <v>0</v>
      </c>
      <c r="S15" s="68" t="n">
        <v>0</v>
      </c>
      <c r="T15" s="63">
        <f>J15-IF(AND(OR(oil_compact=0,$A15&lt;compact_year),$A15&gt;=1931,$A15&lt;=1933),gulf_wage_dip,0)</f>
        <v/>
      </c>
      <c r="U15" s="47">
        <f>IF($A15&lt;1900,0,IF(F15&lt;=G15,1,0))</f>
        <v/>
      </c>
      <c r="V15" s="47">
        <f>IF($A15&lt;1900,0,IF(H15&gt;=I15,1,0))</f>
        <v/>
      </c>
      <c r="W15" s="47">
        <f>IF($A15&lt;1900,0,IF(T15&gt;=K15,1,0))</f>
        <v/>
      </c>
      <c r="X15" s="47">
        <f>IF($A15&lt;1900,0,IF(L15&lt;=M15,1,0))</f>
        <v/>
      </c>
      <c r="Y15" s="47">
        <f>IF($A15&lt;1900,0,IF(N15&lt;=O15,1,0))</f>
        <v/>
      </c>
      <c r="Z15" s="47">
        <f>IF($A15&lt;1900,0,IF(P15&lt;=Q15,1,0))</f>
        <v/>
      </c>
      <c r="AA15" s="47">
        <f>IF($A15&lt;1900,0,IF(R15&gt;=S15,1,0))</f>
        <v/>
      </c>
      <c r="AB15" s="47">
        <f>IF(SUM(U15:Y15)=5,1,0)</f>
        <v/>
      </c>
      <c r="AC15" s="47">
        <f>IF(Z15+AA15=2,1,0)</f>
        <v/>
      </c>
      <c r="AD15" s="47">
        <f>IF(AND(AB15=1,AC15=1),1,0)</f>
        <v/>
      </c>
      <c r="AE15" s="47">
        <f>IF(AD15=1,AE14+1,0)</f>
        <v/>
      </c>
      <c r="AF15" s="47">
        <f>IF(AE14&gt;=gulf_years_req,1,0)</f>
        <v/>
      </c>
    </row>
    <row r="16">
      <c r="A16" s="58" t="n">
        <v>1856</v>
      </c>
      <c r="B16" s="45" t="n">
        <v>0</v>
      </c>
      <c r="C16" s="68" t="n">
        <v>0</v>
      </c>
      <c r="D16" s="47">
        <f>Partners!Q16*(1-IF(AND(OR(oil_compact=0,$A16&lt;compact_year),OR($A16=1931,$A16=1932)),gulf_glut_gdp,0))</f>
        <v/>
      </c>
      <c r="E16" s="47">
        <f>IF(AND(gulf_on=1,$A16&gt;=gulf_year),1,0)</f>
        <v/>
      </c>
      <c r="F16" s="45" t="n">
        <v>0</v>
      </c>
      <c r="G16" s="45" t="n">
        <v>0</v>
      </c>
      <c r="H16" s="59" t="n">
        <v>0</v>
      </c>
      <c r="I16" s="59" t="n">
        <v>0</v>
      </c>
      <c r="J16" s="59" t="n">
        <v>0</v>
      </c>
      <c r="K16" s="59" t="n">
        <v>0</v>
      </c>
      <c r="L16" s="52" t="n">
        <v>0</v>
      </c>
      <c r="M16" s="52" t="n">
        <v>0</v>
      </c>
      <c r="N16" s="52" t="n">
        <v>0</v>
      </c>
      <c r="O16" s="52" t="n">
        <v>0</v>
      </c>
      <c r="P16" s="68" t="n">
        <v>0</v>
      </c>
      <c r="Q16" s="68" t="n">
        <v>0</v>
      </c>
      <c r="R16" s="68" t="n">
        <v>0</v>
      </c>
      <c r="S16" s="68" t="n">
        <v>0</v>
      </c>
      <c r="T16" s="63">
        <f>J16-IF(AND(OR(oil_compact=0,$A16&lt;compact_year),$A16&gt;=1931,$A16&lt;=1933),gulf_wage_dip,0)</f>
        <v/>
      </c>
      <c r="U16" s="47">
        <f>IF($A16&lt;1900,0,IF(F16&lt;=G16,1,0))</f>
        <v/>
      </c>
      <c r="V16" s="47">
        <f>IF($A16&lt;1900,0,IF(H16&gt;=I16,1,0))</f>
        <v/>
      </c>
      <c r="W16" s="47">
        <f>IF($A16&lt;1900,0,IF(T16&gt;=K16,1,0))</f>
        <v/>
      </c>
      <c r="X16" s="47">
        <f>IF($A16&lt;1900,0,IF(L16&lt;=M16,1,0))</f>
        <v/>
      </c>
      <c r="Y16" s="47">
        <f>IF($A16&lt;1900,0,IF(N16&lt;=O16,1,0))</f>
        <v/>
      </c>
      <c r="Z16" s="47">
        <f>IF($A16&lt;1900,0,IF(P16&lt;=Q16,1,0))</f>
        <v/>
      </c>
      <c r="AA16" s="47">
        <f>IF($A16&lt;1900,0,IF(R16&gt;=S16,1,0))</f>
        <v/>
      </c>
      <c r="AB16" s="47">
        <f>IF(SUM(U16:Y16)=5,1,0)</f>
        <v/>
      </c>
      <c r="AC16" s="47">
        <f>IF(Z16+AA16=2,1,0)</f>
        <v/>
      </c>
      <c r="AD16" s="47">
        <f>IF(AND(AB16=1,AC16=1),1,0)</f>
        <v/>
      </c>
      <c r="AE16" s="47">
        <f>IF(AD16=1,AE15+1,0)</f>
        <v/>
      </c>
      <c r="AF16" s="47">
        <f>IF(AE15&gt;=gulf_years_req,1,0)</f>
        <v/>
      </c>
    </row>
    <row r="17">
      <c r="A17" s="58" t="n">
        <v>1857</v>
      </c>
      <c r="B17" s="45" t="n">
        <v>0</v>
      </c>
      <c r="C17" s="68" t="n">
        <v>0</v>
      </c>
      <c r="D17" s="47">
        <f>Partners!Q17*(1-IF(AND(OR(oil_compact=0,$A17&lt;compact_year),OR($A17=1931,$A17=1932)),gulf_glut_gdp,0))</f>
        <v/>
      </c>
      <c r="E17" s="47">
        <f>IF(AND(gulf_on=1,$A17&gt;=gulf_year),1,0)</f>
        <v/>
      </c>
      <c r="F17" s="45" t="n">
        <v>0</v>
      </c>
      <c r="G17" s="45" t="n">
        <v>0</v>
      </c>
      <c r="H17" s="59" t="n">
        <v>0</v>
      </c>
      <c r="I17" s="59" t="n">
        <v>0</v>
      </c>
      <c r="J17" s="59" t="n">
        <v>0</v>
      </c>
      <c r="K17" s="59" t="n">
        <v>0</v>
      </c>
      <c r="L17" s="52" t="n">
        <v>0</v>
      </c>
      <c r="M17" s="52" t="n">
        <v>0</v>
      </c>
      <c r="N17" s="52" t="n">
        <v>0</v>
      </c>
      <c r="O17" s="52" t="n">
        <v>0</v>
      </c>
      <c r="P17" s="68" t="n">
        <v>0</v>
      </c>
      <c r="Q17" s="68" t="n">
        <v>0</v>
      </c>
      <c r="R17" s="68" t="n">
        <v>0</v>
      </c>
      <c r="S17" s="68" t="n">
        <v>0</v>
      </c>
      <c r="T17" s="63">
        <f>J17-IF(AND(OR(oil_compact=0,$A17&lt;compact_year),$A17&gt;=1931,$A17&lt;=1933),gulf_wage_dip,0)</f>
        <v/>
      </c>
      <c r="U17" s="47">
        <f>IF($A17&lt;1900,0,IF(F17&lt;=G17,1,0))</f>
        <v/>
      </c>
      <c r="V17" s="47">
        <f>IF($A17&lt;1900,0,IF(H17&gt;=I17,1,0))</f>
        <v/>
      </c>
      <c r="W17" s="47">
        <f>IF($A17&lt;1900,0,IF(T17&gt;=K17,1,0))</f>
        <v/>
      </c>
      <c r="X17" s="47">
        <f>IF($A17&lt;1900,0,IF(L17&lt;=M17,1,0))</f>
        <v/>
      </c>
      <c r="Y17" s="47">
        <f>IF($A17&lt;1900,0,IF(N17&lt;=O17,1,0))</f>
        <v/>
      </c>
      <c r="Z17" s="47">
        <f>IF($A17&lt;1900,0,IF(P17&lt;=Q17,1,0))</f>
        <v/>
      </c>
      <c r="AA17" s="47">
        <f>IF($A17&lt;1900,0,IF(R17&gt;=S17,1,0))</f>
        <v/>
      </c>
      <c r="AB17" s="47">
        <f>IF(SUM(U17:Y17)=5,1,0)</f>
        <v/>
      </c>
      <c r="AC17" s="47">
        <f>IF(Z17+AA17=2,1,0)</f>
        <v/>
      </c>
      <c r="AD17" s="47">
        <f>IF(AND(AB17=1,AC17=1),1,0)</f>
        <v/>
      </c>
      <c r="AE17" s="47">
        <f>IF(AD17=1,AE16+1,0)</f>
        <v/>
      </c>
      <c r="AF17" s="47">
        <f>IF(AE16&gt;=gulf_years_req,1,0)</f>
        <v/>
      </c>
    </row>
    <row r="18">
      <c r="A18" s="58" t="n">
        <v>1858</v>
      </c>
      <c r="B18" s="45" t="n">
        <v>0</v>
      </c>
      <c r="C18" s="68" t="n">
        <v>0</v>
      </c>
      <c r="D18" s="47">
        <f>Partners!Q18*(1-IF(AND(OR(oil_compact=0,$A18&lt;compact_year),OR($A18=1931,$A18=1932)),gulf_glut_gdp,0))</f>
        <v/>
      </c>
      <c r="E18" s="47">
        <f>IF(AND(gulf_on=1,$A18&gt;=gulf_year),1,0)</f>
        <v/>
      </c>
      <c r="F18" s="45" t="n">
        <v>0</v>
      </c>
      <c r="G18" s="45" t="n">
        <v>0</v>
      </c>
      <c r="H18" s="59" t="n">
        <v>0</v>
      </c>
      <c r="I18" s="59" t="n">
        <v>0</v>
      </c>
      <c r="J18" s="59" t="n">
        <v>0</v>
      </c>
      <c r="K18" s="59" t="n">
        <v>0</v>
      </c>
      <c r="L18" s="52" t="n">
        <v>0</v>
      </c>
      <c r="M18" s="52" t="n">
        <v>0</v>
      </c>
      <c r="N18" s="52" t="n">
        <v>0</v>
      </c>
      <c r="O18" s="52" t="n">
        <v>0</v>
      </c>
      <c r="P18" s="68" t="n">
        <v>0</v>
      </c>
      <c r="Q18" s="68" t="n">
        <v>0</v>
      </c>
      <c r="R18" s="68" t="n">
        <v>0</v>
      </c>
      <c r="S18" s="68" t="n">
        <v>0</v>
      </c>
      <c r="T18" s="63">
        <f>J18-IF(AND(OR(oil_compact=0,$A18&lt;compact_year),$A18&gt;=1931,$A18&lt;=1933),gulf_wage_dip,0)</f>
        <v/>
      </c>
      <c r="U18" s="47">
        <f>IF($A18&lt;1900,0,IF(F18&lt;=G18,1,0))</f>
        <v/>
      </c>
      <c r="V18" s="47">
        <f>IF($A18&lt;1900,0,IF(H18&gt;=I18,1,0))</f>
        <v/>
      </c>
      <c r="W18" s="47">
        <f>IF($A18&lt;1900,0,IF(T18&gt;=K18,1,0))</f>
        <v/>
      </c>
      <c r="X18" s="47">
        <f>IF($A18&lt;1900,0,IF(L18&lt;=M18,1,0))</f>
        <v/>
      </c>
      <c r="Y18" s="47">
        <f>IF($A18&lt;1900,0,IF(N18&lt;=O18,1,0))</f>
        <v/>
      </c>
      <c r="Z18" s="47">
        <f>IF($A18&lt;1900,0,IF(P18&lt;=Q18,1,0))</f>
        <v/>
      </c>
      <c r="AA18" s="47">
        <f>IF($A18&lt;1900,0,IF(R18&gt;=S18,1,0))</f>
        <v/>
      </c>
      <c r="AB18" s="47">
        <f>IF(SUM(U18:Y18)=5,1,0)</f>
        <v/>
      </c>
      <c r="AC18" s="47">
        <f>IF(Z18+AA18=2,1,0)</f>
        <v/>
      </c>
      <c r="AD18" s="47">
        <f>IF(AND(AB18=1,AC18=1),1,0)</f>
        <v/>
      </c>
      <c r="AE18" s="47">
        <f>IF(AD18=1,AE17+1,0)</f>
        <v/>
      </c>
      <c r="AF18" s="47">
        <f>IF(AE17&gt;=gulf_years_req,1,0)</f>
        <v/>
      </c>
    </row>
    <row r="19">
      <c r="A19" s="58" t="n">
        <v>1859</v>
      </c>
      <c r="B19" s="45" t="n">
        <v>0</v>
      </c>
      <c r="C19" s="68" t="n">
        <v>0</v>
      </c>
      <c r="D19" s="47">
        <f>Partners!Q19*(1-IF(AND(OR(oil_compact=0,$A19&lt;compact_year),OR($A19=1931,$A19=1932)),gulf_glut_gdp,0))</f>
        <v/>
      </c>
      <c r="E19" s="47">
        <f>IF(AND(gulf_on=1,$A19&gt;=gulf_year),1,0)</f>
        <v/>
      </c>
      <c r="F19" s="45" t="n">
        <v>0</v>
      </c>
      <c r="G19" s="45" t="n">
        <v>0</v>
      </c>
      <c r="H19" s="59" t="n">
        <v>0</v>
      </c>
      <c r="I19" s="59" t="n">
        <v>0</v>
      </c>
      <c r="J19" s="59" t="n">
        <v>0</v>
      </c>
      <c r="K19" s="59" t="n">
        <v>0</v>
      </c>
      <c r="L19" s="52" t="n">
        <v>0</v>
      </c>
      <c r="M19" s="52" t="n">
        <v>0</v>
      </c>
      <c r="N19" s="52" t="n">
        <v>0</v>
      </c>
      <c r="O19" s="52" t="n">
        <v>0</v>
      </c>
      <c r="P19" s="68" t="n">
        <v>0</v>
      </c>
      <c r="Q19" s="68" t="n">
        <v>0</v>
      </c>
      <c r="R19" s="68" t="n">
        <v>0</v>
      </c>
      <c r="S19" s="68" t="n">
        <v>0</v>
      </c>
      <c r="T19" s="63">
        <f>J19-IF(AND(OR(oil_compact=0,$A19&lt;compact_year),$A19&gt;=1931,$A19&lt;=1933),gulf_wage_dip,0)</f>
        <v/>
      </c>
      <c r="U19" s="47">
        <f>IF($A19&lt;1900,0,IF(F19&lt;=G19,1,0))</f>
        <v/>
      </c>
      <c r="V19" s="47">
        <f>IF($A19&lt;1900,0,IF(H19&gt;=I19,1,0))</f>
        <v/>
      </c>
      <c r="W19" s="47">
        <f>IF($A19&lt;1900,0,IF(T19&gt;=K19,1,0))</f>
        <v/>
      </c>
      <c r="X19" s="47">
        <f>IF($A19&lt;1900,0,IF(L19&lt;=M19,1,0))</f>
        <v/>
      </c>
      <c r="Y19" s="47">
        <f>IF($A19&lt;1900,0,IF(N19&lt;=O19,1,0))</f>
        <v/>
      </c>
      <c r="Z19" s="47">
        <f>IF($A19&lt;1900,0,IF(P19&lt;=Q19,1,0))</f>
        <v/>
      </c>
      <c r="AA19" s="47">
        <f>IF($A19&lt;1900,0,IF(R19&gt;=S19,1,0))</f>
        <v/>
      </c>
      <c r="AB19" s="47">
        <f>IF(SUM(U19:Y19)=5,1,0)</f>
        <v/>
      </c>
      <c r="AC19" s="47">
        <f>IF(Z19+AA19=2,1,0)</f>
        <v/>
      </c>
      <c r="AD19" s="47">
        <f>IF(AND(AB19=1,AC19=1),1,0)</f>
        <v/>
      </c>
      <c r="AE19" s="47">
        <f>IF(AD19=1,AE18+1,0)</f>
        <v/>
      </c>
      <c r="AF19" s="47">
        <f>IF(AE18&gt;=gulf_years_req,1,0)</f>
        <v/>
      </c>
    </row>
    <row r="20">
      <c r="A20" s="58" t="n">
        <v>1860</v>
      </c>
      <c r="B20" s="45" t="n">
        <v>0</v>
      </c>
      <c r="C20" s="68" t="n">
        <v>0</v>
      </c>
      <c r="D20" s="47">
        <f>Partners!Q20*(1-IF(AND(OR(oil_compact=0,$A20&lt;compact_year),OR($A20=1931,$A20=1932)),gulf_glut_gdp,0))</f>
        <v/>
      </c>
      <c r="E20" s="47">
        <f>IF(AND(gulf_on=1,$A20&gt;=gulf_year),1,0)</f>
        <v/>
      </c>
      <c r="F20" s="45" t="n">
        <v>0</v>
      </c>
      <c r="G20" s="45" t="n">
        <v>0</v>
      </c>
      <c r="H20" s="59" t="n">
        <v>0</v>
      </c>
      <c r="I20" s="59" t="n">
        <v>0</v>
      </c>
      <c r="J20" s="59" t="n">
        <v>0</v>
      </c>
      <c r="K20" s="59" t="n">
        <v>0</v>
      </c>
      <c r="L20" s="52" t="n">
        <v>0</v>
      </c>
      <c r="M20" s="52" t="n">
        <v>0</v>
      </c>
      <c r="N20" s="52" t="n">
        <v>0</v>
      </c>
      <c r="O20" s="52" t="n">
        <v>0</v>
      </c>
      <c r="P20" s="68" t="n">
        <v>0</v>
      </c>
      <c r="Q20" s="68" t="n">
        <v>0</v>
      </c>
      <c r="R20" s="68" t="n">
        <v>0</v>
      </c>
      <c r="S20" s="68" t="n">
        <v>0</v>
      </c>
      <c r="T20" s="63">
        <f>J20-IF(AND(OR(oil_compact=0,$A20&lt;compact_year),$A20&gt;=1931,$A20&lt;=1933),gulf_wage_dip,0)</f>
        <v/>
      </c>
      <c r="U20" s="47">
        <f>IF($A20&lt;1900,0,IF(F20&lt;=G20,1,0))</f>
        <v/>
      </c>
      <c r="V20" s="47">
        <f>IF($A20&lt;1900,0,IF(H20&gt;=I20,1,0))</f>
        <v/>
      </c>
      <c r="W20" s="47">
        <f>IF($A20&lt;1900,0,IF(T20&gt;=K20,1,0))</f>
        <v/>
      </c>
      <c r="X20" s="47">
        <f>IF($A20&lt;1900,0,IF(L20&lt;=M20,1,0))</f>
        <v/>
      </c>
      <c r="Y20" s="47">
        <f>IF($A20&lt;1900,0,IF(N20&lt;=O20,1,0))</f>
        <v/>
      </c>
      <c r="Z20" s="47">
        <f>IF($A20&lt;1900,0,IF(P20&lt;=Q20,1,0))</f>
        <v/>
      </c>
      <c r="AA20" s="47">
        <f>IF($A20&lt;1900,0,IF(R20&gt;=S20,1,0))</f>
        <v/>
      </c>
      <c r="AB20" s="47">
        <f>IF(SUM(U20:Y20)=5,1,0)</f>
        <v/>
      </c>
      <c r="AC20" s="47">
        <f>IF(Z20+AA20=2,1,0)</f>
        <v/>
      </c>
      <c r="AD20" s="47">
        <f>IF(AND(AB20=1,AC20=1),1,0)</f>
        <v/>
      </c>
      <c r="AE20" s="47">
        <f>IF(AD20=1,AE19+1,0)</f>
        <v/>
      </c>
      <c r="AF20" s="47">
        <f>IF(AE19&gt;=gulf_years_req,1,0)</f>
        <v/>
      </c>
    </row>
    <row r="21">
      <c r="A21" s="61" t="n">
        <v>1861</v>
      </c>
      <c r="B21" s="45" t="n">
        <v>0</v>
      </c>
      <c r="C21" s="68" t="n">
        <v>0</v>
      </c>
      <c r="D21" s="47">
        <f>Partners!Q21*(1-IF(AND(OR(oil_compact=0,$A21&lt;compact_year),OR($A21=1931,$A21=1932)),gulf_glut_gdp,0))</f>
        <v/>
      </c>
      <c r="E21" s="47">
        <f>IF(AND(gulf_on=1,$A21&gt;=gulf_year),1,0)</f>
        <v/>
      </c>
      <c r="F21" s="45" t="n">
        <v>0</v>
      </c>
      <c r="G21" s="45" t="n">
        <v>0</v>
      </c>
      <c r="H21" s="59" t="n">
        <v>0</v>
      </c>
      <c r="I21" s="59" t="n">
        <v>0</v>
      </c>
      <c r="J21" s="59" t="n">
        <v>0</v>
      </c>
      <c r="K21" s="59" t="n">
        <v>0</v>
      </c>
      <c r="L21" s="52" t="n">
        <v>0</v>
      </c>
      <c r="M21" s="52" t="n">
        <v>0</v>
      </c>
      <c r="N21" s="52" t="n">
        <v>0</v>
      </c>
      <c r="O21" s="52" t="n">
        <v>0</v>
      </c>
      <c r="P21" s="68" t="n">
        <v>0</v>
      </c>
      <c r="Q21" s="68" t="n">
        <v>0</v>
      </c>
      <c r="R21" s="68" t="n">
        <v>0</v>
      </c>
      <c r="S21" s="68" t="n">
        <v>0</v>
      </c>
      <c r="T21" s="63">
        <f>J21-IF(AND(OR(oil_compact=0,$A21&lt;compact_year),$A21&gt;=1931,$A21&lt;=1933),gulf_wage_dip,0)</f>
        <v/>
      </c>
      <c r="U21" s="47">
        <f>IF($A21&lt;1900,0,IF(F21&lt;=G21,1,0))</f>
        <v/>
      </c>
      <c r="V21" s="47">
        <f>IF($A21&lt;1900,0,IF(H21&gt;=I21,1,0))</f>
        <v/>
      </c>
      <c r="W21" s="47">
        <f>IF($A21&lt;1900,0,IF(T21&gt;=K21,1,0))</f>
        <v/>
      </c>
      <c r="X21" s="47">
        <f>IF($A21&lt;1900,0,IF(L21&lt;=M21,1,0))</f>
        <v/>
      </c>
      <c r="Y21" s="47">
        <f>IF($A21&lt;1900,0,IF(N21&lt;=O21,1,0))</f>
        <v/>
      </c>
      <c r="Z21" s="47">
        <f>IF($A21&lt;1900,0,IF(P21&lt;=Q21,1,0))</f>
        <v/>
      </c>
      <c r="AA21" s="47">
        <f>IF($A21&lt;1900,0,IF(R21&gt;=S21,1,0))</f>
        <v/>
      </c>
      <c r="AB21" s="47">
        <f>IF(SUM(U21:Y21)=5,1,0)</f>
        <v/>
      </c>
      <c r="AC21" s="47">
        <f>IF(Z21+AA21=2,1,0)</f>
        <v/>
      </c>
      <c r="AD21" s="47">
        <f>IF(AND(AB21=1,AC21=1),1,0)</f>
        <v/>
      </c>
      <c r="AE21" s="47">
        <f>IF(AD21=1,AE20+1,0)</f>
        <v/>
      </c>
      <c r="AF21" s="47">
        <f>IF(AE20&gt;=gulf_years_req,1,0)</f>
        <v/>
      </c>
    </row>
    <row r="22">
      <c r="A22" s="61" t="n">
        <v>1862</v>
      </c>
      <c r="B22" s="45" t="n">
        <v>0</v>
      </c>
      <c r="C22" s="68" t="n">
        <v>0</v>
      </c>
      <c r="D22" s="47">
        <f>Partners!Q22*(1-IF(AND(OR(oil_compact=0,$A22&lt;compact_year),OR($A22=1931,$A22=1932)),gulf_glut_gdp,0))</f>
        <v/>
      </c>
      <c r="E22" s="47">
        <f>IF(AND(gulf_on=1,$A22&gt;=gulf_year),1,0)</f>
        <v/>
      </c>
      <c r="F22" s="45" t="n">
        <v>0</v>
      </c>
      <c r="G22" s="45" t="n">
        <v>0</v>
      </c>
      <c r="H22" s="59" t="n">
        <v>0</v>
      </c>
      <c r="I22" s="59" t="n">
        <v>0</v>
      </c>
      <c r="J22" s="59" t="n">
        <v>0</v>
      </c>
      <c r="K22" s="59" t="n">
        <v>0</v>
      </c>
      <c r="L22" s="52" t="n">
        <v>0</v>
      </c>
      <c r="M22" s="52" t="n">
        <v>0</v>
      </c>
      <c r="N22" s="52" t="n">
        <v>0</v>
      </c>
      <c r="O22" s="52" t="n">
        <v>0</v>
      </c>
      <c r="P22" s="68" t="n">
        <v>0</v>
      </c>
      <c r="Q22" s="68" t="n">
        <v>0</v>
      </c>
      <c r="R22" s="68" t="n">
        <v>0</v>
      </c>
      <c r="S22" s="68" t="n">
        <v>0</v>
      </c>
      <c r="T22" s="63">
        <f>J22-IF(AND(OR(oil_compact=0,$A22&lt;compact_year),$A22&gt;=1931,$A22&lt;=1933),gulf_wage_dip,0)</f>
        <v/>
      </c>
      <c r="U22" s="47">
        <f>IF($A22&lt;1900,0,IF(F22&lt;=G22,1,0))</f>
        <v/>
      </c>
      <c r="V22" s="47">
        <f>IF($A22&lt;1900,0,IF(H22&gt;=I22,1,0))</f>
        <v/>
      </c>
      <c r="W22" s="47">
        <f>IF($A22&lt;1900,0,IF(T22&gt;=K22,1,0))</f>
        <v/>
      </c>
      <c r="X22" s="47">
        <f>IF($A22&lt;1900,0,IF(L22&lt;=M22,1,0))</f>
        <v/>
      </c>
      <c r="Y22" s="47">
        <f>IF($A22&lt;1900,0,IF(N22&lt;=O22,1,0))</f>
        <v/>
      </c>
      <c r="Z22" s="47">
        <f>IF($A22&lt;1900,0,IF(P22&lt;=Q22,1,0))</f>
        <v/>
      </c>
      <c r="AA22" s="47">
        <f>IF($A22&lt;1900,0,IF(R22&gt;=S22,1,0))</f>
        <v/>
      </c>
      <c r="AB22" s="47">
        <f>IF(SUM(U22:Y22)=5,1,0)</f>
        <v/>
      </c>
      <c r="AC22" s="47">
        <f>IF(Z22+AA22=2,1,0)</f>
        <v/>
      </c>
      <c r="AD22" s="47">
        <f>IF(AND(AB22=1,AC22=1),1,0)</f>
        <v/>
      </c>
      <c r="AE22" s="47">
        <f>IF(AD22=1,AE21+1,0)</f>
        <v/>
      </c>
      <c r="AF22" s="47">
        <f>IF(AE21&gt;=gulf_years_req,1,0)</f>
        <v/>
      </c>
    </row>
    <row r="23">
      <c r="A23" s="61" t="n">
        <v>1863</v>
      </c>
      <c r="B23" s="45" t="n">
        <v>0</v>
      </c>
      <c r="C23" s="68" t="n">
        <v>0</v>
      </c>
      <c r="D23" s="47">
        <f>Partners!Q23*(1-IF(AND(OR(oil_compact=0,$A23&lt;compact_year),OR($A23=1931,$A23=1932)),gulf_glut_gdp,0))</f>
        <v/>
      </c>
      <c r="E23" s="47">
        <f>IF(AND(gulf_on=1,$A23&gt;=gulf_year),1,0)</f>
        <v/>
      </c>
      <c r="F23" s="45" t="n">
        <v>0</v>
      </c>
      <c r="G23" s="45" t="n">
        <v>0</v>
      </c>
      <c r="H23" s="59" t="n">
        <v>0</v>
      </c>
      <c r="I23" s="59" t="n">
        <v>0</v>
      </c>
      <c r="J23" s="59" t="n">
        <v>0</v>
      </c>
      <c r="K23" s="59" t="n">
        <v>0</v>
      </c>
      <c r="L23" s="52" t="n">
        <v>0</v>
      </c>
      <c r="M23" s="52" t="n">
        <v>0</v>
      </c>
      <c r="N23" s="52" t="n">
        <v>0</v>
      </c>
      <c r="O23" s="52" t="n">
        <v>0</v>
      </c>
      <c r="P23" s="68" t="n">
        <v>0</v>
      </c>
      <c r="Q23" s="68" t="n">
        <v>0</v>
      </c>
      <c r="R23" s="68" t="n">
        <v>0</v>
      </c>
      <c r="S23" s="68" t="n">
        <v>0</v>
      </c>
      <c r="T23" s="63">
        <f>J23-IF(AND(OR(oil_compact=0,$A23&lt;compact_year),$A23&gt;=1931,$A23&lt;=1933),gulf_wage_dip,0)</f>
        <v/>
      </c>
      <c r="U23" s="47">
        <f>IF($A23&lt;1900,0,IF(F23&lt;=G23,1,0))</f>
        <v/>
      </c>
      <c r="V23" s="47">
        <f>IF($A23&lt;1900,0,IF(H23&gt;=I23,1,0))</f>
        <v/>
      </c>
      <c r="W23" s="47">
        <f>IF($A23&lt;1900,0,IF(T23&gt;=K23,1,0))</f>
        <v/>
      </c>
      <c r="X23" s="47">
        <f>IF($A23&lt;1900,0,IF(L23&lt;=M23,1,0))</f>
        <v/>
      </c>
      <c r="Y23" s="47">
        <f>IF($A23&lt;1900,0,IF(N23&lt;=O23,1,0))</f>
        <v/>
      </c>
      <c r="Z23" s="47">
        <f>IF($A23&lt;1900,0,IF(P23&lt;=Q23,1,0))</f>
        <v/>
      </c>
      <c r="AA23" s="47">
        <f>IF($A23&lt;1900,0,IF(R23&gt;=S23,1,0))</f>
        <v/>
      </c>
      <c r="AB23" s="47">
        <f>IF(SUM(U23:Y23)=5,1,0)</f>
        <v/>
      </c>
      <c r="AC23" s="47">
        <f>IF(Z23+AA23=2,1,0)</f>
        <v/>
      </c>
      <c r="AD23" s="47">
        <f>IF(AND(AB23=1,AC23=1),1,0)</f>
        <v/>
      </c>
      <c r="AE23" s="47">
        <f>IF(AD23=1,AE22+1,0)</f>
        <v/>
      </c>
      <c r="AF23" s="47">
        <f>IF(AE22&gt;=gulf_years_req,1,0)</f>
        <v/>
      </c>
    </row>
    <row r="24">
      <c r="A24" s="61" t="n">
        <v>1864</v>
      </c>
      <c r="B24" s="45" t="n">
        <v>0</v>
      </c>
      <c r="C24" s="68" t="n">
        <v>0</v>
      </c>
      <c r="D24" s="47">
        <f>Partners!Q24*(1-IF(AND(OR(oil_compact=0,$A24&lt;compact_year),OR($A24=1931,$A24=1932)),gulf_glut_gdp,0))</f>
        <v/>
      </c>
      <c r="E24" s="47">
        <f>IF(AND(gulf_on=1,$A24&gt;=gulf_year),1,0)</f>
        <v/>
      </c>
      <c r="F24" s="45" t="n">
        <v>0</v>
      </c>
      <c r="G24" s="45" t="n">
        <v>0</v>
      </c>
      <c r="H24" s="59" t="n">
        <v>0</v>
      </c>
      <c r="I24" s="59" t="n">
        <v>0</v>
      </c>
      <c r="J24" s="59" t="n">
        <v>0</v>
      </c>
      <c r="K24" s="59" t="n">
        <v>0</v>
      </c>
      <c r="L24" s="52" t="n">
        <v>0</v>
      </c>
      <c r="M24" s="52" t="n">
        <v>0</v>
      </c>
      <c r="N24" s="52" t="n">
        <v>0</v>
      </c>
      <c r="O24" s="52" t="n">
        <v>0</v>
      </c>
      <c r="P24" s="68" t="n">
        <v>0</v>
      </c>
      <c r="Q24" s="68" t="n">
        <v>0</v>
      </c>
      <c r="R24" s="68" t="n">
        <v>0</v>
      </c>
      <c r="S24" s="68" t="n">
        <v>0</v>
      </c>
      <c r="T24" s="63">
        <f>J24-IF(AND(OR(oil_compact=0,$A24&lt;compact_year),$A24&gt;=1931,$A24&lt;=1933),gulf_wage_dip,0)</f>
        <v/>
      </c>
      <c r="U24" s="47">
        <f>IF($A24&lt;1900,0,IF(F24&lt;=G24,1,0))</f>
        <v/>
      </c>
      <c r="V24" s="47">
        <f>IF($A24&lt;1900,0,IF(H24&gt;=I24,1,0))</f>
        <v/>
      </c>
      <c r="W24" s="47">
        <f>IF($A24&lt;1900,0,IF(T24&gt;=K24,1,0))</f>
        <v/>
      </c>
      <c r="X24" s="47">
        <f>IF($A24&lt;1900,0,IF(L24&lt;=M24,1,0))</f>
        <v/>
      </c>
      <c r="Y24" s="47">
        <f>IF($A24&lt;1900,0,IF(N24&lt;=O24,1,0))</f>
        <v/>
      </c>
      <c r="Z24" s="47">
        <f>IF($A24&lt;1900,0,IF(P24&lt;=Q24,1,0))</f>
        <v/>
      </c>
      <c r="AA24" s="47">
        <f>IF($A24&lt;1900,0,IF(R24&gt;=S24,1,0))</f>
        <v/>
      </c>
      <c r="AB24" s="47">
        <f>IF(SUM(U24:Y24)=5,1,0)</f>
        <v/>
      </c>
      <c r="AC24" s="47">
        <f>IF(Z24+AA24=2,1,0)</f>
        <v/>
      </c>
      <c r="AD24" s="47">
        <f>IF(AND(AB24=1,AC24=1),1,0)</f>
        <v/>
      </c>
      <c r="AE24" s="47">
        <f>IF(AD24=1,AE23+1,0)</f>
        <v/>
      </c>
      <c r="AF24" s="47">
        <f>IF(AE23&gt;=gulf_years_req,1,0)</f>
        <v/>
      </c>
    </row>
    <row r="25">
      <c r="A25" s="61" t="n">
        <v>1865</v>
      </c>
      <c r="B25" s="45" t="n">
        <v>0</v>
      </c>
      <c r="C25" s="68" t="n">
        <v>0</v>
      </c>
      <c r="D25" s="47">
        <f>Partners!Q25*(1-IF(AND(OR(oil_compact=0,$A25&lt;compact_year),OR($A25=1931,$A25=1932)),gulf_glut_gdp,0))</f>
        <v/>
      </c>
      <c r="E25" s="47">
        <f>IF(AND(gulf_on=1,$A25&gt;=gulf_year),1,0)</f>
        <v/>
      </c>
      <c r="F25" s="45" t="n">
        <v>0</v>
      </c>
      <c r="G25" s="45" t="n">
        <v>0</v>
      </c>
      <c r="H25" s="59" t="n">
        <v>0</v>
      </c>
      <c r="I25" s="59" t="n">
        <v>0</v>
      </c>
      <c r="J25" s="59" t="n">
        <v>0</v>
      </c>
      <c r="K25" s="59" t="n">
        <v>0</v>
      </c>
      <c r="L25" s="52" t="n">
        <v>0</v>
      </c>
      <c r="M25" s="52" t="n">
        <v>0</v>
      </c>
      <c r="N25" s="52" t="n">
        <v>0</v>
      </c>
      <c r="O25" s="52" t="n">
        <v>0</v>
      </c>
      <c r="P25" s="68" t="n">
        <v>0</v>
      </c>
      <c r="Q25" s="68" t="n">
        <v>0</v>
      </c>
      <c r="R25" s="68" t="n">
        <v>0</v>
      </c>
      <c r="S25" s="68" t="n">
        <v>0</v>
      </c>
      <c r="T25" s="63">
        <f>J25-IF(AND(OR(oil_compact=0,$A25&lt;compact_year),$A25&gt;=1931,$A25&lt;=1933),gulf_wage_dip,0)</f>
        <v/>
      </c>
      <c r="U25" s="47">
        <f>IF($A25&lt;1900,0,IF(F25&lt;=G25,1,0))</f>
        <v/>
      </c>
      <c r="V25" s="47">
        <f>IF($A25&lt;1900,0,IF(H25&gt;=I25,1,0))</f>
        <v/>
      </c>
      <c r="W25" s="47">
        <f>IF($A25&lt;1900,0,IF(T25&gt;=K25,1,0))</f>
        <v/>
      </c>
      <c r="X25" s="47">
        <f>IF($A25&lt;1900,0,IF(L25&lt;=M25,1,0))</f>
        <v/>
      </c>
      <c r="Y25" s="47">
        <f>IF($A25&lt;1900,0,IF(N25&lt;=O25,1,0))</f>
        <v/>
      </c>
      <c r="Z25" s="47">
        <f>IF($A25&lt;1900,0,IF(P25&lt;=Q25,1,0))</f>
        <v/>
      </c>
      <c r="AA25" s="47">
        <f>IF($A25&lt;1900,0,IF(R25&gt;=S25,1,0))</f>
        <v/>
      </c>
      <c r="AB25" s="47">
        <f>IF(SUM(U25:Y25)=5,1,0)</f>
        <v/>
      </c>
      <c r="AC25" s="47">
        <f>IF(Z25+AA25=2,1,0)</f>
        <v/>
      </c>
      <c r="AD25" s="47">
        <f>IF(AND(AB25=1,AC25=1),1,0)</f>
        <v/>
      </c>
      <c r="AE25" s="47">
        <f>IF(AD25=1,AE24+1,0)</f>
        <v/>
      </c>
      <c r="AF25" s="47">
        <f>IF(AE24&gt;=gulf_years_req,1,0)</f>
        <v/>
      </c>
    </row>
    <row r="26">
      <c r="A26" s="58" t="n">
        <v>1866</v>
      </c>
      <c r="B26" s="45" t="n">
        <v>0</v>
      </c>
      <c r="C26" s="68" t="n">
        <v>0</v>
      </c>
      <c r="D26" s="47">
        <f>Partners!Q26*(1-IF(AND(OR(oil_compact=0,$A26&lt;compact_year),OR($A26=1931,$A26=1932)),gulf_glut_gdp,0))</f>
        <v/>
      </c>
      <c r="E26" s="47">
        <f>IF(AND(gulf_on=1,$A26&gt;=gulf_year),1,0)</f>
        <v/>
      </c>
      <c r="F26" s="45" t="n">
        <v>0</v>
      </c>
      <c r="G26" s="45" t="n">
        <v>0</v>
      </c>
      <c r="H26" s="59" t="n">
        <v>0</v>
      </c>
      <c r="I26" s="59" t="n">
        <v>0</v>
      </c>
      <c r="J26" s="59" t="n">
        <v>0</v>
      </c>
      <c r="K26" s="59" t="n">
        <v>0</v>
      </c>
      <c r="L26" s="52" t="n">
        <v>0</v>
      </c>
      <c r="M26" s="52" t="n">
        <v>0</v>
      </c>
      <c r="N26" s="52" t="n">
        <v>0</v>
      </c>
      <c r="O26" s="52" t="n">
        <v>0</v>
      </c>
      <c r="P26" s="68" t="n">
        <v>0</v>
      </c>
      <c r="Q26" s="68" t="n">
        <v>0</v>
      </c>
      <c r="R26" s="68" t="n">
        <v>0</v>
      </c>
      <c r="S26" s="68" t="n">
        <v>0</v>
      </c>
      <c r="T26" s="63">
        <f>J26-IF(AND(OR(oil_compact=0,$A26&lt;compact_year),$A26&gt;=1931,$A26&lt;=1933),gulf_wage_dip,0)</f>
        <v/>
      </c>
      <c r="U26" s="47">
        <f>IF($A26&lt;1900,0,IF(F26&lt;=G26,1,0))</f>
        <v/>
      </c>
      <c r="V26" s="47">
        <f>IF($A26&lt;1900,0,IF(H26&gt;=I26,1,0))</f>
        <v/>
      </c>
      <c r="W26" s="47">
        <f>IF($A26&lt;1900,0,IF(T26&gt;=K26,1,0))</f>
        <v/>
      </c>
      <c r="X26" s="47">
        <f>IF($A26&lt;1900,0,IF(L26&lt;=M26,1,0))</f>
        <v/>
      </c>
      <c r="Y26" s="47">
        <f>IF($A26&lt;1900,0,IF(N26&lt;=O26,1,0))</f>
        <v/>
      </c>
      <c r="Z26" s="47">
        <f>IF($A26&lt;1900,0,IF(P26&lt;=Q26,1,0))</f>
        <v/>
      </c>
      <c r="AA26" s="47">
        <f>IF($A26&lt;1900,0,IF(R26&gt;=S26,1,0))</f>
        <v/>
      </c>
      <c r="AB26" s="47">
        <f>IF(SUM(U26:Y26)=5,1,0)</f>
        <v/>
      </c>
      <c r="AC26" s="47">
        <f>IF(Z26+AA26=2,1,0)</f>
        <v/>
      </c>
      <c r="AD26" s="47">
        <f>IF(AND(AB26=1,AC26=1),1,0)</f>
        <v/>
      </c>
      <c r="AE26" s="47">
        <f>IF(AD26=1,AE25+1,0)</f>
        <v/>
      </c>
      <c r="AF26" s="47">
        <f>IF(AE25&gt;=gulf_years_req,1,0)</f>
        <v/>
      </c>
    </row>
    <row r="27">
      <c r="A27" s="58" t="n">
        <v>1867</v>
      </c>
      <c r="B27" s="45" t="n">
        <v>0</v>
      </c>
      <c r="C27" s="68" t="n">
        <v>0</v>
      </c>
      <c r="D27" s="47">
        <f>Partners!Q27*(1-IF(AND(OR(oil_compact=0,$A27&lt;compact_year),OR($A27=1931,$A27=1932)),gulf_glut_gdp,0))</f>
        <v/>
      </c>
      <c r="E27" s="47">
        <f>IF(AND(gulf_on=1,$A27&gt;=gulf_year),1,0)</f>
        <v/>
      </c>
      <c r="F27" s="45" t="n">
        <v>0</v>
      </c>
      <c r="G27" s="45" t="n">
        <v>0</v>
      </c>
      <c r="H27" s="59" t="n">
        <v>0</v>
      </c>
      <c r="I27" s="59" t="n">
        <v>0</v>
      </c>
      <c r="J27" s="59" t="n">
        <v>0</v>
      </c>
      <c r="K27" s="59" t="n">
        <v>0</v>
      </c>
      <c r="L27" s="52" t="n">
        <v>0</v>
      </c>
      <c r="M27" s="52" t="n">
        <v>0</v>
      </c>
      <c r="N27" s="52" t="n">
        <v>0</v>
      </c>
      <c r="O27" s="52" t="n">
        <v>0</v>
      </c>
      <c r="P27" s="68" t="n">
        <v>0</v>
      </c>
      <c r="Q27" s="68" t="n">
        <v>0</v>
      </c>
      <c r="R27" s="68" t="n">
        <v>0</v>
      </c>
      <c r="S27" s="68" t="n">
        <v>0</v>
      </c>
      <c r="T27" s="63">
        <f>J27-IF(AND(OR(oil_compact=0,$A27&lt;compact_year),$A27&gt;=1931,$A27&lt;=1933),gulf_wage_dip,0)</f>
        <v/>
      </c>
      <c r="U27" s="47">
        <f>IF($A27&lt;1900,0,IF(F27&lt;=G27,1,0))</f>
        <v/>
      </c>
      <c r="V27" s="47">
        <f>IF($A27&lt;1900,0,IF(H27&gt;=I27,1,0))</f>
        <v/>
      </c>
      <c r="W27" s="47">
        <f>IF($A27&lt;1900,0,IF(T27&gt;=K27,1,0))</f>
        <v/>
      </c>
      <c r="X27" s="47">
        <f>IF($A27&lt;1900,0,IF(L27&lt;=M27,1,0))</f>
        <v/>
      </c>
      <c r="Y27" s="47">
        <f>IF($A27&lt;1900,0,IF(N27&lt;=O27,1,0))</f>
        <v/>
      </c>
      <c r="Z27" s="47">
        <f>IF($A27&lt;1900,0,IF(P27&lt;=Q27,1,0))</f>
        <v/>
      </c>
      <c r="AA27" s="47">
        <f>IF($A27&lt;1900,0,IF(R27&gt;=S27,1,0))</f>
        <v/>
      </c>
      <c r="AB27" s="47">
        <f>IF(SUM(U27:Y27)=5,1,0)</f>
        <v/>
      </c>
      <c r="AC27" s="47">
        <f>IF(Z27+AA27=2,1,0)</f>
        <v/>
      </c>
      <c r="AD27" s="47">
        <f>IF(AND(AB27=1,AC27=1),1,0)</f>
        <v/>
      </c>
      <c r="AE27" s="47">
        <f>IF(AD27=1,AE26+1,0)</f>
        <v/>
      </c>
      <c r="AF27" s="47">
        <f>IF(AE26&gt;=gulf_years_req,1,0)</f>
        <v/>
      </c>
    </row>
    <row r="28">
      <c r="A28" s="58" t="n">
        <v>1868</v>
      </c>
      <c r="B28" s="45" t="n">
        <v>0</v>
      </c>
      <c r="C28" s="68" t="n">
        <v>0</v>
      </c>
      <c r="D28" s="47">
        <f>Partners!Q28*(1-IF(AND(OR(oil_compact=0,$A28&lt;compact_year),OR($A28=1931,$A28=1932)),gulf_glut_gdp,0))</f>
        <v/>
      </c>
      <c r="E28" s="47">
        <f>IF(AND(gulf_on=1,$A28&gt;=gulf_year),1,0)</f>
        <v/>
      </c>
      <c r="F28" s="45" t="n">
        <v>0</v>
      </c>
      <c r="G28" s="45" t="n">
        <v>0</v>
      </c>
      <c r="H28" s="59" t="n">
        <v>0</v>
      </c>
      <c r="I28" s="59" t="n">
        <v>0</v>
      </c>
      <c r="J28" s="59" t="n">
        <v>0</v>
      </c>
      <c r="K28" s="59" t="n">
        <v>0</v>
      </c>
      <c r="L28" s="52" t="n">
        <v>0</v>
      </c>
      <c r="M28" s="52" t="n">
        <v>0</v>
      </c>
      <c r="N28" s="52" t="n">
        <v>0</v>
      </c>
      <c r="O28" s="52" t="n">
        <v>0</v>
      </c>
      <c r="P28" s="68" t="n">
        <v>0</v>
      </c>
      <c r="Q28" s="68" t="n">
        <v>0</v>
      </c>
      <c r="R28" s="68" t="n">
        <v>0</v>
      </c>
      <c r="S28" s="68" t="n">
        <v>0</v>
      </c>
      <c r="T28" s="63">
        <f>J28-IF(AND(OR(oil_compact=0,$A28&lt;compact_year),$A28&gt;=1931,$A28&lt;=1933),gulf_wage_dip,0)</f>
        <v/>
      </c>
      <c r="U28" s="47">
        <f>IF($A28&lt;1900,0,IF(F28&lt;=G28,1,0))</f>
        <v/>
      </c>
      <c r="V28" s="47">
        <f>IF($A28&lt;1900,0,IF(H28&gt;=I28,1,0))</f>
        <v/>
      </c>
      <c r="W28" s="47">
        <f>IF($A28&lt;1900,0,IF(T28&gt;=K28,1,0))</f>
        <v/>
      </c>
      <c r="X28" s="47">
        <f>IF($A28&lt;1900,0,IF(L28&lt;=M28,1,0))</f>
        <v/>
      </c>
      <c r="Y28" s="47">
        <f>IF($A28&lt;1900,0,IF(N28&lt;=O28,1,0))</f>
        <v/>
      </c>
      <c r="Z28" s="47">
        <f>IF($A28&lt;1900,0,IF(P28&lt;=Q28,1,0))</f>
        <v/>
      </c>
      <c r="AA28" s="47">
        <f>IF($A28&lt;1900,0,IF(R28&gt;=S28,1,0))</f>
        <v/>
      </c>
      <c r="AB28" s="47">
        <f>IF(SUM(U28:Y28)=5,1,0)</f>
        <v/>
      </c>
      <c r="AC28" s="47">
        <f>IF(Z28+AA28=2,1,0)</f>
        <v/>
      </c>
      <c r="AD28" s="47">
        <f>IF(AND(AB28=1,AC28=1),1,0)</f>
        <v/>
      </c>
      <c r="AE28" s="47">
        <f>IF(AD28=1,AE27+1,0)</f>
        <v/>
      </c>
      <c r="AF28" s="47">
        <f>IF(AE27&gt;=gulf_years_req,1,0)</f>
        <v/>
      </c>
    </row>
    <row r="29">
      <c r="A29" s="58" t="n">
        <v>1869</v>
      </c>
      <c r="B29" s="45" t="n">
        <v>0</v>
      </c>
      <c r="C29" s="68" t="n">
        <v>0</v>
      </c>
      <c r="D29" s="47">
        <f>Partners!Q29*(1-IF(AND(OR(oil_compact=0,$A29&lt;compact_year),OR($A29=1931,$A29=1932)),gulf_glut_gdp,0))</f>
        <v/>
      </c>
      <c r="E29" s="47">
        <f>IF(AND(gulf_on=1,$A29&gt;=gulf_year),1,0)</f>
        <v/>
      </c>
      <c r="F29" s="45" t="n">
        <v>0</v>
      </c>
      <c r="G29" s="45" t="n">
        <v>0</v>
      </c>
      <c r="H29" s="59" t="n">
        <v>0</v>
      </c>
      <c r="I29" s="59" t="n">
        <v>0</v>
      </c>
      <c r="J29" s="59" t="n">
        <v>0</v>
      </c>
      <c r="K29" s="59" t="n">
        <v>0</v>
      </c>
      <c r="L29" s="52" t="n">
        <v>0</v>
      </c>
      <c r="M29" s="52" t="n">
        <v>0</v>
      </c>
      <c r="N29" s="52" t="n">
        <v>0</v>
      </c>
      <c r="O29" s="52" t="n">
        <v>0</v>
      </c>
      <c r="P29" s="68" t="n">
        <v>0</v>
      </c>
      <c r="Q29" s="68" t="n">
        <v>0</v>
      </c>
      <c r="R29" s="68" t="n">
        <v>0</v>
      </c>
      <c r="S29" s="68" t="n">
        <v>0</v>
      </c>
      <c r="T29" s="63">
        <f>J29-IF(AND(OR(oil_compact=0,$A29&lt;compact_year),$A29&gt;=1931,$A29&lt;=1933),gulf_wage_dip,0)</f>
        <v/>
      </c>
      <c r="U29" s="47">
        <f>IF($A29&lt;1900,0,IF(F29&lt;=G29,1,0))</f>
        <v/>
      </c>
      <c r="V29" s="47">
        <f>IF($A29&lt;1900,0,IF(H29&gt;=I29,1,0))</f>
        <v/>
      </c>
      <c r="W29" s="47">
        <f>IF($A29&lt;1900,0,IF(T29&gt;=K29,1,0))</f>
        <v/>
      </c>
      <c r="X29" s="47">
        <f>IF($A29&lt;1900,0,IF(L29&lt;=M29,1,0))</f>
        <v/>
      </c>
      <c r="Y29" s="47">
        <f>IF($A29&lt;1900,0,IF(N29&lt;=O29,1,0))</f>
        <v/>
      </c>
      <c r="Z29" s="47">
        <f>IF($A29&lt;1900,0,IF(P29&lt;=Q29,1,0))</f>
        <v/>
      </c>
      <c r="AA29" s="47">
        <f>IF($A29&lt;1900,0,IF(R29&gt;=S29,1,0))</f>
        <v/>
      </c>
      <c r="AB29" s="47">
        <f>IF(SUM(U29:Y29)=5,1,0)</f>
        <v/>
      </c>
      <c r="AC29" s="47">
        <f>IF(Z29+AA29=2,1,0)</f>
        <v/>
      </c>
      <c r="AD29" s="47">
        <f>IF(AND(AB29=1,AC29=1),1,0)</f>
        <v/>
      </c>
      <c r="AE29" s="47">
        <f>IF(AD29=1,AE28+1,0)</f>
        <v/>
      </c>
      <c r="AF29" s="47">
        <f>IF(AE28&gt;=gulf_years_req,1,0)</f>
        <v/>
      </c>
    </row>
    <row r="30">
      <c r="A30" s="61" t="n">
        <v>1870</v>
      </c>
      <c r="B30" s="45" t="n">
        <v>0</v>
      </c>
      <c r="C30" s="68" t="n">
        <v>0</v>
      </c>
      <c r="D30" s="47">
        <f>Partners!Q30*(1-IF(AND(OR(oil_compact=0,$A30&lt;compact_year),OR($A30=1931,$A30=1932)),gulf_glut_gdp,0))</f>
        <v/>
      </c>
      <c r="E30" s="47">
        <f>IF(AND(gulf_on=1,$A30&gt;=gulf_year),1,0)</f>
        <v/>
      </c>
      <c r="F30" s="45" t="n">
        <v>0</v>
      </c>
      <c r="G30" s="45" t="n">
        <v>0</v>
      </c>
      <c r="H30" s="59" t="n">
        <v>0</v>
      </c>
      <c r="I30" s="59" t="n">
        <v>0</v>
      </c>
      <c r="J30" s="59" t="n">
        <v>0</v>
      </c>
      <c r="K30" s="59" t="n">
        <v>0</v>
      </c>
      <c r="L30" s="52" t="n">
        <v>0</v>
      </c>
      <c r="M30" s="52" t="n">
        <v>0</v>
      </c>
      <c r="N30" s="52" t="n">
        <v>0</v>
      </c>
      <c r="O30" s="52" t="n">
        <v>0</v>
      </c>
      <c r="P30" s="68" t="n">
        <v>0</v>
      </c>
      <c r="Q30" s="68" t="n">
        <v>0</v>
      </c>
      <c r="R30" s="68" t="n">
        <v>0</v>
      </c>
      <c r="S30" s="68" t="n">
        <v>0</v>
      </c>
      <c r="T30" s="63">
        <f>J30-IF(AND(OR(oil_compact=0,$A30&lt;compact_year),$A30&gt;=1931,$A30&lt;=1933),gulf_wage_dip,0)</f>
        <v/>
      </c>
      <c r="U30" s="47">
        <f>IF($A30&lt;1900,0,IF(F30&lt;=G30,1,0))</f>
        <v/>
      </c>
      <c r="V30" s="47">
        <f>IF($A30&lt;1900,0,IF(H30&gt;=I30,1,0))</f>
        <v/>
      </c>
      <c r="W30" s="47">
        <f>IF($A30&lt;1900,0,IF(T30&gt;=K30,1,0))</f>
        <v/>
      </c>
      <c r="X30" s="47">
        <f>IF($A30&lt;1900,0,IF(L30&lt;=M30,1,0))</f>
        <v/>
      </c>
      <c r="Y30" s="47">
        <f>IF($A30&lt;1900,0,IF(N30&lt;=O30,1,0))</f>
        <v/>
      </c>
      <c r="Z30" s="47">
        <f>IF($A30&lt;1900,0,IF(P30&lt;=Q30,1,0))</f>
        <v/>
      </c>
      <c r="AA30" s="47">
        <f>IF($A30&lt;1900,0,IF(R30&gt;=S30,1,0))</f>
        <v/>
      </c>
      <c r="AB30" s="47">
        <f>IF(SUM(U30:Y30)=5,1,0)</f>
        <v/>
      </c>
      <c r="AC30" s="47">
        <f>IF(Z30+AA30=2,1,0)</f>
        <v/>
      </c>
      <c r="AD30" s="47">
        <f>IF(AND(AB30=1,AC30=1),1,0)</f>
        <v/>
      </c>
      <c r="AE30" s="47">
        <f>IF(AD30=1,AE29+1,0)</f>
        <v/>
      </c>
      <c r="AF30" s="47">
        <f>IF(AE29&gt;=gulf_years_req,1,0)</f>
        <v/>
      </c>
    </row>
    <row r="31">
      <c r="A31" s="61" t="n">
        <v>1871</v>
      </c>
      <c r="B31" s="45" t="n">
        <v>0</v>
      </c>
      <c r="C31" s="68" t="n">
        <v>0</v>
      </c>
      <c r="D31" s="47">
        <f>Partners!Q31*(1-IF(AND(OR(oil_compact=0,$A31&lt;compact_year),OR($A31=1931,$A31=1932)),gulf_glut_gdp,0))</f>
        <v/>
      </c>
      <c r="E31" s="47">
        <f>IF(AND(gulf_on=1,$A31&gt;=gulf_year),1,0)</f>
        <v/>
      </c>
      <c r="F31" s="45" t="n">
        <v>0</v>
      </c>
      <c r="G31" s="45" t="n">
        <v>0</v>
      </c>
      <c r="H31" s="59" t="n">
        <v>0</v>
      </c>
      <c r="I31" s="59" t="n">
        <v>0</v>
      </c>
      <c r="J31" s="59" t="n">
        <v>0</v>
      </c>
      <c r="K31" s="59" t="n">
        <v>0</v>
      </c>
      <c r="L31" s="52" t="n">
        <v>0</v>
      </c>
      <c r="M31" s="52" t="n">
        <v>0</v>
      </c>
      <c r="N31" s="52" t="n">
        <v>0</v>
      </c>
      <c r="O31" s="52" t="n">
        <v>0</v>
      </c>
      <c r="P31" s="68" t="n">
        <v>0</v>
      </c>
      <c r="Q31" s="68" t="n">
        <v>0</v>
      </c>
      <c r="R31" s="68" t="n">
        <v>0</v>
      </c>
      <c r="S31" s="68" t="n">
        <v>0</v>
      </c>
      <c r="T31" s="63">
        <f>J31-IF(AND(OR(oil_compact=0,$A31&lt;compact_year),$A31&gt;=1931,$A31&lt;=1933),gulf_wage_dip,0)</f>
        <v/>
      </c>
      <c r="U31" s="47">
        <f>IF($A31&lt;1900,0,IF(F31&lt;=G31,1,0))</f>
        <v/>
      </c>
      <c r="V31" s="47">
        <f>IF($A31&lt;1900,0,IF(H31&gt;=I31,1,0))</f>
        <v/>
      </c>
      <c r="W31" s="47">
        <f>IF($A31&lt;1900,0,IF(T31&gt;=K31,1,0))</f>
        <v/>
      </c>
      <c r="X31" s="47">
        <f>IF($A31&lt;1900,0,IF(L31&lt;=M31,1,0))</f>
        <v/>
      </c>
      <c r="Y31" s="47">
        <f>IF($A31&lt;1900,0,IF(N31&lt;=O31,1,0))</f>
        <v/>
      </c>
      <c r="Z31" s="47">
        <f>IF($A31&lt;1900,0,IF(P31&lt;=Q31,1,0))</f>
        <v/>
      </c>
      <c r="AA31" s="47">
        <f>IF($A31&lt;1900,0,IF(R31&gt;=S31,1,0))</f>
        <v/>
      </c>
      <c r="AB31" s="47">
        <f>IF(SUM(U31:Y31)=5,1,0)</f>
        <v/>
      </c>
      <c r="AC31" s="47">
        <f>IF(Z31+AA31=2,1,0)</f>
        <v/>
      </c>
      <c r="AD31" s="47">
        <f>IF(AND(AB31=1,AC31=1),1,0)</f>
        <v/>
      </c>
      <c r="AE31" s="47">
        <f>IF(AD31=1,AE30+1,0)</f>
        <v/>
      </c>
      <c r="AF31" s="47">
        <f>IF(AE30&gt;=gulf_years_req,1,0)</f>
        <v/>
      </c>
    </row>
    <row r="32">
      <c r="A32" s="58" t="n">
        <v>1872</v>
      </c>
      <c r="B32" s="45" t="n">
        <v>0</v>
      </c>
      <c r="C32" s="68" t="n">
        <v>0</v>
      </c>
      <c r="D32" s="47">
        <f>Partners!Q32*(1-IF(AND(OR(oil_compact=0,$A32&lt;compact_year),OR($A32=1931,$A32=1932)),gulf_glut_gdp,0))</f>
        <v/>
      </c>
      <c r="E32" s="47">
        <f>IF(AND(gulf_on=1,$A32&gt;=gulf_year),1,0)</f>
        <v/>
      </c>
      <c r="F32" s="45" t="n">
        <v>0</v>
      </c>
      <c r="G32" s="45" t="n">
        <v>0</v>
      </c>
      <c r="H32" s="59" t="n">
        <v>0</v>
      </c>
      <c r="I32" s="59" t="n">
        <v>0</v>
      </c>
      <c r="J32" s="59" t="n">
        <v>0</v>
      </c>
      <c r="K32" s="59" t="n">
        <v>0</v>
      </c>
      <c r="L32" s="52" t="n">
        <v>0</v>
      </c>
      <c r="M32" s="52" t="n">
        <v>0</v>
      </c>
      <c r="N32" s="52" t="n">
        <v>0</v>
      </c>
      <c r="O32" s="52" t="n">
        <v>0</v>
      </c>
      <c r="P32" s="68" t="n">
        <v>0</v>
      </c>
      <c r="Q32" s="68" t="n">
        <v>0</v>
      </c>
      <c r="R32" s="68" t="n">
        <v>0</v>
      </c>
      <c r="S32" s="68" t="n">
        <v>0</v>
      </c>
      <c r="T32" s="63">
        <f>J32-IF(AND(OR(oil_compact=0,$A32&lt;compact_year),$A32&gt;=1931,$A32&lt;=1933),gulf_wage_dip,0)</f>
        <v/>
      </c>
      <c r="U32" s="47">
        <f>IF($A32&lt;1900,0,IF(F32&lt;=G32,1,0))</f>
        <v/>
      </c>
      <c r="V32" s="47">
        <f>IF($A32&lt;1900,0,IF(H32&gt;=I32,1,0))</f>
        <v/>
      </c>
      <c r="W32" s="47">
        <f>IF($A32&lt;1900,0,IF(T32&gt;=K32,1,0))</f>
        <v/>
      </c>
      <c r="X32" s="47">
        <f>IF($A32&lt;1900,0,IF(L32&lt;=M32,1,0))</f>
        <v/>
      </c>
      <c r="Y32" s="47">
        <f>IF($A32&lt;1900,0,IF(N32&lt;=O32,1,0))</f>
        <v/>
      </c>
      <c r="Z32" s="47">
        <f>IF($A32&lt;1900,0,IF(P32&lt;=Q32,1,0))</f>
        <v/>
      </c>
      <c r="AA32" s="47">
        <f>IF($A32&lt;1900,0,IF(R32&gt;=S32,1,0))</f>
        <v/>
      </c>
      <c r="AB32" s="47">
        <f>IF(SUM(U32:Y32)=5,1,0)</f>
        <v/>
      </c>
      <c r="AC32" s="47">
        <f>IF(Z32+AA32=2,1,0)</f>
        <v/>
      </c>
      <c r="AD32" s="47">
        <f>IF(AND(AB32=1,AC32=1),1,0)</f>
        <v/>
      </c>
      <c r="AE32" s="47">
        <f>IF(AD32=1,AE31+1,0)</f>
        <v/>
      </c>
      <c r="AF32" s="47">
        <f>IF(AE31&gt;=gulf_years_req,1,0)</f>
        <v/>
      </c>
    </row>
    <row r="33">
      <c r="A33" s="58" t="n">
        <v>1873</v>
      </c>
      <c r="B33" s="45" t="n">
        <v>0</v>
      </c>
      <c r="C33" s="68" t="n">
        <v>0</v>
      </c>
      <c r="D33" s="47">
        <f>Partners!Q33*(1-IF(AND(OR(oil_compact=0,$A33&lt;compact_year),OR($A33=1931,$A33=1932)),gulf_glut_gdp,0))</f>
        <v/>
      </c>
      <c r="E33" s="47">
        <f>IF(AND(gulf_on=1,$A33&gt;=gulf_year),1,0)</f>
        <v/>
      </c>
      <c r="F33" s="45" t="n">
        <v>0</v>
      </c>
      <c r="G33" s="45" t="n">
        <v>0</v>
      </c>
      <c r="H33" s="59" t="n">
        <v>0</v>
      </c>
      <c r="I33" s="59" t="n">
        <v>0</v>
      </c>
      <c r="J33" s="59" t="n">
        <v>0</v>
      </c>
      <c r="K33" s="59" t="n">
        <v>0</v>
      </c>
      <c r="L33" s="52" t="n">
        <v>0</v>
      </c>
      <c r="M33" s="52" t="n">
        <v>0</v>
      </c>
      <c r="N33" s="52" t="n">
        <v>0</v>
      </c>
      <c r="O33" s="52" t="n">
        <v>0</v>
      </c>
      <c r="P33" s="68" t="n">
        <v>0</v>
      </c>
      <c r="Q33" s="68" t="n">
        <v>0</v>
      </c>
      <c r="R33" s="68" t="n">
        <v>0</v>
      </c>
      <c r="S33" s="68" t="n">
        <v>0</v>
      </c>
      <c r="T33" s="63">
        <f>J33-IF(AND(OR(oil_compact=0,$A33&lt;compact_year),$A33&gt;=1931,$A33&lt;=1933),gulf_wage_dip,0)</f>
        <v/>
      </c>
      <c r="U33" s="47">
        <f>IF($A33&lt;1900,0,IF(F33&lt;=G33,1,0))</f>
        <v/>
      </c>
      <c r="V33" s="47">
        <f>IF($A33&lt;1900,0,IF(H33&gt;=I33,1,0))</f>
        <v/>
      </c>
      <c r="W33" s="47">
        <f>IF($A33&lt;1900,0,IF(T33&gt;=K33,1,0))</f>
        <v/>
      </c>
      <c r="X33" s="47">
        <f>IF($A33&lt;1900,0,IF(L33&lt;=M33,1,0))</f>
        <v/>
      </c>
      <c r="Y33" s="47">
        <f>IF($A33&lt;1900,0,IF(N33&lt;=O33,1,0))</f>
        <v/>
      </c>
      <c r="Z33" s="47">
        <f>IF($A33&lt;1900,0,IF(P33&lt;=Q33,1,0))</f>
        <v/>
      </c>
      <c r="AA33" s="47">
        <f>IF($A33&lt;1900,0,IF(R33&gt;=S33,1,0))</f>
        <v/>
      </c>
      <c r="AB33" s="47">
        <f>IF(SUM(U33:Y33)=5,1,0)</f>
        <v/>
      </c>
      <c r="AC33" s="47">
        <f>IF(Z33+AA33=2,1,0)</f>
        <v/>
      </c>
      <c r="AD33" s="47">
        <f>IF(AND(AB33=1,AC33=1),1,0)</f>
        <v/>
      </c>
      <c r="AE33" s="47">
        <f>IF(AD33=1,AE32+1,0)</f>
        <v/>
      </c>
      <c r="AF33" s="47">
        <f>IF(AE32&gt;=gulf_years_req,1,0)</f>
        <v/>
      </c>
    </row>
    <row r="34">
      <c r="A34" s="58" t="n">
        <v>1874</v>
      </c>
      <c r="B34" s="45" t="n">
        <v>0</v>
      </c>
      <c r="C34" s="68" t="n">
        <v>0</v>
      </c>
      <c r="D34" s="47">
        <f>Partners!Q34*(1-IF(AND(OR(oil_compact=0,$A34&lt;compact_year),OR($A34=1931,$A34=1932)),gulf_glut_gdp,0))</f>
        <v/>
      </c>
      <c r="E34" s="47">
        <f>IF(AND(gulf_on=1,$A34&gt;=gulf_year),1,0)</f>
        <v/>
      </c>
      <c r="F34" s="45" t="n">
        <v>0</v>
      </c>
      <c r="G34" s="45" t="n">
        <v>0</v>
      </c>
      <c r="H34" s="59" t="n">
        <v>0</v>
      </c>
      <c r="I34" s="59" t="n">
        <v>0</v>
      </c>
      <c r="J34" s="59" t="n">
        <v>0</v>
      </c>
      <c r="K34" s="59" t="n">
        <v>0</v>
      </c>
      <c r="L34" s="52" t="n">
        <v>0</v>
      </c>
      <c r="M34" s="52" t="n">
        <v>0</v>
      </c>
      <c r="N34" s="52" t="n">
        <v>0</v>
      </c>
      <c r="O34" s="52" t="n">
        <v>0</v>
      </c>
      <c r="P34" s="68" t="n">
        <v>0</v>
      </c>
      <c r="Q34" s="68" t="n">
        <v>0</v>
      </c>
      <c r="R34" s="68" t="n">
        <v>0</v>
      </c>
      <c r="S34" s="68" t="n">
        <v>0</v>
      </c>
      <c r="T34" s="63">
        <f>J34-IF(AND(OR(oil_compact=0,$A34&lt;compact_year),$A34&gt;=1931,$A34&lt;=1933),gulf_wage_dip,0)</f>
        <v/>
      </c>
      <c r="U34" s="47">
        <f>IF($A34&lt;1900,0,IF(F34&lt;=G34,1,0))</f>
        <v/>
      </c>
      <c r="V34" s="47">
        <f>IF($A34&lt;1900,0,IF(H34&gt;=I34,1,0))</f>
        <v/>
      </c>
      <c r="W34" s="47">
        <f>IF($A34&lt;1900,0,IF(T34&gt;=K34,1,0))</f>
        <v/>
      </c>
      <c r="X34" s="47">
        <f>IF($A34&lt;1900,0,IF(L34&lt;=M34,1,0))</f>
        <v/>
      </c>
      <c r="Y34" s="47">
        <f>IF($A34&lt;1900,0,IF(N34&lt;=O34,1,0))</f>
        <v/>
      </c>
      <c r="Z34" s="47">
        <f>IF($A34&lt;1900,0,IF(P34&lt;=Q34,1,0))</f>
        <v/>
      </c>
      <c r="AA34" s="47">
        <f>IF($A34&lt;1900,0,IF(R34&gt;=S34,1,0))</f>
        <v/>
      </c>
      <c r="AB34" s="47">
        <f>IF(SUM(U34:Y34)=5,1,0)</f>
        <v/>
      </c>
      <c r="AC34" s="47">
        <f>IF(Z34+AA34=2,1,0)</f>
        <v/>
      </c>
      <c r="AD34" s="47">
        <f>IF(AND(AB34=1,AC34=1),1,0)</f>
        <v/>
      </c>
      <c r="AE34" s="47">
        <f>IF(AD34=1,AE33+1,0)</f>
        <v/>
      </c>
      <c r="AF34" s="47">
        <f>IF(AE33&gt;=gulf_years_req,1,0)</f>
        <v/>
      </c>
    </row>
    <row r="35">
      <c r="A35" s="58" t="n">
        <v>1875</v>
      </c>
      <c r="B35" s="45" t="n">
        <v>0</v>
      </c>
      <c r="C35" s="68" t="n">
        <v>0</v>
      </c>
      <c r="D35" s="47">
        <f>Partners!Q35*(1-IF(AND(OR(oil_compact=0,$A35&lt;compact_year),OR($A35=1931,$A35=1932)),gulf_glut_gdp,0))</f>
        <v/>
      </c>
      <c r="E35" s="47">
        <f>IF(AND(gulf_on=1,$A35&gt;=gulf_year),1,0)</f>
        <v/>
      </c>
      <c r="F35" s="45" t="n">
        <v>0</v>
      </c>
      <c r="G35" s="45" t="n">
        <v>0</v>
      </c>
      <c r="H35" s="59" t="n">
        <v>0</v>
      </c>
      <c r="I35" s="59" t="n">
        <v>0</v>
      </c>
      <c r="J35" s="59" t="n">
        <v>0</v>
      </c>
      <c r="K35" s="59" t="n">
        <v>0</v>
      </c>
      <c r="L35" s="52" t="n">
        <v>0</v>
      </c>
      <c r="M35" s="52" t="n">
        <v>0</v>
      </c>
      <c r="N35" s="52" t="n">
        <v>0</v>
      </c>
      <c r="O35" s="52" t="n">
        <v>0</v>
      </c>
      <c r="P35" s="68" t="n">
        <v>0</v>
      </c>
      <c r="Q35" s="68" t="n">
        <v>0</v>
      </c>
      <c r="R35" s="68" t="n">
        <v>0</v>
      </c>
      <c r="S35" s="68" t="n">
        <v>0</v>
      </c>
      <c r="T35" s="63">
        <f>J35-IF(AND(OR(oil_compact=0,$A35&lt;compact_year),$A35&gt;=1931,$A35&lt;=1933),gulf_wage_dip,0)</f>
        <v/>
      </c>
      <c r="U35" s="47">
        <f>IF($A35&lt;1900,0,IF(F35&lt;=G35,1,0))</f>
        <v/>
      </c>
      <c r="V35" s="47">
        <f>IF($A35&lt;1900,0,IF(H35&gt;=I35,1,0))</f>
        <v/>
      </c>
      <c r="W35" s="47">
        <f>IF($A35&lt;1900,0,IF(T35&gt;=K35,1,0))</f>
        <v/>
      </c>
      <c r="X35" s="47">
        <f>IF($A35&lt;1900,0,IF(L35&lt;=M35,1,0))</f>
        <v/>
      </c>
      <c r="Y35" s="47">
        <f>IF($A35&lt;1900,0,IF(N35&lt;=O35,1,0))</f>
        <v/>
      </c>
      <c r="Z35" s="47">
        <f>IF($A35&lt;1900,0,IF(P35&lt;=Q35,1,0))</f>
        <v/>
      </c>
      <c r="AA35" s="47">
        <f>IF($A35&lt;1900,0,IF(R35&gt;=S35,1,0))</f>
        <v/>
      </c>
      <c r="AB35" s="47">
        <f>IF(SUM(U35:Y35)=5,1,0)</f>
        <v/>
      </c>
      <c r="AC35" s="47">
        <f>IF(Z35+AA35=2,1,0)</f>
        <v/>
      </c>
      <c r="AD35" s="47">
        <f>IF(AND(AB35=1,AC35=1),1,0)</f>
        <v/>
      </c>
      <c r="AE35" s="47">
        <f>IF(AD35=1,AE34+1,0)</f>
        <v/>
      </c>
      <c r="AF35" s="47">
        <f>IF(AE34&gt;=gulf_years_req,1,0)</f>
        <v/>
      </c>
    </row>
    <row r="36">
      <c r="A36" s="58" t="n">
        <v>1876</v>
      </c>
      <c r="B36" s="45" t="n">
        <v>0</v>
      </c>
      <c r="C36" s="68" t="n">
        <v>0</v>
      </c>
      <c r="D36" s="47">
        <f>Partners!Q36*(1-IF(AND(OR(oil_compact=0,$A36&lt;compact_year),OR($A36=1931,$A36=1932)),gulf_glut_gdp,0))</f>
        <v/>
      </c>
      <c r="E36" s="47">
        <f>IF(AND(gulf_on=1,$A36&gt;=gulf_year),1,0)</f>
        <v/>
      </c>
      <c r="F36" s="45" t="n">
        <v>0</v>
      </c>
      <c r="G36" s="45" t="n">
        <v>0</v>
      </c>
      <c r="H36" s="59" t="n">
        <v>0</v>
      </c>
      <c r="I36" s="59" t="n">
        <v>0</v>
      </c>
      <c r="J36" s="59" t="n">
        <v>0</v>
      </c>
      <c r="K36" s="59" t="n">
        <v>0</v>
      </c>
      <c r="L36" s="52" t="n">
        <v>0</v>
      </c>
      <c r="M36" s="52" t="n">
        <v>0</v>
      </c>
      <c r="N36" s="52" t="n">
        <v>0</v>
      </c>
      <c r="O36" s="52" t="n">
        <v>0</v>
      </c>
      <c r="P36" s="68" t="n">
        <v>0</v>
      </c>
      <c r="Q36" s="68" t="n">
        <v>0</v>
      </c>
      <c r="R36" s="68" t="n">
        <v>0</v>
      </c>
      <c r="S36" s="68" t="n">
        <v>0</v>
      </c>
      <c r="T36" s="63">
        <f>J36-IF(AND(OR(oil_compact=0,$A36&lt;compact_year),$A36&gt;=1931,$A36&lt;=1933),gulf_wage_dip,0)</f>
        <v/>
      </c>
      <c r="U36" s="47">
        <f>IF($A36&lt;1900,0,IF(F36&lt;=G36,1,0))</f>
        <v/>
      </c>
      <c r="V36" s="47">
        <f>IF($A36&lt;1900,0,IF(H36&gt;=I36,1,0))</f>
        <v/>
      </c>
      <c r="W36" s="47">
        <f>IF($A36&lt;1900,0,IF(T36&gt;=K36,1,0))</f>
        <v/>
      </c>
      <c r="X36" s="47">
        <f>IF($A36&lt;1900,0,IF(L36&lt;=M36,1,0))</f>
        <v/>
      </c>
      <c r="Y36" s="47">
        <f>IF($A36&lt;1900,0,IF(N36&lt;=O36,1,0))</f>
        <v/>
      </c>
      <c r="Z36" s="47">
        <f>IF($A36&lt;1900,0,IF(P36&lt;=Q36,1,0))</f>
        <v/>
      </c>
      <c r="AA36" s="47">
        <f>IF($A36&lt;1900,0,IF(R36&gt;=S36,1,0))</f>
        <v/>
      </c>
      <c r="AB36" s="47">
        <f>IF(SUM(U36:Y36)=5,1,0)</f>
        <v/>
      </c>
      <c r="AC36" s="47">
        <f>IF(Z36+AA36=2,1,0)</f>
        <v/>
      </c>
      <c r="AD36" s="47">
        <f>IF(AND(AB36=1,AC36=1),1,0)</f>
        <v/>
      </c>
      <c r="AE36" s="47">
        <f>IF(AD36=1,AE35+1,0)</f>
        <v/>
      </c>
      <c r="AF36" s="47">
        <f>IF(AE35&gt;=gulf_years_req,1,0)</f>
        <v/>
      </c>
    </row>
    <row r="37">
      <c r="A37" s="58" t="n">
        <v>1877</v>
      </c>
      <c r="B37" s="45" t="n">
        <v>0</v>
      </c>
      <c r="C37" s="68" t="n">
        <v>0</v>
      </c>
      <c r="D37" s="47">
        <f>Partners!Q37*(1-IF(AND(OR(oil_compact=0,$A37&lt;compact_year),OR($A37=1931,$A37=1932)),gulf_glut_gdp,0))</f>
        <v/>
      </c>
      <c r="E37" s="47">
        <f>IF(AND(gulf_on=1,$A37&gt;=gulf_year),1,0)</f>
        <v/>
      </c>
      <c r="F37" s="45" t="n">
        <v>0</v>
      </c>
      <c r="G37" s="45" t="n">
        <v>0</v>
      </c>
      <c r="H37" s="59" t="n">
        <v>0</v>
      </c>
      <c r="I37" s="59" t="n">
        <v>0</v>
      </c>
      <c r="J37" s="59" t="n">
        <v>0</v>
      </c>
      <c r="K37" s="59" t="n">
        <v>0</v>
      </c>
      <c r="L37" s="52" t="n">
        <v>0</v>
      </c>
      <c r="M37" s="52" t="n">
        <v>0</v>
      </c>
      <c r="N37" s="52" t="n">
        <v>0</v>
      </c>
      <c r="O37" s="52" t="n">
        <v>0</v>
      </c>
      <c r="P37" s="68" t="n">
        <v>0</v>
      </c>
      <c r="Q37" s="68" t="n">
        <v>0</v>
      </c>
      <c r="R37" s="68" t="n">
        <v>0</v>
      </c>
      <c r="S37" s="68" t="n">
        <v>0</v>
      </c>
      <c r="T37" s="63">
        <f>J37-IF(AND(OR(oil_compact=0,$A37&lt;compact_year),$A37&gt;=1931,$A37&lt;=1933),gulf_wage_dip,0)</f>
        <v/>
      </c>
      <c r="U37" s="47">
        <f>IF($A37&lt;1900,0,IF(F37&lt;=G37,1,0))</f>
        <v/>
      </c>
      <c r="V37" s="47">
        <f>IF($A37&lt;1900,0,IF(H37&gt;=I37,1,0))</f>
        <v/>
      </c>
      <c r="W37" s="47">
        <f>IF($A37&lt;1900,0,IF(T37&gt;=K37,1,0))</f>
        <v/>
      </c>
      <c r="X37" s="47">
        <f>IF($A37&lt;1900,0,IF(L37&lt;=M37,1,0))</f>
        <v/>
      </c>
      <c r="Y37" s="47">
        <f>IF($A37&lt;1900,0,IF(N37&lt;=O37,1,0))</f>
        <v/>
      </c>
      <c r="Z37" s="47">
        <f>IF($A37&lt;1900,0,IF(P37&lt;=Q37,1,0))</f>
        <v/>
      </c>
      <c r="AA37" s="47">
        <f>IF($A37&lt;1900,0,IF(R37&gt;=S37,1,0))</f>
        <v/>
      </c>
      <c r="AB37" s="47">
        <f>IF(SUM(U37:Y37)=5,1,0)</f>
        <v/>
      </c>
      <c r="AC37" s="47">
        <f>IF(Z37+AA37=2,1,0)</f>
        <v/>
      </c>
      <c r="AD37" s="47">
        <f>IF(AND(AB37=1,AC37=1),1,0)</f>
        <v/>
      </c>
      <c r="AE37" s="47">
        <f>IF(AD37=1,AE36+1,0)</f>
        <v/>
      </c>
      <c r="AF37" s="47">
        <f>IF(AE36&gt;=gulf_years_req,1,0)</f>
        <v/>
      </c>
    </row>
    <row r="38">
      <c r="A38" s="58" t="n">
        <v>1878</v>
      </c>
      <c r="B38" s="45" t="n">
        <v>0</v>
      </c>
      <c r="C38" s="68" t="n">
        <v>0</v>
      </c>
      <c r="D38" s="47">
        <f>Partners!Q38*(1-IF(AND(OR(oil_compact=0,$A38&lt;compact_year),OR($A38=1931,$A38=1932)),gulf_glut_gdp,0))</f>
        <v/>
      </c>
      <c r="E38" s="47">
        <f>IF(AND(gulf_on=1,$A38&gt;=gulf_year),1,0)</f>
        <v/>
      </c>
      <c r="F38" s="45" t="n">
        <v>0</v>
      </c>
      <c r="G38" s="45" t="n">
        <v>0</v>
      </c>
      <c r="H38" s="59" t="n">
        <v>0</v>
      </c>
      <c r="I38" s="59" t="n">
        <v>0</v>
      </c>
      <c r="J38" s="59" t="n">
        <v>0</v>
      </c>
      <c r="K38" s="59" t="n">
        <v>0</v>
      </c>
      <c r="L38" s="52" t="n">
        <v>0</v>
      </c>
      <c r="M38" s="52" t="n">
        <v>0</v>
      </c>
      <c r="N38" s="52" t="n">
        <v>0</v>
      </c>
      <c r="O38" s="52" t="n">
        <v>0</v>
      </c>
      <c r="P38" s="68" t="n">
        <v>0</v>
      </c>
      <c r="Q38" s="68" t="n">
        <v>0</v>
      </c>
      <c r="R38" s="68" t="n">
        <v>0</v>
      </c>
      <c r="S38" s="68" t="n">
        <v>0</v>
      </c>
      <c r="T38" s="63">
        <f>J38-IF(AND(OR(oil_compact=0,$A38&lt;compact_year),$A38&gt;=1931,$A38&lt;=1933),gulf_wage_dip,0)</f>
        <v/>
      </c>
      <c r="U38" s="47">
        <f>IF($A38&lt;1900,0,IF(F38&lt;=G38,1,0))</f>
        <v/>
      </c>
      <c r="V38" s="47">
        <f>IF($A38&lt;1900,0,IF(H38&gt;=I38,1,0))</f>
        <v/>
      </c>
      <c r="W38" s="47">
        <f>IF($A38&lt;1900,0,IF(T38&gt;=K38,1,0))</f>
        <v/>
      </c>
      <c r="X38" s="47">
        <f>IF($A38&lt;1900,0,IF(L38&lt;=M38,1,0))</f>
        <v/>
      </c>
      <c r="Y38" s="47">
        <f>IF($A38&lt;1900,0,IF(N38&lt;=O38,1,0))</f>
        <v/>
      </c>
      <c r="Z38" s="47">
        <f>IF($A38&lt;1900,0,IF(P38&lt;=Q38,1,0))</f>
        <v/>
      </c>
      <c r="AA38" s="47">
        <f>IF($A38&lt;1900,0,IF(R38&gt;=S38,1,0))</f>
        <v/>
      </c>
      <c r="AB38" s="47">
        <f>IF(SUM(U38:Y38)=5,1,0)</f>
        <v/>
      </c>
      <c r="AC38" s="47">
        <f>IF(Z38+AA38=2,1,0)</f>
        <v/>
      </c>
      <c r="AD38" s="47">
        <f>IF(AND(AB38=1,AC38=1),1,0)</f>
        <v/>
      </c>
      <c r="AE38" s="47">
        <f>IF(AD38=1,AE37+1,0)</f>
        <v/>
      </c>
      <c r="AF38" s="47">
        <f>IF(AE37&gt;=gulf_years_req,1,0)</f>
        <v/>
      </c>
    </row>
    <row r="39">
      <c r="A39" s="58" t="n">
        <v>1879</v>
      </c>
      <c r="B39" s="45" t="n">
        <v>0</v>
      </c>
      <c r="C39" s="68" t="n">
        <v>0</v>
      </c>
      <c r="D39" s="47">
        <f>Partners!Q39*(1-IF(AND(OR(oil_compact=0,$A39&lt;compact_year),OR($A39=1931,$A39=1932)),gulf_glut_gdp,0))</f>
        <v/>
      </c>
      <c r="E39" s="47">
        <f>IF(AND(gulf_on=1,$A39&gt;=gulf_year),1,0)</f>
        <v/>
      </c>
      <c r="F39" s="45" t="n">
        <v>0</v>
      </c>
      <c r="G39" s="45" t="n">
        <v>0</v>
      </c>
      <c r="H39" s="59" t="n">
        <v>0</v>
      </c>
      <c r="I39" s="59" t="n">
        <v>0</v>
      </c>
      <c r="J39" s="59" t="n">
        <v>0</v>
      </c>
      <c r="K39" s="59" t="n">
        <v>0</v>
      </c>
      <c r="L39" s="52" t="n">
        <v>0</v>
      </c>
      <c r="M39" s="52" t="n">
        <v>0</v>
      </c>
      <c r="N39" s="52" t="n">
        <v>0</v>
      </c>
      <c r="O39" s="52" t="n">
        <v>0</v>
      </c>
      <c r="P39" s="68" t="n">
        <v>0</v>
      </c>
      <c r="Q39" s="68" t="n">
        <v>0</v>
      </c>
      <c r="R39" s="68" t="n">
        <v>0</v>
      </c>
      <c r="S39" s="68" t="n">
        <v>0</v>
      </c>
      <c r="T39" s="63">
        <f>J39-IF(AND(OR(oil_compact=0,$A39&lt;compact_year),$A39&gt;=1931,$A39&lt;=1933),gulf_wage_dip,0)</f>
        <v/>
      </c>
      <c r="U39" s="47">
        <f>IF($A39&lt;1900,0,IF(F39&lt;=G39,1,0))</f>
        <v/>
      </c>
      <c r="V39" s="47">
        <f>IF($A39&lt;1900,0,IF(H39&gt;=I39,1,0))</f>
        <v/>
      </c>
      <c r="W39" s="47">
        <f>IF($A39&lt;1900,0,IF(T39&gt;=K39,1,0))</f>
        <v/>
      </c>
      <c r="X39" s="47">
        <f>IF($A39&lt;1900,0,IF(L39&lt;=M39,1,0))</f>
        <v/>
      </c>
      <c r="Y39" s="47">
        <f>IF($A39&lt;1900,0,IF(N39&lt;=O39,1,0))</f>
        <v/>
      </c>
      <c r="Z39" s="47">
        <f>IF($A39&lt;1900,0,IF(P39&lt;=Q39,1,0))</f>
        <v/>
      </c>
      <c r="AA39" s="47">
        <f>IF($A39&lt;1900,0,IF(R39&gt;=S39,1,0))</f>
        <v/>
      </c>
      <c r="AB39" s="47">
        <f>IF(SUM(U39:Y39)=5,1,0)</f>
        <v/>
      </c>
      <c r="AC39" s="47">
        <f>IF(Z39+AA39=2,1,0)</f>
        <v/>
      </c>
      <c r="AD39" s="47">
        <f>IF(AND(AB39=1,AC39=1),1,0)</f>
        <v/>
      </c>
      <c r="AE39" s="47">
        <f>IF(AD39=1,AE38+1,0)</f>
        <v/>
      </c>
      <c r="AF39" s="47">
        <f>IF(AE38&gt;=gulf_years_req,1,0)</f>
        <v/>
      </c>
    </row>
    <row r="40">
      <c r="A40" s="58" t="n">
        <v>1880</v>
      </c>
      <c r="B40" s="45" t="n">
        <v>0</v>
      </c>
      <c r="C40" s="68" t="n">
        <v>0</v>
      </c>
      <c r="D40" s="47">
        <f>Partners!Q40*(1-IF(AND(OR(oil_compact=0,$A40&lt;compact_year),OR($A40=1931,$A40=1932)),gulf_glut_gdp,0))</f>
        <v/>
      </c>
      <c r="E40" s="47">
        <f>IF(AND(gulf_on=1,$A40&gt;=gulf_year),1,0)</f>
        <v/>
      </c>
      <c r="F40" s="45" t="n">
        <v>0</v>
      </c>
      <c r="G40" s="45" t="n">
        <v>0</v>
      </c>
      <c r="H40" s="59" t="n">
        <v>0</v>
      </c>
      <c r="I40" s="59" t="n">
        <v>0</v>
      </c>
      <c r="J40" s="59" t="n">
        <v>0</v>
      </c>
      <c r="K40" s="59" t="n">
        <v>0</v>
      </c>
      <c r="L40" s="52" t="n">
        <v>0</v>
      </c>
      <c r="M40" s="52" t="n">
        <v>0</v>
      </c>
      <c r="N40" s="52" t="n">
        <v>0</v>
      </c>
      <c r="O40" s="52" t="n">
        <v>0</v>
      </c>
      <c r="P40" s="68" t="n">
        <v>0</v>
      </c>
      <c r="Q40" s="68" t="n">
        <v>0</v>
      </c>
      <c r="R40" s="68" t="n">
        <v>0</v>
      </c>
      <c r="S40" s="68" t="n">
        <v>0</v>
      </c>
      <c r="T40" s="63">
        <f>J40-IF(AND(OR(oil_compact=0,$A40&lt;compact_year),$A40&gt;=1931,$A40&lt;=1933),gulf_wage_dip,0)</f>
        <v/>
      </c>
      <c r="U40" s="47">
        <f>IF($A40&lt;1900,0,IF(F40&lt;=G40,1,0))</f>
        <v/>
      </c>
      <c r="V40" s="47">
        <f>IF($A40&lt;1900,0,IF(H40&gt;=I40,1,0))</f>
        <v/>
      </c>
      <c r="W40" s="47">
        <f>IF($A40&lt;1900,0,IF(T40&gt;=K40,1,0))</f>
        <v/>
      </c>
      <c r="X40" s="47">
        <f>IF($A40&lt;1900,0,IF(L40&lt;=M40,1,0))</f>
        <v/>
      </c>
      <c r="Y40" s="47">
        <f>IF($A40&lt;1900,0,IF(N40&lt;=O40,1,0))</f>
        <v/>
      </c>
      <c r="Z40" s="47">
        <f>IF($A40&lt;1900,0,IF(P40&lt;=Q40,1,0))</f>
        <v/>
      </c>
      <c r="AA40" s="47">
        <f>IF($A40&lt;1900,0,IF(R40&gt;=S40,1,0))</f>
        <v/>
      </c>
      <c r="AB40" s="47">
        <f>IF(SUM(U40:Y40)=5,1,0)</f>
        <v/>
      </c>
      <c r="AC40" s="47">
        <f>IF(Z40+AA40=2,1,0)</f>
        <v/>
      </c>
      <c r="AD40" s="47">
        <f>IF(AND(AB40=1,AC40=1),1,0)</f>
        <v/>
      </c>
      <c r="AE40" s="47">
        <f>IF(AD40=1,AE39+1,0)</f>
        <v/>
      </c>
      <c r="AF40" s="47">
        <f>IF(AE39&gt;=gulf_years_req,1,0)</f>
        <v/>
      </c>
    </row>
    <row r="41">
      <c r="A41" s="58" t="n">
        <v>1881</v>
      </c>
      <c r="B41" s="45" t="n">
        <v>0</v>
      </c>
      <c r="C41" s="68" t="n">
        <v>0</v>
      </c>
      <c r="D41" s="47">
        <f>Partners!Q41*(1-IF(AND(OR(oil_compact=0,$A41&lt;compact_year),OR($A41=1931,$A41=1932)),gulf_glut_gdp,0))</f>
        <v/>
      </c>
      <c r="E41" s="47">
        <f>IF(AND(gulf_on=1,$A41&gt;=gulf_year),1,0)</f>
        <v/>
      </c>
      <c r="F41" s="45" t="n">
        <v>0</v>
      </c>
      <c r="G41" s="45" t="n">
        <v>0</v>
      </c>
      <c r="H41" s="59" t="n">
        <v>0</v>
      </c>
      <c r="I41" s="59" t="n">
        <v>0</v>
      </c>
      <c r="J41" s="59" t="n">
        <v>0</v>
      </c>
      <c r="K41" s="59" t="n">
        <v>0</v>
      </c>
      <c r="L41" s="52" t="n">
        <v>0</v>
      </c>
      <c r="M41" s="52" t="n">
        <v>0</v>
      </c>
      <c r="N41" s="52" t="n">
        <v>0</v>
      </c>
      <c r="O41" s="52" t="n">
        <v>0</v>
      </c>
      <c r="P41" s="68" t="n">
        <v>0</v>
      </c>
      <c r="Q41" s="68" t="n">
        <v>0</v>
      </c>
      <c r="R41" s="68" t="n">
        <v>0</v>
      </c>
      <c r="S41" s="68" t="n">
        <v>0</v>
      </c>
      <c r="T41" s="63">
        <f>J41-IF(AND(OR(oil_compact=0,$A41&lt;compact_year),$A41&gt;=1931,$A41&lt;=1933),gulf_wage_dip,0)</f>
        <v/>
      </c>
      <c r="U41" s="47">
        <f>IF($A41&lt;1900,0,IF(F41&lt;=G41,1,0))</f>
        <v/>
      </c>
      <c r="V41" s="47">
        <f>IF($A41&lt;1900,0,IF(H41&gt;=I41,1,0))</f>
        <v/>
      </c>
      <c r="W41" s="47">
        <f>IF($A41&lt;1900,0,IF(T41&gt;=K41,1,0))</f>
        <v/>
      </c>
      <c r="X41" s="47">
        <f>IF($A41&lt;1900,0,IF(L41&lt;=M41,1,0))</f>
        <v/>
      </c>
      <c r="Y41" s="47">
        <f>IF($A41&lt;1900,0,IF(N41&lt;=O41,1,0))</f>
        <v/>
      </c>
      <c r="Z41" s="47">
        <f>IF($A41&lt;1900,0,IF(P41&lt;=Q41,1,0))</f>
        <v/>
      </c>
      <c r="AA41" s="47">
        <f>IF($A41&lt;1900,0,IF(R41&gt;=S41,1,0))</f>
        <v/>
      </c>
      <c r="AB41" s="47">
        <f>IF(SUM(U41:Y41)=5,1,0)</f>
        <v/>
      </c>
      <c r="AC41" s="47">
        <f>IF(Z41+AA41=2,1,0)</f>
        <v/>
      </c>
      <c r="AD41" s="47">
        <f>IF(AND(AB41=1,AC41=1),1,0)</f>
        <v/>
      </c>
      <c r="AE41" s="47">
        <f>IF(AD41=1,AE40+1,0)</f>
        <v/>
      </c>
      <c r="AF41" s="47">
        <f>IF(AE40&gt;=gulf_years_req,1,0)</f>
        <v/>
      </c>
    </row>
    <row r="42">
      <c r="A42" s="58" t="n">
        <v>1882</v>
      </c>
      <c r="B42" s="45" t="n">
        <v>0</v>
      </c>
      <c r="C42" s="68" t="n">
        <v>0</v>
      </c>
      <c r="D42" s="47">
        <f>Partners!Q42*(1-IF(AND(OR(oil_compact=0,$A42&lt;compact_year),OR($A42=1931,$A42=1932)),gulf_glut_gdp,0))</f>
        <v/>
      </c>
      <c r="E42" s="47">
        <f>IF(AND(gulf_on=1,$A42&gt;=gulf_year),1,0)</f>
        <v/>
      </c>
      <c r="F42" s="45" t="n">
        <v>0</v>
      </c>
      <c r="G42" s="45" t="n">
        <v>0</v>
      </c>
      <c r="H42" s="59" t="n">
        <v>0</v>
      </c>
      <c r="I42" s="59" t="n">
        <v>0</v>
      </c>
      <c r="J42" s="59" t="n">
        <v>0</v>
      </c>
      <c r="K42" s="59" t="n">
        <v>0</v>
      </c>
      <c r="L42" s="52" t="n">
        <v>0</v>
      </c>
      <c r="M42" s="52" t="n">
        <v>0</v>
      </c>
      <c r="N42" s="52" t="n">
        <v>0</v>
      </c>
      <c r="O42" s="52" t="n">
        <v>0</v>
      </c>
      <c r="P42" s="68" t="n">
        <v>0</v>
      </c>
      <c r="Q42" s="68" t="n">
        <v>0</v>
      </c>
      <c r="R42" s="68" t="n">
        <v>0</v>
      </c>
      <c r="S42" s="68" t="n">
        <v>0</v>
      </c>
      <c r="T42" s="63">
        <f>J42-IF(AND(OR(oil_compact=0,$A42&lt;compact_year),$A42&gt;=1931,$A42&lt;=1933),gulf_wage_dip,0)</f>
        <v/>
      </c>
      <c r="U42" s="47">
        <f>IF($A42&lt;1900,0,IF(F42&lt;=G42,1,0))</f>
        <v/>
      </c>
      <c r="V42" s="47">
        <f>IF($A42&lt;1900,0,IF(H42&gt;=I42,1,0))</f>
        <v/>
      </c>
      <c r="W42" s="47">
        <f>IF($A42&lt;1900,0,IF(T42&gt;=K42,1,0))</f>
        <v/>
      </c>
      <c r="X42" s="47">
        <f>IF($A42&lt;1900,0,IF(L42&lt;=M42,1,0))</f>
        <v/>
      </c>
      <c r="Y42" s="47">
        <f>IF($A42&lt;1900,0,IF(N42&lt;=O42,1,0))</f>
        <v/>
      </c>
      <c r="Z42" s="47">
        <f>IF($A42&lt;1900,0,IF(P42&lt;=Q42,1,0))</f>
        <v/>
      </c>
      <c r="AA42" s="47">
        <f>IF($A42&lt;1900,0,IF(R42&gt;=S42,1,0))</f>
        <v/>
      </c>
      <c r="AB42" s="47">
        <f>IF(SUM(U42:Y42)=5,1,0)</f>
        <v/>
      </c>
      <c r="AC42" s="47">
        <f>IF(Z42+AA42=2,1,0)</f>
        <v/>
      </c>
      <c r="AD42" s="47">
        <f>IF(AND(AB42=1,AC42=1),1,0)</f>
        <v/>
      </c>
      <c r="AE42" s="47">
        <f>IF(AD42=1,AE41+1,0)</f>
        <v/>
      </c>
      <c r="AF42" s="47">
        <f>IF(AE41&gt;=gulf_years_req,1,0)</f>
        <v/>
      </c>
    </row>
    <row r="43">
      <c r="A43" s="58" t="n">
        <v>1883</v>
      </c>
      <c r="B43" s="45" t="n">
        <v>0</v>
      </c>
      <c r="C43" s="68" t="n">
        <v>0</v>
      </c>
      <c r="D43" s="47">
        <f>Partners!Q43*(1-IF(AND(OR(oil_compact=0,$A43&lt;compact_year),OR($A43=1931,$A43=1932)),gulf_glut_gdp,0))</f>
        <v/>
      </c>
      <c r="E43" s="47">
        <f>IF(AND(gulf_on=1,$A43&gt;=gulf_year),1,0)</f>
        <v/>
      </c>
      <c r="F43" s="45" t="n">
        <v>0</v>
      </c>
      <c r="G43" s="45" t="n">
        <v>0</v>
      </c>
      <c r="H43" s="59" t="n">
        <v>0</v>
      </c>
      <c r="I43" s="59" t="n">
        <v>0</v>
      </c>
      <c r="J43" s="59" t="n">
        <v>0</v>
      </c>
      <c r="K43" s="59" t="n">
        <v>0</v>
      </c>
      <c r="L43" s="52" t="n">
        <v>0</v>
      </c>
      <c r="M43" s="52" t="n">
        <v>0</v>
      </c>
      <c r="N43" s="52" t="n">
        <v>0</v>
      </c>
      <c r="O43" s="52" t="n">
        <v>0</v>
      </c>
      <c r="P43" s="68" t="n">
        <v>0</v>
      </c>
      <c r="Q43" s="68" t="n">
        <v>0</v>
      </c>
      <c r="R43" s="68" t="n">
        <v>0</v>
      </c>
      <c r="S43" s="68" t="n">
        <v>0</v>
      </c>
      <c r="T43" s="63">
        <f>J43-IF(AND(OR(oil_compact=0,$A43&lt;compact_year),$A43&gt;=1931,$A43&lt;=1933),gulf_wage_dip,0)</f>
        <v/>
      </c>
      <c r="U43" s="47">
        <f>IF($A43&lt;1900,0,IF(F43&lt;=G43,1,0))</f>
        <v/>
      </c>
      <c r="V43" s="47">
        <f>IF($A43&lt;1900,0,IF(H43&gt;=I43,1,0))</f>
        <v/>
      </c>
      <c r="W43" s="47">
        <f>IF($A43&lt;1900,0,IF(T43&gt;=K43,1,0))</f>
        <v/>
      </c>
      <c r="X43" s="47">
        <f>IF($A43&lt;1900,0,IF(L43&lt;=M43,1,0))</f>
        <v/>
      </c>
      <c r="Y43" s="47">
        <f>IF($A43&lt;1900,0,IF(N43&lt;=O43,1,0))</f>
        <v/>
      </c>
      <c r="Z43" s="47">
        <f>IF($A43&lt;1900,0,IF(P43&lt;=Q43,1,0))</f>
        <v/>
      </c>
      <c r="AA43" s="47">
        <f>IF($A43&lt;1900,0,IF(R43&gt;=S43,1,0))</f>
        <v/>
      </c>
      <c r="AB43" s="47">
        <f>IF(SUM(U43:Y43)=5,1,0)</f>
        <v/>
      </c>
      <c r="AC43" s="47">
        <f>IF(Z43+AA43=2,1,0)</f>
        <v/>
      </c>
      <c r="AD43" s="47">
        <f>IF(AND(AB43=1,AC43=1),1,0)</f>
        <v/>
      </c>
      <c r="AE43" s="47">
        <f>IF(AD43=1,AE42+1,0)</f>
        <v/>
      </c>
      <c r="AF43" s="47">
        <f>IF(AE42&gt;=gulf_years_req,1,0)</f>
        <v/>
      </c>
    </row>
    <row r="44">
      <c r="A44" s="58" t="n">
        <v>1884</v>
      </c>
      <c r="B44" s="45" t="n">
        <v>0</v>
      </c>
      <c r="C44" s="68" t="n">
        <v>0</v>
      </c>
      <c r="D44" s="47">
        <f>Partners!Q44*(1-IF(AND(OR(oil_compact=0,$A44&lt;compact_year),OR($A44=1931,$A44=1932)),gulf_glut_gdp,0))</f>
        <v/>
      </c>
      <c r="E44" s="47">
        <f>IF(AND(gulf_on=1,$A44&gt;=gulf_year),1,0)</f>
        <v/>
      </c>
      <c r="F44" s="45" t="n">
        <v>0</v>
      </c>
      <c r="G44" s="45" t="n">
        <v>0</v>
      </c>
      <c r="H44" s="59" t="n">
        <v>0</v>
      </c>
      <c r="I44" s="59" t="n">
        <v>0</v>
      </c>
      <c r="J44" s="59" t="n">
        <v>0</v>
      </c>
      <c r="K44" s="59" t="n">
        <v>0</v>
      </c>
      <c r="L44" s="52" t="n">
        <v>0</v>
      </c>
      <c r="M44" s="52" t="n">
        <v>0</v>
      </c>
      <c r="N44" s="52" t="n">
        <v>0</v>
      </c>
      <c r="O44" s="52" t="n">
        <v>0</v>
      </c>
      <c r="P44" s="68" t="n">
        <v>0</v>
      </c>
      <c r="Q44" s="68" t="n">
        <v>0</v>
      </c>
      <c r="R44" s="68" t="n">
        <v>0</v>
      </c>
      <c r="S44" s="68" t="n">
        <v>0</v>
      </c>
      <c r="T44" s="63">
        <f>J44-IF(AND(OR(oil_compact=0,$A44&lt;compact_year),$A44&gt;=1931,$A44&lt;=1933),gulf_wage_dip,0)</f>
        <v/>
      </c>
      <c r="U44" s="47">
        <f>IF($A44&lt;1900,0,IF(F44&lt;=G44,1,0))</f>
        <v/>
      </c>
      <c r="V44" s="47">
        <f>IF($A44&lt;1900,0,IF(H44&gt;=I44,1,0))</f>
        <v/>
      </c>
      <c r="W44" s="47">
        <f>IF($A44&lt;1900,0,IF(T44&gt;=K44,1,0))</f>
        <v/>
      </c>
      <c r="X44" s="47">
        <f>IF($A44&lt;1900,0,IF(L44&lt;=M44,1,0))</f>
        <v/>
      </c>
      <c r="Y44" s="47">
        <f>IF($A44&lt;1900,0,IF(N44&lt;=O44,1,0))</f>
        <v/>
      </c>
      <c r="Z44" s="47">
        <f>IF($A44&lt;1900,0,IF(P44&lt;=Q44,1,0))</f>
        <v/>
      </c>
      <c r="AA44" s="47">
        <f>IF($A44&lt;1900,0,IF(R44&gt;=S44,1,0))</f>
        <v/>
      </c>
      <c r="AB44" s="47">
        <f>IF(SUM(U44:Y44)=5,1,0)</f>
        <v/>
      </c>
      <c r="AC44" s="47">
        <f>IF(Z44+AA44=2,1,0)</f>
        <v/>
      </c>
      <c r="AD44" s="47">
        <f>IF(AND(AB44=1,AC44=1),1,0)</f>
        <v/>
      </c>
      <c r="AE44" s="47">
        <f>IF(AD44=1,AE43+1,0)</f>
        <v/>
      </c>
      <c r="AF44" s="47">
        <f>IF(AE43&gt;=gulf_years_req,1,0)</f>
        <v/>
      </c>
    </row>
    <row r="45">
      <c r="A45" s="58" t="n">
        <v>1885</v>
      </c>
      <c r="B45" s="45" t="n">
        <v>0</v>
      </c>
      <c r="C45" s="68" t="n">
        <v>0</v>
      </c>
      <c r="D45" s="47">
        <f>Partners!Q45*(1-IF(AND(OR(oil_compact=0,$A45&lt;compact_year),OR($A45=1931,$A45=1932)),gulf_glut_gdp,0))</f>
        <v/>
      </c>
      <c r="E45" s="47">
        <f>IF(AND(gulf_on=1,$A45&gt;=gulf_year),1,0)</f>
        <v/>
      </c>
      <c r="F45" s="45" t="n">
        <v>0</v>
      </c>
      <c r="G45" s="45" t="n">
        <v>0</v>
      </c>
      <c r="H45" s="59" t="n">
        <v>0</v>
      </c>
      <c r="I45" s="59" t="n">
        <v>0</v>
      </c>
      <c r="J45" s="59" t="n">
        <v>0</v>
      </c>
      <c r="K45" s="59" t="n">
        <v>0</v>
      </c>
      <c r="L45" s="52" t="n">
        <v>0</v>
      </c>
      <c r="M45" s="52" t="n">
        <v>0</v>
      </c>
      <c r="N45" s="52" t="n">
        <v>0</v>
      </c>
      <c r="O45" s="52" t="n">
        <v>0</v>
      </c>
      <c r="P45" s="68" t="n">
        <v>0</v>
      </c>
      <c r="Q45" s="68" t="n">
        <v>0</v>
      </c>
      <c r="R45" s="68" t="n">
        <v>0</v>
      </c>
      <c r="S45" s="68" t="n">
        <v>0</v>
      </c>
      <c r="T45" s="63">
        <f>J45-IF(AND(OR(oil_compact=0,$A45&lt;compact_year),$A45&gt;=1931,$A45&lt;=1933),gulf_wage_dip,0)</f>
        <v/>
      </c>
      <c r="U45" s="47">
        <f>IF($A45&lt;1900,0,IF(F45&lt;=G45,1,0))</f>
        <v/>
      </c>
      <c r="V45" s="47">
        <f>IF($A45&lt;1900,0,IF(H45&gt;=I45,1,0))</f>
        <v/>
      </c>
      <c r="W45" s="47">
        <f>IF($A45&lt;1900,0,IF(T45&gt;=K45,1,0))</f>
        <v/>
      </c>
      <c r="X45" s="47">
        <f>IF($A45&lt;1900,0,IF(L45&lt;=M45,1,0))</f>
        <v/>
      </c>
      <c r="Y45" s="47">
        <f>IF($A45&lt;1900,0,IF(N45&lt;=O45,1,0))</f>
        <v/>
      </c>
      <c r="Z45" s="47">
        <f>IF($A45&lt;1900,0,IF(P45&lt;=Q45,1,0))</f>
        <v/>
      </c>
      <c r="AA45" s="47">
        <f>IF($A45&lt;1900,0,IF(R45&gt;=S45,1,0))</f>
        <v/>
      </c>
      <c r="AB45" s="47">
        <f>IF(SUM(U45:Y45)=5,1,0)</f>
        <v/>
      </c>
      <c r="AC45" s="47">
        <f>IF(Z45+AA45=2,1,0)</f>
        <v/>
      </c>
      <c r="AD45" s="47">
        <f>IF(AND(AB45=1,AC45=1),1,0)</f>
        <v/>
      </c>
      <c r="AE45" s="47">
        <f>IF(AD45=1,AE44+1,0)</f>
        <v/>
      </c>
      <c r="AF45" s="47">
        <f>IF(AE44&gt;=gulf_years_req,1,0)</f>
        <v/>
      </c>
    </row>
    <row r="46">
      <c r="A46" s="58" t="n">
        <v>1886</v>
      </c>
      <c r="B46" s="45" t="n">
        <v>0</v>
      </c>
      <c r="C46" s="68" t="n">
        <v>0</v>
      </c>
      <c r="D46" s="47">
        <f>Partners!Q46*(1-IF(AND(OR(oil_compact=0,$A46&lt;compact_year),OR($A46=1931,$A46=1932)),gulf_glut_gdp,0))</f>
        <v/>
      </c>
      <c r="E46" s="47">
        <f>IF(AND(gulf_on=1,$A46&gt;=gulf_year),1,0)</f>
        <v/>
      </c>
      <c r="F46" s="45" t="n">
        <v>0</v>
      </c>
      <c r="G46" s="45" t="n">
        <v>0</v>
      </c>
      <c r="H46" s="59" t="n">
        <v>0</v>
      </c>
      <c r="I46" s="59" t="n">
        <v>0</v>
      </c>
      <c r="J46" s="59" t="n">
        <v>0</v>
      </c>
      <c r="K46" s="59" t="n">
        <v>0</v>
      </c>
      <c r="L46" s="52" t="n">
        <v>0</v>
      </c>
      <c r="M46" s="52" t="n">
        <v>0</v>
      </c>
      <c r="N46" s="52" t="n">
        <v>0</v>
      </c>
      <c r="O46" s="52" t="n">
        <v>0</v>
      </c>
      <c r="P46" s="68" t="n">
        <v>0</v>
      </c>
      <c r="Q46" s="68" t="n">
        <v>0</v>
      </c>
      <c r="R46" s="68" t="n">
        <v>0</v>
      </c>
      <c r="S46" s="68" t="n">
        <v>0</v>
      </c>
      <c r="T46" s="63">
        <f>J46-IF(AND(OR(oil_compact=0,$A46&lt;compact_year),$A46&gt;=1931,$A46&lt;=1933),gulf_wage_dip,0)</f>
        <v/>
      </c>
      <c r="U46" s="47">
        <f>IF($A46&lt;1900,0,IF(F46&lt;=G46,1,0))</f>
        <v/>
      </c>
      <c r="V46" s="47">
        <f>IF($A46&lt;1900,0,IF(H46&gt;=I46,1,0))</f>
        <v/>
      </c>
      <c r="W46" s="47">
        <f>IF($A46&lt;1900,0,IF(T46&gt;=K46,1,0))</f>
        <v/>
      </c>
      <c r="X46" s="47">
        <f>IF($A46&lt;1900,0,IF(L46&lt;=M46,1,0))</f>
        <v/>
      </c>
      <c r="Y46" s="47">
        <f>IF($A46&lt;1900,0,IF(N46&lt;=O46,1,0))</f>
        <v/>
      </c>
      <c r="Z46" s="47">
        <f>IF($A46&lt;1900,0,IF(P46&lt;=Q46,1,0))</f>
        <v/>
      </c>
      <c r="AA46" s="47">
        <f>IF($A46&lt;1900,0,IF(R46&gt;=S46,1,0))</f>
        <v/>
      </c>
      <c r="AB46" s="47">
        <f>IF(SUM(U46:Y46)=5,1,0)</f>
        <v/>
      </c>
      <c r="AC46" s="47">
        <f>IF(Z46+AA46=2,1,0)</f>
        <v/>
      </c>
      <c r="AD46" s="47">
        <f>IF(AND(AB46=1,AC46=1),1,0)</f>
        <v/>
      </c>
      <c r="AE46" s="47">
        <f>IF(AD46=1,AE45+1,0)</f>
        <v/>
      </c>
      <c r="AF46" s="47">
        <f>IF(AE45&gt;=gulf_years_req,1,0)</f>
        <v/>
      </c>
    </row>
    <row r="47">
      <c r="A47" s="58" t="n">
        <v>1887</v>
      </c>
      <c r="B47" s="45" t="n">
        <v>0</v>
      </c>
      <c r="C47" s="68" t="n">
        <v>0</v>
      </c>
      <c r="D47" s="47">
        <f>Partners!Q47*(1-IF(AND(OR(oil_compact=0,$A47&lt;compact_year),OR($A47=1931,$A47=1932)),gulf_glut_gdp,0))</f>
        <v/>
      </c>
      <c r="E47" s="47">
        <f>IF(AND(gulf_on=1,$A47&gt;=gulf_year),1,0)</f>
        <v/>
      </c>
      <c r="F47" s="45" t="n">
        <v>0</v>
      </c>
      <c r="G47" s="45" t="n">
        <v>0</v>
      </c>
      <c r="H47" s="59" t="n">
        <v>0</v>
      </c>
      <c r="I47" s="59" t="n">
        <v>0</v>
      </c>
      <c r="J47" s="59" t="n">
        <v>0</v>
      </c>
      <c r="K47" s="59" t="n">
        <v>0</v>
      </c>
      <c r="L47" s="52" t="n">
        <v>0</v>
      </c>
      <c r="M47" s="52" t="n">
        <v>0</v>
      </c>
      <c r="N47" s="52" t="n">
        <v>0</v>
      </c>
      <c r="O47" s="52" t="n">
        <v>0</v>
      </c>
      <c r="P47" s="68" t="n">
        <v>0</v>
      </c>
      <c r="Q47" s="68" t="n">
        <v>0</v>
      </c>
      <c r="R47" s="68" t="n">
        <v>0</v>
      </c>
      <c r="S47" s="68" t="n">
        <v>0</v>
      </c>
      <c r="T47" s="63">
        <f>J47-IF(AND(OR(oil_compact=0,$A47&lt;compact_year),$A47&gt;=1931,$A47&lt;=1933),gulf_wage_dip,0)</f>
        <v/>
      </c>
      <c r="U47" s="47">
        <f>IF($A47&lt;1900,0,IF(F47&lt;=G47,1,0))</f>
        <v/>
      </c>
      <c r="V47" s="47">
        <f>IF($A47&lt;1900,0,IF(H47&gt;=I47,1,0))</f>
        <v/>
      </c>
      <c r="W47" s="47">
        <f>IF($A47&lt;1900,0,IF(T47&gt;=K47,1,0))</f>
        <v/>
      </c>
      <c r="X47" s="47">
        <f>IF($A47&lt;1900,0,IF(L47&lt;=M47,1,0))</f>
        <v/>
      </c>
      <c r="Y47" s="47">
        <f>IF($A47&lt;1900,0,IF(N47&lt;=O47,1,0))</f>
        <v/>
      </c>
      <c r="Z47" s="47">
        <f>IF($A47&lt;1900,0,IF(P47&lt;=Q47,1,0))</f>
        <v/>
      </c>
      <c r="AA47" s="47">
        <f>IF($A47&lt;1900,0,IF(R47&gt;=S47,1,0))</f>
        <v/>
      </c>
      <c r="AB47" s="47">
        <f>IF(SUM(U47:Y47)=5,1,0)</f>
        <v/>
      </c>
      <c r="AC47" s="47">
        <f>IF(Z47+AA47=2,1,0)</f>
        <v/>
      </c>
      <c r="AD47" s="47">
        <f>IF(AND(AB47=1,AC47=1),1,0)</f>
        <v/>
      </c>
      <c r="AE47" s="47">
        <f>IF(AD47=1,AE46+1,0)</f>
        <v/>
      </c>
      <c r="AF47" s="47">
        <f>IF(AE46&gt;=gulf_years_req,1,0)</f>
        <v/>
      </c>
    </row>
    <row r="48">
      <c r="A48" s="58" t="n">
        <v>1888</v>
      </c>
      <c r="B48" s="45" t="n">
        <v>0</v>
      </c>
      <c r="C48" s="68" t="n">
        <v>0</v>
      </c>
      <c r="D48" s="47">
        <f>Partners!Q48*(1-IF(AND(OR(oil_compact=0,$A48&lt;compact_year),OR($A48=1931,$A48=1932)),gulf_glut_gdp,0))</f>
        <v/>
      </c>
      <c r="E48" s="47">
        <f>IF(AND(gulf_on=1,$A48&gt;=gulf_year),1,0)</f>
        <v/>
      </c>
      <c r="F48" s="45" t="n">
        <v>0</v>
      </c>
      <c r="G48" s="45" t="n">
        <v>0</v>
      </c>
      <c r="H48" s="59" t="n">
        <v>0</v>
      </c>
      <c r="I48" s="59" t="n">
        <v>0</v>
      </c>
      <c r="J48" s="59" t="n">
        <v>0</v>
      </c>
      <c r="K48" s="59" t="n">
        <v>0</v>
      </c>
      <c r="L48" s="52" t="n">
        <v>0</v>
      </c>
      <c r="M48" s="52" t="n">
        <v>0</v>
      </c>
      <c r="N48" s="52" t="n">
        <v>0</v>
      </c>
      <c r="O48" s="52" t="n">
        <v>0</v>
      </c>
      <c r="P48" s="68" t="n">
        <v>0</v>
      </c>
      <c r="Q48" s="68" t="n">
        <v>0</v>
      </c>
      <c r="R48" s="68" t="n">
        <v>0</v>
      </c>
      <c r="S48" s="68" t="n">
        <v>0</v>
      </c>
      <c r="T48" s="63">
        <f>J48-IF(AND(OR(oil_compact=0,$A48&lt;compact_year),$A48&gt;=1931,$A48&lt;=1933),gulf_wage_dip,0)</f>
        <v/>
      </c>
      <c r="U48" s="47">
        <f>IF($A48&lt;1900,0,IF(F48&lt;=G48,1,0))</f>
        <v/>
      </c>
      <c r="V48" s="47">
        <f>IF($A48&lt;1900,0,IF(H48&gt;=I48,1,0))</f>
        <v/>
      </c>
      <c r="W48" s="47">
        <f>IF($A48&lt;1900,0,IF(T48&gt;=K48,1,0))</f>
        <v/>
      </c>
      <c r="X48" s="47">
        <f>IF($A48&lt;1900,0,IF(L48&lt;=M48,1,0))</f>
        <v/>
      </c>
      <c r="Y48" s="47">
        <f>IF($A48&lt;1900,0,IF(N48&lt;=O48,1,0))</f>
        <v/>
      </c>
      <c r="Z48" s="47">
        <f>IF($A48&lt;1900,0,IF(P48&lt;=Q48,1,0))</f>
        <v/>
      </c>
      <c r="AA48" s="47">
        <f>IF($A48&lt;1900,0,IF(R48&gt;=S48,1,0))</f>
        <v/>
      </c>
      <c r="AB48" s="47">
        <f>IF(SUM(U48:Y48)=5,1,0)</f>
        <v/>
      </c>
      <c r="AC48" s="47">
        <f>IF(Z48+AA48=2,1,0)</f>
        <v/>
      </c>
      <c r="AD48" s="47">
        <f>IF(AND(AB48=1,AC48=1),1,0)</f>
        <v/>
      </c>
      <c r="AE48" s="47">
        <f>IF(AD48=1,AE47+1,0)</f>
        <v/>
      </c>
      <c r="AF48" s="47">
        <f>IF(AE47&gt;=gulf_years_req,1,0)</f>
        <v/>
      </c>
    </row>
    <row r="49">
      <c r="A49" s="58" t="n">
        <v>1889</v>
      </c>
      <c r="B49" s="45" t="n">
        <v>0</v>
      </c>
      <c r="C49" s="68" t="n">
        <v>0</v>
      </c>
      <c r="D49" s="47">
        <f>Partners!Q49*(1-IF(AND(OR(oil_compact=0,$A49&lt;compact_year),OR($A49=1931,$A49=1932)),gulf_glut_gdp,0))</f>
        <v/>
      </c>
      <c r="E49" s="47">
        <f>IF(AND(gulf_on=1,$A49&gt;=gulf_year),1,0)</f>
        <v/>
      </c>
      <c r="F49" s="45" t="n">
        <v>0</v>
      </c>
      <c r="G49" s="45" t="n">
        <v>0</v>
      </c>
      <c r="H49" s="59" t="n">
        <v>0</v>
      </c>
      <c r="I49" s="59" t="n">
        <v>0</v>
      </c>
      <c r="J49" s="59" t="n">
        <v>0</v>
      </c>
      <c r="K49" s="59" t="n">
        <v>0</v>
      </c>
      <c r="L49" s="52" t="n">
        <v>0</v>
      </c>
      <c r="M49" s="52" t="n">
        <v>0</v>
      </c>
      <c r="N49" s="52" t="n">
        <v>0</v>
      </c>
      <c r="O49" s="52" t="n">
        <v>0</v>
      </c>
      <c r="P49" s="68" t="n">
        <v>0</v>
      </c>
      <c r="Q49" s="68" t="n">
        <v>0</v>
      </c>
      <c r="R49" s="68" t="n">
        <v>0</v>
      </c>
      <c r="S49" s="68" t="n">
        <v>0</v>
      </c>
      <c r="T49" s="63">
        <f>J49-IF(AND(OR(oil_compact=0,$A49&lt;compact_year),$A49&gt;=1931,$A49&lt;=1933),gulf_wage_dip,0)</f>
        <v/>
      </c>
      <c r="U49" s="47">
        <f>IF($A49&lt;1900,0,IF(F49&lt;=G49,1,0))</f>
        <v/>
      </c>
      <c r="V49" s="47">
        <f>IF($A49&lt;1900,0,IF(H49&gt;=I49,1,0))</f>
        <v/>
      </c>
      <c r="W49" s="47">
        <f>IF($A49&lt;1900,0,IF(T49&gt;=K49,1,0))</f>
        <v/>
      </c>
      <c r="X49" s="47">
        <f>IF($A49&lt;1900,0,IF(L49&lt;=M49,1,0))</f>
        <v/>
      </c>
      <c r="Y49" s="47">
        <f>IF($A49&lt;1900,0,IF(N49&lt;=O49,1,0))</f>
        <v/>
      </c>
      <c r="Z49" s="47">
        <f>IF($A49&lt;1900,0,IF(P49&lt;=Q49,1,0))</f>
        <v/>
      </c>
      <c r="AA49" s="47">
        <f>IF($A49&lt;1900,0,IF(R49&gt;=S49,1,0))</f>
        <v/>
      </c>
      <c r="AB49" s="47">
        <f>IF(SUM(U49:Y49)=5,1,0)</f>
        <v/>
      </c>
      <c r="AC49" s="47">
        <f>IF(Z49+AA49=2,1,0)</f>
        <v/>
      </c>
      <c r="AD49" s="47">
        <f>IF(AND(AB49=1,AC49=1),1,0)</f>
        <v/>
      </c>
      <c r="AE49" s="47">
        <f>IF(AD49=1,AE48+1,0)</f>
        <v/>
      </c>
      <c r="AF49" s="47">
        <f>IF(AE48&gt;=gulf_years_req,1,0)</f>
        <v/>
      </c>
    </row>
    <row r="50">
      <c r="A50" s="58" t="n">
        <v>1890</v>
      </c>
      <c r="B50" s="45" t="n">
        <v>0</v>
      </c>
      <c r="C50" s="68" t="n">
        <v>0</v>
      </c>
      <c r="D50" s="47">
        <f>Partners!Q50*(1-IF(AND(OR(oil_compact=0,$A50&lt;compact_year),OR($A50=1931,$A50=1932)),gulf_glut_gdp,0))</f>
        <v/>
      </c>
      <c r="E50" s="47">
        <f>IF(AND(gulf_on=1,$A50&gt;=gulf_year),1,0)</f>
        <v/>
      </c>
      <c r="F50" s="45" t="n">
        <v>0</v>
      </c>
      <c r="G50" s="45" t="n">
        <v>0</v>
      </c>
      <c r="H50" s="59" t="n">
        <v>0</v>
      </c>
      <c r="I50" s="59" t="n">
        <v>0</v>
      </c>
      <c r="J50" s="59" t="n">
        <v>0</v>
      </c>
      <c r="K50" s="59" t="n">
        <v>0</v>
      </c>
      <c r="L50" s="52" t="n">
        <v>0</v>
      </c>
      <c r="M50" s="52" t="n">
        <v>0</v>
      </c>
      <c r="N50" s="52" t="n">
        <v>0</v>
      </c>
      <c r="O50" s="52" t="n">
        <v>0</v>
      </c>
      <c r="P50" s="68" t="n">
        <v>0</v>
      </c>
      <c r="Q50" s="68" t="n">
        <v>0</v>
      </c>
      <c r="R50" s="68" t="n">
        <v>0</v>
      </c>
      <c r="S50" s="68" t="n">
        <v>0</v>
      </c>
      <c r="T50" s="63">
        <f>J50-IF(AND(OR(oil_compact=0,$A50&lt;compact_year),$A50&gt;=1931,$A50&lt;=1933),gulf_wage_dip,0)</f>
        <v/>
      </c>
      <c r="U50" s="47">
        <f>IF($A50&lt;1900,0,IF(F50&lt;=G50,1,0))</f>
        <v/>
      </c>
      <c r="V50" s="47">
        <f>IF($A50&lt;1900,0,IF(H50&gt;=I50,1,0))</f>
        <v/>
      </c>
      <c r="W50" s="47">
        <f>IF($A50&lt;1900,0,IF(T50&gt;=K50,1,0))</f>
        <v/>
      </c>
      <c r="X50" s="47">
        <f>IF($A50&lt;1900,0,IF(L50&lt;=M50,1,0))</f>
        <v/>
      </c>
      <c r="Y50" s="47">
        <f>IF($A50&lt;1900,0,IF(N50&lt;=O50,1,0))</f>
        <v/>
      </c>
      <c r="Z50" s="47">
        <f>IF($A50&lt;1900,0,IF(P50&lt;=Q50,1,0))</f>
        <v/>
      </c>
      <c r="AA50" s="47">
        <f>IF($A50&lt;1900,0,IF(R50&gt;=S50,1,0))</f>
        <v/>
      </c>
      <c r="AB50" s="47">
        <f>IF(SUM(U50:Y50)=5,1,0)</f>
        <v/>
      </c>
      <c r="AC50" s="47">
        <f>IF(Z50+AA50=2,1,0)</f>
        <v/>
      </c>
      <c r="AD50" s="47">
        <f>IF(AND(AB50=1,AC50=1),1,0)</f>
        <v/>
      </c>
      <c r="AE50" s="47">
        <f>IF(AD50=1,AE49+1,0)</f>
        <v/>
      </c>
      <c r="AF50" s="47">
        <f>IF(AE49&gt;=gulf_years_req,1,0)</f>
        <v/>
      </c>
    </row>
    <row r="51">
      <c r="A51" s="58" t="n">
        <v>1891</v>
      </c>
      <c r="B51" s="45" t="n">
        <v>0</v>
      </c>
      <c r="C51" s="68" t="n">
        <v>0</v>
      </c>
      <c r="D51" s="47">
        <f>Partners!Q51*(1-IF(AND(OR(oil_compact=0,$A51&lt;compact_year),OR($A51=1931,$A51=1932)),gulf_glut_gdp,0))</f>
        <v/>
      </c>
      <c r="E51" s="47">
        <f>IF(AND(gulf_on=1,$A51&gt;=gulf_year),1,0)</f>
        <v/>
      </c>
      <c r="F51" s="45" t="n">
        <v>0</v>
      </c>
      <c r="G51" s="45" t="n">
        <v>0</v>
      </c>
      <c r="H51" s="59" t="n">
        <v>0</v>
      </c>
      <c r="I51" s="59" t="n">
        <v>0</v>
      </c>
      <c r="J51" s="59" t="n">
        <v>0</v>
      </c>
      <c r="K51" s="59" t="n">
        <v>0</v>
      </c>
      <c r="L51" s="52" t="n">
        <v>0</v>
      </c>
      <c r="M51" s="52" t="n">
        <v>0</v>
      </c>
      <c r="N51" s="52" t="n">
        <v>0</v>
      </c>
      <c r="O51" s="52" t="n">
        <v>0</v>
      </c>
      <c r="P51" s="68" t="n">
        <v>0</v>
      </c>
      <c r="Q51" s="68" t="n">
        <v>0</v>
      </c>
      <c r="R51" s="68" t="n">
        <v>0</v>
      </c>
      <c r="S51" s="68" t="n">
        <v>0</v>
      </c>
      <c r="T51" s="63">
        <f>J51-IF(AND(OR(oil_compact=0,$A51&lt;compact_year),$A51&gt;=1931,$A51&lt;=1933),gulf_wage_dip,0)</f>
        <v/>
      </c>
      <c r="U51" s="47">
        <f>IF($A51&lt;1900,0,IF(F51&lt;=G51,1,0))</f>
        <v/>
      </c>
      <c r="V51" s="47">
        <f>IF($A51&lt;1900,0,IF(H51&gt;=I51,1,0))</f>
        <v/>
      </c>
      <c r="W51" s="47">
        <f>IF($A51&lt;1900,0,IF(T51&gt;=K51,1,0))</f>
        <v/>
      </c>
      <c r="X51" s="47">
        <f>IF($A51&lt;1900,0,IF(L51&lt;=M51,1,0))</f>
        <v/>
      </c>
      <c r="Y51" s="47">
        <f>IF($A51&lt;1900,0,IF(N51&lt;=O51,1,0))</f>
        <v/>
      </c>
      <c r="Z51" s="47">
        <f>IF($A51&lt;1900,0,IF(P51&lt;=Q51,1,0))</f>
        <v/>
      </c>
      <c r="AA51" s="47">
        <f>IF($A51&lt;1900,0,IF(R51&gt;=S51,1,0))</f>
        <v/>
      </c>
      <c r="AB51" s="47">
        <f>IF(SUM(U51:Y51)=5,1,0)</f>
        <v/>
      </c>
      <c r="AC51" s="47">
        <f>IF(Z51+AA51=2,1,0)</f>
        <v/>
      </c>
      <c r="AD51" s="47">
        <f>IF(AND(AB51=1,AC51=1),1,0)</f>
        <v/>
      </c>
      <c r="AE51" s="47">
        <f>IF(AD51=1,AE50+1,0)</f>
        <v/>
      </c>
      <c r="AF51" s="47">
        <f>IF(AE50&gt;=gulf_years_req,1,0)</f>
        <v/>
      </c>
    </row>
    <row r="52">
      <c r="A52" s="58" t="n">
        <v>1892</v>
      </c>
      <c r="B52" s="45" t="n">
        <v>0</v>
      </c>
      <c r="C52" s="68" t="n">
        <v>0</v>
      </c>
      <c r="D52" s="47">
        <f>Partners!Q52*(1-IF(AND(OR(oil_compact=0,$A52&lt;compact_year),OR($A52=1931,$A52=1932)),gulf_glut_gdp,0))</f>
        <v/>
      </c>
      <c r="E52" s="47">
        <f>IF(AND(gulf_on=1,$A52&gt;=gulf_year),1,0)</f>
        <v/>
      </c>
      <c r="F52" s="45" t="n">
        <v>0</v>
      </c>
      <c r="G52" s="45" t="n">
        <v>0</v>
      </c>
      <c r="H52" s="59" t="n">
        <v>0</v>
      </c>
      <c r="I52" s="59" t="n">
        <v>0</v>
      </c>
      <c r="J52" s="59" t="n">
        <v>0</v>
      </c>
      <c r="K52" s="59" t="n">
        <v>0</v>
      </c>
      <c r="L52" s="52" t="n">
        <v>0</v>
      </c>
      <c r="M52" s="52" t="n">
        <v>0</v>
      </c>
      <c r="N52" s="52" t="n">
        <v>0</v>
      </c>
      <c r="O52" s="52" t="n">
        <v>0</v>
      </c>
      <c r="P52" s="68" t="n">
        <v>0</v>
      </c>
      <c r="Q52" s="68" t="n">
        <v>0</v>
      </c>
      <c r="R52" s="68" t="n">
        <v>0</v>
      </c>
      <c r="S52" s="68" t="n">
        <v>0</v>
      </c>
      <c r="T52" s="63">
        <f>J52-IF(AND(OR(oil_compact=0,$A52&lt;compact_year),$A52&gt;=1931,$A52&lt;=1933),gulf_wage_dip,0)</f>
        <v/>
      </c>
      <c r="U52" s="47">
        <f>IF($A52&lt;1900,0,IF(F52&lt;=G52,1,0))</f>
        <v/>
      </c>
      <c r="V52" s="47">
        <f>IF($A52&lt;1900,0,IF(H52&gt;=I52,1,0))</f>
        <v/>
      </c>
      <c r="W52" s="47">
        <f>IF($A52&lt;1900,0,IF(T52&gt;=K52,1,0))</f>
        <v/>
      </c>
      <c r="X52" s="47">
        <f>IF($A52&lt;1900,0,IF(L52&lt;=M52,1,0))</f>
        <v/>
      </c>
      <c r="Y52" s="47">
        <f>IF($A52&lt;1900,0,IF(N52&lt;=O52,1,0))</f>
        <v/>
      </c>
      <c r="Z52" s="47">
        <f>IF($A52&lt;1900,0,IF(P52&lt;=Q52,1,0))</f>
        <v/>
      </c>
      <c r="AA52" s="47">
        <f>IF($A52&lt;1900,0,IF(R52&gt;=S52,1,0))</f>
        <v/>
      </c>
      <c r="AB52" s="47">
        <f>IF(SUM(U52:Y52)=5,1,0)</f>
        <v/>
      </c>
      <c r="AC52" s="47">
        <f>IF(Z52+AA52=2,1,0)</f>
        <v/>
      </c>
      <c r="AD52" s="47">
        <f>IF(AND(AB52=1,AC52=1),1,0)</f>
        <v/>
      </c>
      <c r="AE52" s="47">
        <f>IF(AD52=1,AE51+1,0)</f>
        <v/>
      </c>
      <c r="AF52" s="47">
        <f>IF(AE51&gt;=gulf_years_req,1,0)</f>
        <v/>
      </c>
    </row>
    <row r="53">
      <c r="A53" s="58" t="n">
        <v>1893</v>
      </c>
      <c r="B53" s="45" t="n">
        <v>0</v>
      </c>
      <c r="C53" s="68" t="n">
        <v>0</v>
      </c>
      <c r="D53" s="47">
        <f>Partners!Q53*(1-IF(AND(OR(oil_compact=0,$A53&lt;compact_year),OR($A53=1931,$A53=1932)),gulf_glut_gdp,0))</f>
        <v/>
      </c>
      <c r="E53" s="47">
        <f>IF(AND(gulf_on=1,$A53&gt;=gulf_year),1,0)</f>
        <v/>
      </c>
      <c r="F53" s="45" t="n">
        <v>0</v>
      </c>
      <c r="G53" s="45" t="n">
        <v>0</v>
      </c>
      <c r="H53" s="59" t="n">
        <v>0</v>
      </c>
      <c r="I53" s="59" t="n">
        <v>0</v>
      </c>
      <c r="J53" s="59" t="n">
        <v>0</v>
      </c>
      <c r="K53" s="59" t="n">
        <v>0</v>
      </c>
      <c r="L53" s="52" t="n">
        <v>0</v>
      </c>
      <c r="M53" s="52" t="n">
        <v>0</v>
      </c>
      <c r="N53" s="52" t="n">
        <v>0</v>
      </c>
      <c r="O53" s="52" t="n">
        <v>0</v>
      </c>
      <c r="P53" s="68" t="n">
        <v>0</v>
      </c>
      <c r="Q53" s="68" t="n">
        <v>0</v>
      </c>
      <c r="R53" s="68" t="n">
        <v>0</v>
      </c>
      <c r="S53" s="68" t="n">
        <v>0</v>
      </c>
      <c r="T53" s="63">
        <f>J53-IF(AND(OR(oil_compact=0,$A53&lt;compact_year),$A53&gt;=1931,$A53&lt;=1933),gulf_wage_dip,0)</f>
        <v/>
      </c>
      <c r="U53" s="47">
        <f>IF($A53&lt;1900,0,IF(F53&lt;=G53,1,0))</f>
        <v/>
      </c>
      <c r="V53" s="47">
        <f>IF($A53&lt;1900,0,IF(H53&gt;=I53,1,0))</f>
        <v/>
      </c>
      <c r="W53" s="47">
        <f>IF($A53&lt;1900,0,IF(T53&gt;=K53,1,0))</f>
        <v/>
      </c>
      <c r="X53" s="47">
        <f>IF($A53&lt;1900,0,IF(L53&lt;=M53,1,0))</f>
        <v/>
      </c>
      <c r="Y53" s="47">
        <f>IF($A53&lt;1900,0,IF(N53&lt;=O53,1,0))</f>
        <v/>
      </c>
      <c r="Z53" s="47">
        <f>IF($A53&lt;1900,0,IF(P53&lt;=Q53,1,0))</f>
        <v/>
      </c>
      <c r="AA53" s="47">
        <f>IF($A53&lt;1900,0,IF(R53&gt;=S53,1,0))</f>
        <v/>
      </c>
      <c r="AB53" s="47">
        <f>IF(SUM(U53:Y53)=5,1,0)</f>
        <v/>
      </c>
      <c r="AC53" s="47">
        <f>IF(Z53+AA53=2,1,0)</f>
        <v/>
      </c>
      <c r="AD53" s="47">
        <f>IF(AND(AB53=1,AC53=1),1,0)</f>
        <v/>
      </c>
      <c r="AE53" s="47">
        <f>IF(AD53=1,AE52+1,0)</f>
        <v/>
      </c>
      <c r="AF53" s="47">
        <f>IF(AE52&gt;=gulf_years_req,1,0)</f>
        <v/>
      </c>
    </row>
    <row r="54">
      <c r="A54" s="58" t="n">
        <v>1894</v>
      </c>
      <c r="B54" s="45" t="n">
        <v>0</v>
      </c>
      <c r="C54" s="68" t="n">
        <v>0</v>
      </c>
      <c r="D54" s="47">
        <f>Partners!Q54*(1-IF(AND(OR(oil_compact=0,$A54&lt;compact_year),OR($A54=1931,$A54=1932)),gulf_glut_gdp,0))</f>
        <v/>
      </c>
      <c r="E54" s="47">
        <f>IF(AND(gulf_on=1,$A54&gt;=gulf_year),1,0)</f>
        <v/>
      </c>
      <c r="F54" s="45" t="n">
        <v>0</v>
      </c>
      <c r="G54" s="45" t="n">
        <v>0</v>
      </c>
      <c r="H54" s="59" t="n">
        <v>0</v>
      </c>
      <c r="I54" s="59" t="n">
        <v>0</v>
      </c>
      <c r="J54" s="59" t="n">
        <v>0</v>
      </c>
      <c r="K54" s="59" t="n">
        <v>0</v>
      </c>
      <c r="L54" s="52" t="n">
        <v>0</v>
      </c>
      <c r="M54" s="52" t="n">
        <v>0</v>
      </c>
      <c r="N54" s="52" t="n">
        <v>0</v>
      </c>
      <c r="O54" s="52" t="n">
        <v>0</v>
      </c>
      <c r="P54" s="68" t="n">
        <v>0</v>
      </c>
      <c r="Q54" s="68" t="n">
        <v>0</v>
      </c>
      <c r="R54" s="68" t="n">
        <v>0</v>
      </c>
      <c r="S54" s="68" t="n">
        <v>0</v>
      </c>
      <c r="T54" s="63">
        <f>J54-IF(AND(OR(oil_compact=0,$A54&lt;compact_year),$A54&gt;=1931,$A54&lt;=1933),gulf_wage_dip,0)</f>
        <v/>
      </c>
      <c r="U54" s="47">
        <f>IF($A54&lt;1900,0,IF(F54&lt;=G54,1,0))</f>
        <v/>
      </c>
      <c r="V54" s="47">
        <f>IF($A54&lt;1900,0,IF(H54&gt;=I54,1,0))</f>
        <v/>
      </c>
      <c r="W54" s="47">
        <f>IF($A54&lt;1900,0,IF(T54&gt;=K54,1,0))</f>
        <v/>
      </c>
      <c r="X54" s="47">
        <f>IF($A54&lt;1900,0,IF(L54&lt;=M54,1,0))</f>
        <v/>
      </c>
      <c r="Y54" s="47">
        <f>IF($A54&lt;1900,0,IF(N54&lt;=O54,1,0))</f>
        <v/>
      </c>
      <c r="Z54" s="47">
        <f>IF($A54&lt;1900,0,IF(P54&lt;=Q54,1,0))</f>
        <v/>
      </c>
      <c r="AA54" s="47">
        <f>IF($A54&lt;1900,0,IF(R54&gt;=S54,1,0))</f>
        <v/>
      </c>
      <c r="AB54" s="47">
        <f>IF(SUM(U54:Y54)=5,1,0)</f>
        <v/>
      </c>
      <c r="AC54" s="47">
        <f>IF(Z54+AA54=2,1,0)</f>
        <v/>
      </c>
      <c r="AD54" s="47">
        <f>IF(AND(AB54=1,AC54=1),1,0)</f>
        <v/>
      </c>
      <c r="AE54" s="47">
        <f>IF(AD54=1,AE53+1,0)</f>
        <v/>
      </c>
      <c r="AF54" s="47">
        <f>IF(AE53&gt;=gulf_years_req,1,0)</f>
        <v/>
      </c>
    </row>
    <row r="55">
      <c r="A55" s="58" t="n">
        <v>1895</v>
      </c>
      <c r="B55" s="45" t="n">
        <v>0</v>
      </c>
      <c r="C55" s="68" t="n">
        <v>0</v>
      </c>
      <c r="D55" s="47">
        <f>Partners!Q55*(1-IF(AND(OR(oil_compact=0,$A55&lt;compact_year),OR($A55=1931,$A55=1932)),gulf_glut_gdp,0))</f>
        <v/>
      </c>
      <c r="E55" s="47">
        <f>IF(AND(gulf_on=1,$A55&gt;=gulf_year),1,0)</f>
        <v/>
      </c>
      <c r="F55" s="45" t="n">
        <v>0</v>
      </c>
      <c r="G55" s="45" t="n">
        <v>0</v>
      </c>
      <c r="H55" s="59" t="n">
        <v>0</v>
      </c>
      <c r="I55" s="59" t="n">
        <v>0</v>
      </c>
      <c r="J55" s="59" t="n">
        <v>0</v>
      </c>
      <c r="K55" s="59" t="n">
        <v>0</v>
      </c>
      <c r="L55" s="52" t="n">
        <v>0</v>
      </c>
      <c r="M55" s="52" t="n">
        <v>0</v>
      </c>
      <c r="N55" s="52" t="n">
        <v>0</v>
      </c>
      <c r="O55" s="52" t="n">
        <v>0</v>
      </c>
      <c r="P55" s="68" t="n">
        <v>0</v>
      </c>
      <c r="Q55" s="68" t="n">
        <v>0</v>
      </c>
      <c r="R55" s="68" t="n">
        <v>0</v>
      </c>
      <c r="S55" s="68" t="n">
        <v>0</v>
      </c>
      <c r="T55" s="63">
        <f>J55-IF(AND(OR(oil_compact=0,$A55&lt;compact_year),$A55&gt;=1931,$A55&lt;=1933),gulf_wage_dip,0)</f>
        <v/>
      </c>
      <c r="U55" s="47">
        <f>IF($A55&lt;1900,0,IF(F55&lt;=G55,1,0))</f>
        <v/>
      </c>
      <c r="V55" s="47">
        <f>IF($A55&lt;1900,0,IF(H55&gt;=I55,1,0))</f>
        <v/>
      </c>
      <c r="W55" s="47">
        <f>IF($A55&lt;1900,0,IF(T55&gt;=K55,1,0))</f>
        <v/>
      </c>
      <c r="X55" s="47">
        <f>IF($A55&lt;1900,0,IF(L55&lt;=M55,1,0))</f>
        <v/>
      </c>
      <c r="Y55" s="47">
        <f>IF($A55&lt;1900,0,IF(N55&lt;=O55,1,0))</f>
        <v/>
      </c>
      <c r="Z55" s="47">
        <f>IF($A55&lt;1900,0,IF(P55&lt;=Q55,1,0))</f>
        <v/>
      </c>
      <c r="AA55" s="47">
        <f>IF($A55&lt;1900,0,IF(R55&gt;=S55,1,0))</f>
        <v/>
      </c>
      <c r="AB55" s="47">
        <f>IF(SUM(U55:Y55)=5,1,0)</f>
        <v/>
      </c>
      <c r="AC55" s="47">
        <f>IF(Z55+AA55=2,1,0)</f>
        <v/>
      </c>
      <c r="AD55" s="47">
        <f>IF(AND(AB55=1,AC55=1),1,0)</f>
        <v/>
      </c>
      <c r="AE55" s="47">
        <f>IF(AD55=1,AE54+1,0)</f>
        <v/>
      </c>
      <c r="AF55" s="47">
        <f>IF(AE54&gt;=gulf_years_req,1,0)</f>
        <v/>
      </c>
    </row>
    <row r="56">
      <c r="A56" s="58" t="n">
        <v>1896</v>
      </c>
      <c r="B56" s="45" t="n">
        <v>0</v>
      </c>
      <c r="C56" s="68" t="n">
        <v>0</v>
      </c>
      <c r="D56" s="47">
        <f>Partners!Q56*(1-IF(AND(OR(oil_compact=0,$A56&lt;compact_year),OR($A56=1931,$A56=1932)),gulf_glut_gdp,0))</f>
        <v/>
      </c>
      <c r="E56" s="47">
        <f>IF(AND(gulf_on=1,$A56&gt;=gulf_year),1,0)</f>
        <v/>
      </c>
      <c r="F56" s="45" t="n">
        <v>0</v>
      </c>
      <c r="G56" s="45" t="n">
        <v>0</v>
      </c>
      <c r="H56" s="59" t="n">
        <v>0</v>
      </c>
      <c r="I56" s="59" t="n">
        <v>0</v>
      </c>
      <c r="J56" s="59" t="n">
        <v>0</v>
      </c>
      <c r="K56" s="59" t="n">
        <v>0</v>
      </c>
      <c r="L56" s="52" t="n">
        <v>0</v>
      </c>
      <c r="M56" s="52" t="n">
        <v>0</v>
      </c>
      <c r="N56" s="52" t="n">
        <v>0</v>
      </c>
      <c r="O56" s="52" t="n">
        <v>0</v>
      </c>
      <c r="P56" s="68" t="n">
        <v>0</v>
      </c>
      <c r="Q56" s="68" t="n">
        <v>0</v>
      </c>
      <c r="R56" s="68" t="n">
        <v>0</v>
      </c>
      <c r="S56" s="68" t="n">
        <v>0</v>
      </c>
      <c r="T56" s="63">
        <f>J56-IF(AND(OR(oil_compact=0,$A56&lt;compact_year),$A56&gt;=1931,$A56&lt;=1933),gulf_wage_dip,0)</f>
        <v/>
      </c>
      <c r="U56" s="47">
        <f>IF($A56&lt;1900,0,IF(F56&lt;=G56,1,0))</f>
        <v/>
      </c>
      <c r="V56" s="47">
        <f>IF($A56&lt;1900,0,IF(H56&gt;=I56,1,0))</f>
        <v/>
      </c>
      <c r="W56" s="47">
        <f>IF($A56&lt;1900,0,IF(T56&gt;=K56,1,0))</f>
        <v/>
      </c>
      <c r="X56" s="47">
        <f>IF($A56&lt;1900,0,IF(L56&lt;=M56,1,0))</f>
        <v/>
      </c>
      <c r="Y56" s="47">
        <f>IF($A56&lt;1900,0,IF(N56&lt;=O56,1,0))</f>
        <v/>
      </c>
      <c r="Z56" s="47">
        <f>IF($A56&lt;1900,0,IF(P56&lt;=Q56,1,0))</f>
        <v/>
      </c>
      <c r="AA56" s="47">
        <f>IF($A56&lt;1900,0,IF(R56&gt;=S56,1,0))</f>
        <v/>
      </c>
      <c r="AB56" s="47">
        <f>IF(SUM(U56:Y56)=5,1,0)</f>
        <v/>
      </c>
      <c r="AC56" s="47">
        <f>IF(Z56+AA56=2,1,0)</f>
        <v/>
      </c>
      <c r="AD56" s="47">
        <f>IF(AND(AB56=1,AC56=1),1,0)</f>
        <v/>
      </c>
      <c r="AE56" s="47">
        <f>IF(AD56=1,AE55+1,0)</f>
        <v/>
      </c>
      <c r="AF56" s="47">
        <f>IF(AE55&gt;=gulf_years_req,1,0)</f>
        <v/>
      </c>
    </row>
    <row r="57">
      <c r="A57" s="58" t="n">
        <v>1897</v>
      </c>
      <c r="B57" s="45" t="n">
        <v>0</v>
      </c>
      <c r="C57" s="68" t="n">
        <v>0</v>
      </c>
      <c r="D57" s="47">
        <f>Partners!Q57*(1-IF(AND(OR(oil_compact=0,$A57&lt;compact_year),OR($A57=1931,$A57=1932)),gulf_glut_gdp,0))</f>
        <v/>
      </c>
      <c r="E57" s="47">
        <f>IF(AND(gulf_on=1,$A57&gt;=gulf_year),1,0)</f>
        <v/>
      </c>
      <c r="F57" s="45" t="n">
        <v>0</v>
      </c>
      <c r="G57" s="45" t="n">
        <v>0</v>
      </c>
      <c r="H57" s="59" t="n">
        <v>0</v>
      </c>
      <c r="I57" s="59" t="n">
        <v>0</v>
      </c>
      <c r="J57" s="59" t="n">
        <v>0</v>
      </c>
      <c r="K57" s="59" t="n">
        <v>0</v>
      </c>
      <c r="L57" s="52" t="n">
        <v>0</v>
      </c>
      <c r="M57" s="52" t="n">
        <v>0</v>
      </c>
      <c r="N57" s="52" t="n">
        <v>0</v>
      </c>
      <c r="O57" s="52" t="n">
        <v>0</v>
      </c>
      <c r="P57" s="68" t="n">
        <v>0</v>
      </c>
      <c r="Q57" s="68" t="n">
        <v>0</v>
      </c>
      <c r="R57" s="68" t="n">
        <v>0</v>
      </c>
      <c r="S57" s="68" t="n">
        <v>0</v>
      </c>
      <c r="T57" s="63">
        <f>J57-IF(AND(OR(oil_compact=0,$A57&lt;compact_year),$A57&gt;=1931,$A57&lt;=1933),gulf_wage_dip,0)</f>
        <v/>
      </c>
      <c r="U57" s="47">
        <f>IF($A57&lt;1900,0,IF(F57&lt;=G57,1,0))</f>
        <v/>
      </c>
      <c r="V57" s="47">
        <f>IF($A57&lt;1900,0,IF(H57&gt;=I57,1,0))</f>
        <v/>
      </c>
      <c r="W57" s="47">
        <f>IF($A57&lt;1900,0,IF(T57&gt;=K57,1,0))</f>
        <v/>
      </c>
      <c r="X57" s="47">
        <f>IF($A57&lt;1900,0,IF(L57&lt;=M57,1,0))</f>
        <v/>
      </c>
      <c r="Y57" s="47">
        <f>IF($A57&lt;1900,0,IF(N57&lt;=O57,1,0))</f>
        <v/>
      </c>
      <c r="Z57" s="47">
        <f>IF($A57&lt;1900,0,IF(P57&lt;=Q57,1,0))</f>
        <v/>
      </c>
      <c r="AA57" s="47">
        <f>IF($A57&lt;1900,0,IF(R57&gt;=S57,1,0))</f>
        <v/>
      </c>
      <c r="AB57" s="47">
        <f>IF(SUM(U57:Y57)=5,1,0)</f>
        <v/>
      </c>
      <c r="AC57" s="47">
        <f>IF(Z57+AA57=2,1,0)</f>
        <v/>
      </c>
      <c r="AD57" s="47">
        <f>IF(AND(AB57=1,AC57=1),1,0)</f>
        <v/>
      </c>
      <c r="AE57" s="47">
        <f>IF(AD57=1,AE56+1,0)</f>
        <v/>
      </c>
      <c r="AF57" s="47">
        <f>IF(AE56&gt;=gulf_years_req,1,0)</f>
        <v/>
      </c>
    </row>
    <row r="58">
      <c r="A58" s="58" t="n">
        <v>1898</v>
      </c>
      <c r="B58" s="45" t="n">
        <v>0</v>
      </c>
      <c r="C58" s="68" t="n">
        <v>0</v>
      </c>
      <c r="D58" s="47">
        <f>Partners!Q58*(1-IF(AND(OR(oil_compact=0,$A58&lt;compact_year),OR($A58=1931,$A58=1932)),gulf_glut_gdp,0))</f>
        <v/>
      </c>
      <c r="E58" s="47">
        <f>IF(AND(gulf_on=1,$A58&gt;=gulf_year),1,0)</f>
        <v/>
      </c>
      <c r="F58" s="45" t="n">
        <v>0</v>
      </c>
      <c r="G58" s="45" t="n">
        <v>0</v>
      </c>
      <c r="H58" s="59" t="n">
        <v>0</v>
      </c>
      <c r="I58" s="59" t="n">
        <v>0</v>
      </c>
      <c r="J58" s="59" t="n">
        <v>0</v>
      </c>
      <c r="K58" s="59" t="n">
        <v>0</v>
      </c>
      <c r="L58" s="52" t="n">
        <v>0</v>
      </c>
      <c r="M58" s="52" t="n">
        <v>0</v>
      </c>
      <c r="N58" s="52" t="n">
        <v>0</v>
      </c>
      <c r="O58" s="52" t="n">
        <v>0</v>
      </c>
      <c r="P58" s="68" t="n">
        <v>0</v>
      </c>
      <c r="Q58" s="68" t="n">
        <v>0</v>
      </c>
      <c r="R58" s="68" t="n">
        <v>0</v>
      </c>
      <c r="S58" s="68" t="n">
        <v>0</v>
      </c>
      <c r="T58" s="63">
        <f>J58-IF(AND(OR(oil_compact=0,$A58&lt;compact_year),$A58&gt;=1931,$A58&lt;=1933),gulf_wage_dip,0)</f>
        <v/>
      </c>
      <c r="U58" s="47">
        <f>IF($A58&lt;1900,0,IF(F58&lt;=G58,1,0))</f>
        <v/>
      </c>
      <c r="V58" s="47">
        <f>IF($A58&lt;1900,0,IF(H58&gt;=I58,1,0))</f>
        <v/>
      </c>
      <c r="W58" s="47">
        <f>IF($A58&lt;1900,0,IF(T58&gt;=K58,1,0))</f>
        <v/>
      </c>
      <c r="X58" s="47">
        <f>IF($A58&lt;1900,0,IF(L58&lt;=M58,1,0))</f>
        <v/>
      </c>
      <c r="Y58" s="47">
        <f>IF($A58&lt;1900,0,IF(N58&lt;=O58,1,0))</f>
        <v/>
      </c>
      <c r="Z58" s="47">
        <f>IF($A58&lt;1900,0,IF(P58&lt;=Q58,1,0))</f>
        <v/>
      </c>
      <c r="AA58" s="47">
        <f>IF($A58&lt;1900,0,IF(R58&gt;=S58,1,0))</f>
        <v/>
      </c>
      <c r="AB58" s="47">
        <f>IF(SUM(U58:Y58)=5,1,0)</f>
        <v/>
      </c>
      <c r="AC58" s="47">
        <f>IF(Z58+AA58=2,1,0)</f>
        <v/>
      </c>
      <c r="AD58" s="47">
        <f>IF(AND(AB58=1,AC58=1),1,0)</f>
        <v/>
      </c>
      <c r="AE58" s="47">
        <f>IF(AD58=1,AE57+1,0)</f>
        <v/>
      </c>
      <c r="AF58" s="47">
        <f>IF(AE57&gt;=gulf_years_req,1,0)</f>
        <v/>
      </c>
    </row>
    <row r="59">
      <c r="A59" s="58" t="n">
        <v>1899</v>
      </c>
      <c r="B59" s="45" t="n">
        <v>0</v>
      </c>
      <c r="C59" s="68" t="n">
        <v>0</v>
      </c>
      <c r="D59" s="47">
        <f>Partners!Q59*(1-IF(AND(OR(oil_compact=0,$A59&lt;compact_year),OR($A59=1931,$A59=1932)),gulf_glut_gdp,0))</f>
        <v/>
      </c>
      <c r="E59" s="47">
        <f>IF(AND(gulf_on=1,$A59&gt;=gulf_year),1,0)</f>
        <v/>
      </c>
      <c r="F59" s="45" t="n">
        <v>0</v>
      </c>
      <c r="G59" s="45" t="n">
        <v>0</v>
      </c>
      <c r="H59" s="59" t="n">
        <v>0</v>
      </c>
      <c r="I59" s="59" t="n">
        <v>0</v>
      </c>
      <c r="J59" s="59" t="n">
        <v>0</v>
      </c>
      <c r="K59" s="59" t="n">
        <v>0</v>
      </c>
      <c r="L59" s="52" t="n">
        <v>0</v>
      </c>
      <c r="M59" s="52" t="n">
        <v>0</v>
      </c>
      <c r="N59" s="52" t="n">
        <v>0</v>
      </c>
      <c r="O59" s="52" t="n">
        <v>0</v>
      </c>
      <c r="P59" s="68" t="n">
        <v>0</v>
      </c>
      <c r="Q59" s="68" t="n">
        <v>0</v>
      </c>
      <c r="R59" s="68" t="n">
        <v>0</v>
      </c>
      <c r="S59" s="68" t="n">
        <v>0</v>
      </c>
      <c r="T59" s="63">
        <f>J59-IF(AND(OR(oil_compact=0,$A59&lt;compact_year),$A59&gt;=1931,$A59&lt;=1933),gulf_wage_dip,0)</f>
        <v/>
      </c>
      <c r="U59" s="47">
        <f>IF($A59&lt;1900,0,IF(F59&lt;=G59,1,0))</f>
        <v/>
      </c>
      <c r="V59" s="47">
        <f>IF($A59&lt;1900,0,IF(H59&gt;=I59,1,0))</f>
        <v/>
      </c>
      <c r="W59" s="47">
        <f>IF($A59&lt;1900,0,IF(T59&gt;=K59,1,0))</f>
        <v/>
      </c>
      <c r="X59" s="47">
        <f>IF($A59&lt;1900,0,IF(L59&lt;=M59,1,0))</f>
        <v/>
      </c>
      <c r="Y59" s="47">
        <f>IF($A59&lt;1900,0,IF(N59&lt;=O59,1,0))</f>
        <v/>
      </c>
      <c r="Z59" s="47">
        <f>IF($A59&lt;1900,0,IF(P59&lt;=Q59,1,0))</f>
        <v/>
      </c>
      <c r="AA59" s="47">
        <f>IF($A59&lt;1900,0,IF(R59&gt;=S59,1,0))</f>
        <v/>
      </c>
      <c r="AB59" s="47">
        <f>IF(SUM(U59:Y59)=5,1,0)</f>
        <v/>
      </c>
      <c r="AC59" s="47">
        <f>IF(Z59+AA59=2,1,0)</f>
        <v/>
      </c>
      <c r="AD59" s="47">
        <f>IF(AND(AB59=1,AC59=1),1,0)</f>
        <v/>
      </c>
      <c r="AE59" s="47">
        <f>IF(AD59=1,AE58+1,0)</f>
        <v/>
      </c>
      <c r="AF59" s="47">
        <f>IF(AE58&gt;=gulf_years_req,1,0)</f>
        <v/>
      </c>
    </row>
    <row r="60">
      <c r="A60" s="58" t="n">
        <v>1900</v>
      </c>
      <c r="B60" s="45" t="n">
        <v>6100000</v>
      </c>
      <c r="C60" s="68" t="n">
        <v>0.58</v>
      </c>
      <c r="D60" s="47">
        <f>Partners!Q60*(1-IF(AND(OR(oil_compact=0,$A60&lt;compact_year),OR($A60=1931,$A60=1932)),gulf_glut_gdp,0))</f>
        <v/>
      </c>
      <c r="E60" s="47">
        <f>IF(AND(gulf_on=1,$A60&gt;=gulf_year),1,0)</f>
        <v/>
      </c>
      <c r="F60" s="45" t="n">
        <v>175</v>
      </c>
      <c r="G60" s="45" t="n">
        <v>150</v>
      </c>
      <c r="H60" s="59" t="n">
        <v>0.78</v>
      </c>
      <c r="I60" s="59" t="n">
        <v>0.8</v>
      </c>
      <c r="J60" s="59" t="n">
        <v>0.7</v>
      </c>
      <c r="K60" s="59" t="n">
        <v>1</v>
      </c>
      <c r="L60" s="52" t="n">
        <v>26</v>
      </c>
      <c r="M60" s="52" t="n">
        <v>18</v>
      </c>
      <c r="N60" s="52" t="n">
        <v>55</v>
      </c>
      <c r="O60" s="52" t="n">
        <v>40</v>
      </c>
      <c r="P60" s="68" t="n">
        <v>1.9</v>
      </c>
      <c r="Q60" s="68" t="n">
        <v>1.05</v>
      </c>
      <c r="R60" s="68" t="n">
        <v>0.45</v>
      </c>
      <c r="S60" s="68" t="n">
        <v>0.95</v>
      </c>
      <c r="T60" s="63">
        <f>J60-IF(AND(OR(oil_compact=0,$A60&lt;compact_year),$A60&gt;=1931,$A60&lt;=1933),gulf_wage_dip,0)</f>
        <v/>
      </c>
      <c r="U60" s="47">
        <f>IF($A60&lt;1900,0,IF(F60&lt;=G60,1,0))</f>
        <v/>
      </c>
      <c r="V60" s="47">
        <f>IF($A60&lt;1900,0,IF(H60&gt;=I60,1,0))</f>
        <v/>
      </c>
      <c r="W60" s="47">
        <f>IF($A60&lt;1900,0,IF(T60&gt;=K60,1,0))</f>
        <v/>
      </c>
      <c r="X60" s="47">
        <f>IF($A60&lt;1900,0,IF(L60&lt;=M60,1,0))</f>
        <v/>
      </c>
      <c r="Y60" s="47">
        <f>IF($A60&lt;1900,0,IF(N60&lt;=O60,1,0))</f>
        <v/>
      </c>
      <c r="Z60" s="47">
        <f>IF($A60&lt;1900,0,IF(P60&lt;=Q60,1,0))</f>
        <v/>
      </c>
      <c r="AA60" s="47">
        <f>IF($A60&lt;1900,0,IF(R60&gt;=S60,1,0))</f>
        <v/>
      </c>
      <c r="AB60" s="47">
        <f>IF(SUM(U60:Y60)=5,1,0)</f>
        <v/>
      </c>
      <c r="AC60" s="47">
        <f>IF(Z60+AA60=2,1,0)</f>
        <v/>
      </c>
      <c r="AD60" s="47">
        <f>IF(AND(AB60=1,AC60=1),1,0)</f>
        <v/>
      </c>
      <c r="AE60" s="47">
        <f>IF(AD60=1,AE59+1,0)</f>
        <v/>
      </c>
      <c r="AF60" s="47">
        <f>IF(AE59&gt;=gulf_years_req,1,0)</f>
        <v/>
      </c>
    </row>
    <row r="61">
      <c r="A61" s="58" t="n">
        <v>1901</v>
      </c>
      <c r="B61" s="45" t="n">
        <v>6290000</v>
      </c>
      <c r="C61" s="68" t="n">
        <v>0.583</v>
      </c>
      <c r="D61" s="47">
        <f>Partners!Q61*(1-IF(AND(OR(oil_compact=0,$A61&lt;compact_year),OR($A61=1931,$A61=1932)),gulf_glut_gdp,0))</f>
        <v/>
      </c>
      <c r="E61" s="47">
        <f>IF(AND(gulf_on=1,$A61&gt;=gulf_year),1,0)</f>
        <v/>
      </c>
      <c r="F61" s="45" t="n">
        <v>175</v>
      </c>
      <c r="G61" s="45" t="n">
        <v>147.6</v>
      </c>
      <c r="H61" s="59" t="n">
        <v>0.786</v>
      </c>
      <c r="I61" s="59" t="n">
        <v>0.805</v>
      </c>
      <c r="J61" s="59" t="n">
        <v>0.712</v>
      </c>
      <c r="K61" s="59" t="n">
        <v>1</v>
      </c>
      <c r="L61" s="52" t="n">
        <v>25.6</v>
      </c>
      <c r="M61" s="52" t="n">
        <v>17.6</v>
      </c>
      <c r="N61" s="52" t="n">
        <v>52.4</v>
      </c>
      <c r="O61" s="52" t="n">
        <v>38.6</v>
      </c>
      <c r="P61" s="68" t="n">
        <v>1.896</v>
      </c>
      <c r="Q61" s="68" t="n">
        <v>1.05</v>
      </c>
      <c r="R61" s="68" t="n">
        <v>0.456</v>
      </c>
      <c r="S61" s="68" t="n">
        <v>0.95</v>
      </c>
      <c r="T61" s="63">
        <f>J61-IF(AND(OR(oil_compact=0,$A61&lt;compact_year),$A61&gt;=1931,$A61&lt;=1933),gulf_wage_dip,0)</f>
        <v/>
      </c>
      <c r="U61" s="47">
        <f>IF($A61&lt;1900,0,IF(F61&lt;=G61,1,0))</f>
        <v/>
      </c>
      <c r="V61" s="47">
        <f>IF($A61&lt;1900,0,IF(H61&gt;=I61,1,0))</f>
        <v/>
      </c>
      <c r="W61" s="47">
        <f>IF($A61&lt;1900,0,IF(T61&gt;=K61,1,0))</f>
        <v/>
      </c>
      <c r="X61" s="47">
        <f>IF($A61&lt;1900,0,IF(L61&lt;=M61,1,0))</f>
        <v/>
      </c>
      <c r="Y61" s="47">
        <f>IF($A61&lt;1900,0,IF(N61&lt;=O61,1,0))</f>
        <v/>
      </c>
      <c r="Z61" s="47">
        <f>IF($A61&lt;1900,0,IF(P61&lt;=Q61,1,0))</f>
        <v/>
      </c>
      <c r="AA61" s="47">
        <f>IF($A61&lt;1900,0,IF(R61&gt;=S61,1,0))</f>
        <v/>
      </c>
      <c r="AB61" s="47">
        <f>IF(SUM(U61:Y61)=5,1,0)</f>
        <v/>
      </c>
      <c r="AC61" s="47">
        <f>IF(Z61+AA61=2,1,0)</f>
        <v/>
      </c>
      <c r="AD61" s="47">
        <f>IF(AND(AB61=1,AC61=1),1,0)</f>
        <v/>
      </c>
      <c r="AE61" s="47">
        <f>IF(AD61=1,AE60+1,0)</f>
        <v/>
      </c>
      <c r="AF61" s="47">
        <f>IF(AE60&gt;=gulf_years_req,1,0)</f>
        <v/>
      </c>
    </row>
    <row r="62">
      <c r="A62" s="58" t="n">
        <v>1902</v>
      </c>
      <c r="B62" s="45" t="n">
        <v>6480000</v>
      </c>
      <c r="C62" s="68" t="n">
        <v>0.586</v>
      </c>
      <c r="D62" s="47">
        <f>Partners!Q62*(1-IF(AND(OR(oil_compact=0,$A62&lt;compact_year),OR($A62=1931,$A62=1932)),gulf_glut_gdp,0))</f>
        <v/>
      </c>
      <c r="E62" s="47">
        <f>IF(AND(gulf_on=1,$A62&gt;=gulf_year),1,0)</f>
        <v/>
      </c>
      <c r="F62" s="45" t="n">
        <v>175</v>
      </c>
      <c r="G62" s="45" t="n">
        <v>145.2</v>
      </c>
      <c r="H62" s="59" t="n">
        <v>0.792</v>
      </c>
      <c r="I62" s="59" t="n">
        <v>0.8100000000000001</v>
      </c>
      <c r="J62" s="59" t="n">
        <v>0.724</v>
      </c>
      <c r="K62" s="59" t="n">
        <v>1</v>
      </c>
      <c r="L62" s="52" t="n">
        <v>25.2</v>
      </c>
      <c r="M62" s="52" t="n">
        <v>17.2</v>
      </c>
      <c r="N62" s="52" t="n">
        <v>49.8</v>
      </c>
      <c r="O62" s="52" t="n">
        <v>37.2</v>
      </c>
      <c r="P62" s="68" t="n">
        <v>1.892</v>
      </c>
      <c r="Q62" s="68" t="n">
        <v>1.05</v>
      </c>
      <c r="R62" s="68" t="n">
        <v>0.462</v>
      </c>
      <c r="S62" s="68" t="n">
        <v>0.95</v>
      </c>
      <c r="T62" s="63">
        <f>J62-IF(AND(OR(oil_compact=0,$A62&lt;compact_year),$A62&gt;=1931,$A62&lt;=1933),gulf_wage_dip,0)</f>
        <v/>
      </c>
      <c r="U62" s="47">
        <f>IF($A62&lt;1900,0,IF(F62&lt;=G62,1,0))</f>
        <v/>
      </c>
      <c r="V62" s="47">
        <f>IF($A62&lt;1900,0,IF(H62&gt;=I62,1,0))</f>
        <v/>
      </c>
      <c r="W62" s="47">
        <f>IF($A62&lt;1900,0,IF(T62&gt;=K62,1,0))</f>
        <v/>
      </c>
      <c r="X62" s="47">
        <f>IF($A62&lt;1900,0,IF(L62&lt;=M62,1,0))</f>
        <v/>
      </c>
      <c r="Y62" s="47">
        <f>IF($A62&lt;1900,0,IF(N62&lt;=O62,1,0))</f>
        <v/>
      </c>
      <c r="Z62" s="47">
        <f>IF($A62&lt;1900,0,IF(P62&lt;=Q62,1,0))</f>
        <v/>
      </c>
      <c r="AA62" s="47">
        <f>IF($A62&lt;1900,0,IF(R62&gt;=S62,1,0))</f>
        <v/>
      </c>
      <c r="AB62" s="47">
        <f>IF(SUM(U62:Y62)=5,1,0)</f>
        <v/>
      </c>
      <c r="AC62" s="47">
        <f>IF(Z62+AA62=2,1,0)</f>
        <v/>
      </c>
      <c r="AD62" s="47">
        <f>IF(AND(AB62=1,AC62=1),1,0)</f>
        <v/>
      </c>
      <c r="AE62" s="47">
        <f>IF(AD62=1,AE61+1,0)</f>
        <v/>
      </c>
      <c r="AF62" s="47">
        <f>IF(AE61&gt;=gulf_years_req,1,0)</f>
        <v/>
      </c>
    </row>
    <row r="63">
      <c r="A63" s="58" t="n">
        <v>1903</v>
      </c>
      <c r="B63" s="45" t="n">
        <v>6670000</v>
      </c>
      <c r="C63" s="68" t="n">
        <v>0.589</v>
      </c>
      <c r="D63" s="47">
        <f>Partners!Q63*(1-IF(AND(OR(oil_compact=0,$A63&lt;compact_year),OR($A63=1931,$A63=1932)),gulf_glut_gdp,0))</f>
        <v/>
      </c>
      <c r="E63" s="47">
        <f>IF(AND(gulf_on=1,$A63&gt;=gulf_year),1,0)</f>
        <v/>
      </c>
      <c r="F63" s="45" t="n">
        <v>175</v>
      </c>
      <c r="G63" s="45" t="n">
        <v>142.8</v>
      </c>
      <c r="H63" s="59" t="n">
        <v>0.798</v>
      </c>
      <c r="I63" s="59" t="n">
        <v>0.8149999999999999</v>
      </c>
      <c r="J63" s="59" t="n">
        <v>0.736</v>
      </c>
      <c r="K63" s="59" t="n">
        <v>1</v>
      </c>
      <c r="L63" s="52" t="n">
        <v>24.8</v>
      </c>
      <c r="M63" s="52" t="n">
        <v>16.8</v>
      </c>
      <c r="N63" s="52" t="n">
        <v>47.2</v>
      </c>
      <c r="O63" s="52" t="n">
        <v>35.8</v>
      </c>
      <c r="P63" s="68" t="n">
        <v>1.888</v>
      </c>
      <c r="Q63" s="68" t="n">
        <v>1.05</v>
      </c>
      <c r="R63" s="68" t="n">
        <v>0.468</v>
      </c>
      <c r="S63" s="68" t="n">
        <v>0.95</v>
      </c>
      <c r="T63" s="63">
        <f>J63-IF(AND(OR(oil_compact=0,$A63&lt;compact_year),$A63&gt;=1931,$A63&lt;=1933),gulf_wage_dip,0)</f>
        <v/>
      </c>
      <c r="U63" s="47">
        <f>IF($A63&lt;1900,0,IF(F63&lt;=G63,1,0))</f>
        <v/>
      </c>
      <c r="V63" s="47">
        <f>IF($A63&lt;1900,0,IF(H63&gt;=I63,1,0))</f>
        <v/>
      </c>
      <c r="W63" s="47">
        <f>IF($A63&lt;1900,0,IF(T63&gt;=K63,1,0))</f>
        <v/>
      </c>
      <c r="X63" s="47">
        <f>IF($A63&lt;1900,0,IF(L63&lt;=M63,1,0))</f>
        <v/>
      </c>
      <c r="Y63" s="47">
        <f>IF($A63&lt;1900,0,IF(N63&lt;=O63,1,0))</f>
        <v/>
      </c>
      <c r="Z63" s="47">
        <f>IF($A63&lt;1900,0,IF(P63&lt;=Q63,1,0))</f>
        <v/>
      </c>
      <c r="AA63" s="47">
        <f>IF($A63&lt;1900,0,IF(R63&gt;=S63,1,0))</f>
        <v/>
      </c>
      <c r="AB63" s="47">
        <f>IF(SUM(U63:Y63)=5,1,0)</f>
        <v/>
      </c>
      <c r="AC63" s="47">
        <f>IF(Z63+AA63=2,1,0)</f>
        <v/>
      </c>
      <c r="AD63" s="47">
        <f>IF(AND(AB63=1,AC63=1),1,0)</f>
        <v/>
      </c>
      <c r="AE63" s="47">
        <f>IF(AD63=1,AE62+1,0)</f>
        <v/>
      </c>
      <c r="AF63" s="47">
        <f>IF(AE62&gt;=gulf_years_req,1,0)</f>
        <v/>
      </c>
    </row>
    <row r="64">
      <c r="A64" s="58" t="n">
        <v>1904</v>
      </c>
      <c r="B64" s="45" t="n">
        <v>6860000</v>
      </c>
      <c r="C64" s="68" t="n">
        <v>0.592</v>
      </c>
      <c r="D64" s="47">
        <f>Partners!Q64*(1-IF(AND(OR(oil_compact=0,$A64&lt;compact_year),OR($A64=1931,$A64=1932)),gulf_glut_gdp,0))</f>
        <v/>
      </c>
      <c r="E64" s="47">
        <f>IF(AND(gulf_on=1,$A64&gt;=gulf_year),1,0)</f>
        <v/>
      </c>
      <c r="F64" s="45" t="n">
        <v>182.5</v>
      </c>
      <c r="G64" s="45" t="n">
        <v>140.4</v>
      </c>
      <c r="H64" s="59" t="n">
        <v>0.804</v>
      </c>
      <c r="I64" s="59" t="n">
        <v>0.82</v>
      </c>
      <c r="J64" s="59" t="n">
        <v>0.748</v>
      </c>
      <c r="K64" s="59" t="n">
        <v>1</v>
      </c>
      <c r="L64" s="52" t="n">
        <v>24.4</v>
      </c>
      <c r="M64" s="52" t="n">
        <v>16.4</v>
      </c>
      <c r="N64" s="52" t="n">
        <v>44.6</v>
      </c>
      <c r="O64" s="52" t="n">
        <v>34.4</v>
      </c>
      <c r="P64" s="68" t="n">
        <v>1.884</v>
      </c>
      <c r="Q64" s="68" t="n">
        <v>1.05</v>
      </c>
      <c r="R64" s="68" t="n">
        <v>0.474</v>
      </c>
      <c r="S64" s="68" t="n">
        <v>0.95</v>
      </c>
      <c r="T64" s="63">
        <f>J64-IF(AND(OR(oil_compact=0,$A64&lt;compact_year),$A64&gt;=1931,$A64&lt;=1933),gulf_wage_dip,0)</f>
        <v/>
      </c>
      <c r="U64" s="47">
        <f>IF($A64&lt;1900,0,IF(F64&lt;=G64,1,0))</f>
        <v/>
      </c>
      <c r="V64" s="47">
        <f>IF($A64&lt;1900,0,IF(H64&gt;=I64,1,0))</f>
        <v/>
      </c>
      <c r="W64" s="47">
        <f>IF($A64&lt;1900,0,IF(T64&gt;=K64,1,0))</f>
        <v/>
      </c>
      <c r="X64" s="47">
        <f>IF($A64&lt;1900,0,IF(L64&lt;=M64,1,0))</f>
        <v/>
      </c>
      <c r="Y64" s="47">
        <f>IF($A64&lt;1900,0,IF(N64&lt;=O64,1,0))</f>
        <v/>
      </c>
      <c r="Z64" s="47">
        <f>IF($A64&lt;1900,0,IF(P64&lt;=Q64,1,0))</f>
        <v/>
      </c>
      <c r="AA64" s="47">
        <f>IF($A64&lt;1900,0,IF(R64&gt;=S64,1,0))</f>
        <v/>
      </c>
      <c r="AB64" s="47">
        <f>IF(SUM(U64:Y64)=5,1,0)</f>
        <v/>
      </c>
      <c r="AC64" s="47">
        <f>IF(Z64+AA64=2,1,0)</f>
        <v/>
      </c>
      <c r="AD64" s="47">
        <f>IF(AND(AB64=1,AC64=1),1,0)</f>
        <v/>
      </c>
      <c r="AE64" s="47">
        <f>IF(AD64=1,AE63+1,0)</f>
        <v/>
      </c>
      <c r="AF64" s="47">
        <f>IF(AE63&gt;=gulf_years_req,1,0)</f>
        <v/>
      </c>
    </row>
    <row r="65">
      <c r="A65" s="58" t="n">
        <v>1905</v>
      </c>
      <c r="B65" s="45" t="n">
        <v>7050000</v>
      </c>
      <c r="C65" s="68" t="n">
        <v>0.595</v>
      </c>
      <c r="D65" s="47">
        <f>Partners!Q65*(1-IF(AND(OR(oil_compact=0,$A65&lt;compact_year),OR($A65=1931,$A65=1932)),gulf_glut_gdp,0))</f>
        <v/>
      </c>
      <c r="E65" s="47">
        <f>IF(AND(gulf_on=1,$A65&gt;=gulf_year),1,0)</f>
        <v/>
      </c>
      <c r="F65" s="45" t="n">
        <v>190</v>
      </c>
      <c r="G65" s="45" t="n">
        <v>138</v>
      </c>
      <c r="H65" s="59" t="n">
        <v>0.8100000000000001</v>
      </c>
      <c r="I65" s="59" t="n">
        <v>0.825</v>
      </c>
      <c r="J65" s="59" t="n">
        <v>0.76</v>
      </c>
      <c r="K65" s="59" t="n">
        <v>1</v>
      </c>
      <c r="L65" s="52" t="n">
        <v>24</v>
      </c>
      <c r="M65" s="52" t="n">
        <v>16</v>
      </c>
      <c r="N65" s="52" t="n">
        <v>42</v>
      </c>
      <c r="O65" s="52" t="n">
        <v>33</v>
      </c>
      <c r="P65" s="68" t="n">
        <v>1.88</v>
      </c>
      <c r="Q65" s="68" t="n">
        <v>1.05</v>
      </c>
      <c r="R65" s="68" t="n">
        <v>0.48</v>
      </c>
      <c r="S65" s="68" t="n">
        <v>0.95</v>
      </c>
      <c r="T65" s="63">
        <f>J65-IF(AND(OR(oil_compact=0,$A65&lt;compact_year),$A65&gt;=1931,$A65&lt;=1933),gulf_wage_dip,0)</f>
        <v/>
      </c>
      <c r="U65" s="47">
        <f>IF($A65&lt;1900,0,IF(F65&lt;=G65,1,0))</f>
        <v/>
      </c>
      <c r="V65" s="47">
        <f>IF($A65&lt;1900,0,IF(H65&gt;=I65,1,0))</f>
        <v/>
      </c>
      <c r="W65" s="47">
        <f>IF($A65&lt;1900,0,IF(T65&gt;=K65,1,0))</f>
        <v/>
      </c>
      <c r="X65" s="47">
        <f>IF($A65&lt;1900,0,IF(L65&lt;=M65,1,0))</f>
        <v/>
      </c>
      <c r="Y65" s="47">
        <f>IF($A65&lt;1900,0,IF(N65&lt;=O65,1,0))</f>
        <v/>
      </c>
      <c r="Z65" s="47">
        <f>IF($A65&lt;1900,0,IF(P65&lt;=Q65,1,0))</f>
        <v/>
      </c>
      <c r="AA65" s="47">
        <f>IF($A65&lt;1900,0,IF(R65&gt;=S65,1,0))</f>
        <v/>
      </c>
      <c r="AB65" s="47">
        <f>IF(SUM(U65:Y65)=5,1,0)</f>
        <v/>
      </c>
      <c r="AC65" s="47">
        <f>IF(Z65+AA65=2,1,0)</f>
        <v/>
      </c>
      <c r="AD65" s="47">
        <f>IF(AND(AB65=1,AC65=1),1,0)</f>
        <v/>
      </c>
      <c r="AE65" s="47">
        <f>IF(AD65=1,AE64+1,0)</f>
        <v/>
      </c>
      <c r="AF65" s="47">
        <f>IF(AE64&gt;=gulf_years_req,1,0)</f>
        <v/>
      </c>
    </row>
    <row r="66">
      <c r="A66" s="58" t="n">
        <v>1906</v>
      </c>
      <c r="B66" s="45" t="n">
        <v>7240000</v>
      </c>
      <c r="C66" s="68" t="n">
        <v>0.598</v>
      </c>
      <c r="D66" s="47">
        <f>Partners!Q66*(1-IF(AND(OR(oil_compact=0,$A66&lt;compact_year),OR($A66=1931,$A66=1932)),gulf_glut_gdp,0))</f>
        <v/>
      </c>
      <c r="E66" s="47">
        <f>IF(AND(gulf_on=1,$A66&gt;=gulf_year),1,0)</f>
        <v/>
      </c>
      <c r="F66" s="45" t="n">
        <v>184</v>
      </c>
      <c r="G66" s="45" t="n">
        <v>135.4</v>
      </c>
      <c r="H66" s="59" t="n">
        <v>0.8179999999999999</v>
      </c>
      <c r="I66" s="59" t="n">
        <v>0.83</v>
      </c>
      <c r="J66" s="59" t="n">
        <v>0.772</v>
      </c>
      <c r="K66" s="59" t="n">
        <v>1</v>
      </c>
      <c r="L66" s="52" t="n">
        <v>23.4</v>
      </c>
      <c r="M66" s="52" t="n">
        <v>15.6</v>
      </c>
      <c r="N66" s="52" t="n">
        <v>39.2</v>
      </c>
      <c r="O66" s="52" t="n">
        <v>31.4</v>
      </c>
      <c r="P66" s="68" t="n">
        <v>1.854</v>
      </c>
      <c r="Q66" s="68" t="n">
        <v>1.05</v>
      </c>
      <c r="R66" s="68" t="n">
        <v>0.494</v>
      </c>
      <c r="S66" s="68" t="n">
        <v>0.95</v>
      </c>
      <c r="T66" s="63">
        <f>J66-IF(AND(OR(oil_compact=0,$A66&lt;compact_year),$A66&gt;=1931,$A66&lt;=1933),gulf_wage_dip,0)</f>
        <v/>
      </c>
      <c r="U66" s="47">
        <f>IF($A66&lt;1900,0,IF(F66&lt;=G66,1,0))</f>
        <v/>
      </c>
      <c r="V66" s="47">
        <f>IF($A66&lt;1900,0,IF(H66&gt;=I66,1,0))</f>
        <v/>
      </c>
      <c r="W66" s="47">
        <f>IF($A66&lt;1900,0,IF(T66&gt;=K66,1,0))</f>
        <v/>
      </c>
      <c r="X66" s="47">
        <f>IF($A66&lt;1900,0,IF(L66&lt;=M66,1,0))</f>
        <v/>
      </c>
      <c r="Y66" s="47">
        <f>IF($A66&lt;1900,0,IF(N66&lt;=O66,1,0))</f>
        <v/>
      </c>
      <c r="Z66" s="47">
        <f>IF($A66&lt;1900,0,IF(P66&lt;=Q66,1,0))</f>
        <v/>
      </c>
      <c r="AA66" s="47">
        <f>IF($A66&lt;1900,0,IF(R66&gt;=S66,1,0))</f>
        <v/>
      </c>
      <c r="AB66" s="47">
        <f>IF(SUM(U66:Y66)=5,1,0)</f>
        <v/>
      </c>
      <c r="AC66" s="47">
        <f>IF(Z66+AA66=2,1,0)</f>
        <v/>
      </c>
      <c r="AD66" s="47">
        <f>IF(AND(AB66=1,AC66=1),1,0)</f>
        <v/>
      </c>
      <c r="AE66" s="47">
        <f>IF(AD66=1,AE65+1,0)</f>
        <v/>
      </c>
      <c r="AF66" s="47">
        <f>IF(AE65&gt;=gulf_years_req,1,0)</f>
        <v/>
      </c>
    </row>
    <row r="67">
      <c r="A67" s="58" t="n">
        <v>1907</v>
      </c>
      <c r="B67" s="45" t="n">
        <v>7430000</v>
      </c>
      <c r="C67" s="68" t="n">
        <v>0.602</v>
      </c>
      <c r="D67" s="47">
        <f>Partners!Q67*(1-IF(AND(OR(oil_compact=0,$A67&lt;compact_year),OR($A67=1931,$A67=1932)),gulf_glut_gdp,0))</f>
        <v/>
      </c>
      <c r="E67" s="47">
        <f>IF(AND(gulf_on=1,$A67&gt;=gulf_year),1,0)</f>
        <v/>
      </c>
      <c r="F67" s="45" t="n">
        <v>178</v>
      </c>
      <c r="G67" s="45" t="n">
        <v>132.8</v>
      </c>
      <c r="H67" s="59" t="n">
        <v>0.826</v>
      </c>
      <c r="I67" s="59" t="n">
        <v>0.835</v>
      </c>
      <c r="J67" s="59" t="n">
        <v>0.784</v>
      </c>
      <c r="K67" s="59" t="n">
        <v>1</v>
      </c>
      <c r="L67" s="52" t="n">
        <v>22.8</v>
      </c>
      <c r="M67" s="52" t="n">
        <v>15.2</v>
      </c>
      <c r="N67" s="52" t="n">
        <v>36.4</v>
      </c>
      <c r="O67" s="52" t="n">
        <v>29.8</v>
      </c>
      <c r="P67" s="68" t="n">
        <v>1.828</v>
      </c>
      <c r="Q67" s="68" t="n">
        <v>1.05</v>
      </c>
      <c r="R67" s="68" t="n">
        <v>0.508</v>
      </c>
      <c r="S67" s="68" t="n">
        <v>0.95</v>
      </c>
      <c r="T67" s="63">
        <f>J67-IF(AND(OR(oil_compact=0,$A67&lt;compact_year),$A67&gt;=1931,$A67&lt;=1933),gulf_wage_dip,0)</f>
        <v/>
      </c>
      <c r="U67" s="47">
        <f>IF($A67&lt;1900,0,IF(F67&lt;=G67,1,0))</f>
        <v/>
      </c>
      <c r="V67" s="47">
        <f>IF($A67&lt;1900,0,IF(H67&gt;=I67,1,0))</f>
        <v/>
      </c>
      <c r="W67" s="47">
        <f>IF($A67&lt;1900,0,IF(T67&gt;=K67,1,0))</f>
        <v/>
      </c>
      <c r="X67" s="47">
        <f>IF($A67&lt;1900,0,IF(L67&lt;=M67,1,0))</f>
        <v/>
      </c>
      <c r="Y67" s="47">
        <f>IF($A67&lt;1900,0,IF(N67&lt;=O67,1,0))</f>
        <v/>
      </c>
      <c r="Z67" s="47">
        <f>IF($A67&lt;1900,0,IF(P67&lt;=Q67,1,0))</f>
        <v/>
      </c>
      <c r="AA67" s="47">
        <f>IF($A67&lt;1900,0,IF(R67&gt;=S67,1,0))</f>
        <v/>
      </c>
      <c r="AB67" s="47">
        <f>IF(SUM(U67:Y67)=5,1,0)</f>
        <v/>
      </c>
      <c r="AC67" s="47">
        <f>IF(Z67+AA67=2,1,0)</f>
        <v/>
      </c>
      <c r="AD67" s="47">
        <f>IF(AND(AB67=1,AC67=1),1,0)</f>
        <v/>
      </c>
      <c r="AE67" s="47">
        <f>IF(AD67=1,AE66+1,0)</f>
        <v/>
      </c>
      <c r="AF67" s="47">
        <f>IF(AE66&gt;=gulf_years_req,1,0)</f>
        <v/>
      </c>
    </row>
    <row r="68">
      <c r="A68" s="58" t="n">
        <v>1908</v>
      </c>
      <c r="B68" s="45" t="n">
        <v>7620000</v>
      </c>
      <c r="C68" s="68" t="n">
        <v>0.605</v>
      </c>
      <c r="D68" s="47">
        <f>Partners!Q68*(1-IF(AND(OR(oil_compact=0,$A68&lt;compact_year),OR($A68=1931,$A68=1932)),gulf_glut_gdp,0))</f>
        <v/>
      </c>
      <c r="E68" s="47">
        <f>IF(AND(gulf_on=1,$A68&gt;=gulf_year),1,0)</f>
        <v/>
      </c>
      <c r="F68" s="45" t="n">
        <v>172</v>
      </c>
      <c r="G68" s="45" t="n">
        <v>130.2</v>
      </c>
      <c r="H68" s="59" t="n">
        <v>0.834</v>
      </c>
      <c r="I68" s="59" t="n">
        <v>0.84</v>
      </c>
      <c r="J68" s="59" t="n">
        <v>0.796</v>
      </c>
      <c r="K68" s="59" t="n">
        <v>1</v>
      </c>
      <c r="L68" s="52" t="n">
        <v>22.2</v>
      </c>
      <c r="M68" s="52" t="n">
        <v>14.8</v>
      </c>
      <c r="N68" s="52" t="n">
        <v>33.6</v>
      </c>
      <c r="O68" s="52" t="n">
        <v>28.2</v>
      </c>
      <c r="P68" s="68" t="n">
        <v>1.802</v>
      </c>
      <c r="Q68" s="68" t="n">
        <v>1.05</v>
      </c>
      <c r="R68" s="68" t="n">
        <v>0.522</v>
      </c>
      <c r="S68" s="68" t="n">
        <v>0.95</v>
      </c>
      <c r="T68" s="63">
        <f>J68-IF(AND(OR(oil_compact=0,$A68&lt;compact_year),$A68&gt;=1931,$A68&lt;=1933),gulf_wage_dip,0)</f>
        <v/>
      </c>
      <c r="U68" s="47">
        <f>IF($A68&lt;1900,0,IF(F68&lt;=G68,1,0))</f>
        <v/>
      </c>
      <c r="V68" s="47">
        <f>IF($A68&lt;1900,0,IF(H68&gt;=I68,1,0))</f>
        <v/>
      </c>
      <c r="W68" s="47">
        <f>IF($A68&lt;1900,0,IF(T68&gt;=K68,1,0))</f>
        <v/>
      </c>
      <c r="X68" s="47">
        <f>IF($A68&lt;1900,0,IF(L68&lt;=M68,1,0))</f>
        <v/>
      </c>
      <c r="Y68" s="47">
        <f>IF($A68&lt;1900,0,IF(N68&lt;=O68,1,0))</f>
        <v/>
      </c>
      <c r="Z68" s="47">
        <f>IF($A68&lt;1900,0,IF(P68&lt;=Q68,1,0))</f>
        <v/>
      </c>
      <c r="AA68" s="47">
        <f>IF($A68&lt;1900,0,IF(R68&gt;=S68,1,0))</f>
        <v/>
      </c>
      <c r="AB68" s="47">
        <f>IF(SUM(U68:Y68)=5,1,0)</f>
        <v/>
      </c>
      <c r="AC68" s="47">
        <f>IF(Z68+AA68=2,1,0)</f>
        <v/>
      </c>
      <c r="AD68" s="47">
        <f>IF(AND(AB68=1,AC68=1),1,0)</f>
        <v/>
      </c>
      <c r="AE68" s="47">
        <f>IF(AD68=1,AE67+1,0)</f>
        <v/>
      </c>
      <c r="AF68" s="47">
        <f>IF(AE67&gt;=gulf_years_req,1,0)</f>
        <v/>
      </c>
    </row>
    <row r="69">
      <c r="A69" s="58" t="n">
        <v>1909</v>
      </c>
      <c r="B69" s="45" t="n">
        <v>7810000</v>
      </c>
      <c r="C69" s="68" t="n">
        <v>0.608</v>
      </c>
      <c r="D69" s="47">
        <f>Partners!Q69*(1-IF(AND(OR(oil_compact=0,$A69&lt;compact_year),OR($A69=1931,$A69=1932)),gulf_glut_gdp,0))</f>
        <v/>
      </c>
      <c r="E69" s="47">
        <f>IF(AND(gulf_on=1,$A69&gt;=gulf_year),1,0)</f>
        <v/>
      </c>
      <c r="F69" s="45" t="n">
        <v>166</v>
      </c>
      <c r="G69" s="45" t="n">
        <v>127.6</v>
      </c>
      <c r="H69" s="59" t="n">
        <v>0.842</v>
      </c>
      <c r="I69" s="59" t="n">
        <v>0.845</v>
      </c>
      <c r="J69" s="59" t="n">
        <v>0.8080000000000001</v>
      </c>
      <c r="K69" s="59" t="n">
        <v>1</v>
      </c>
      <c r="L69" s="52" t="n">
        <v>21.6</v>
      </c>
      <c r="M69" s="52" t="n">
        <v>14.4</v>
      </c>
      <c r="N69" s="52" t="n">
        <v>30.8</v>
      </c>
      <c r="O69" s="52" t="n">
        <v>26.6</v>
      </c>
      <c r="P69" s="68" t="n">
        <v>1.776</v>
      </c>
      <c r="Q69" s="68" t="n">
        <v>1.05</v>
      </c>
      <c r="R69" s="68" t="n">
        <v>0.536</v>
      </c>
      <c r="S69" s="68" t="n">
        <v>0.95</v>
      </c>
      <c r="T69" s="63">
        <f>J69-IF(AND(OR(oil_compact=0,$A69&lt;compact_year),$A69&gt;=1931,$A69&lt;=1933),gulf_wage_dip,0)</f>
        <v/>
      </c>
      <c r="U69" s="47">
        <f>IF($A69&lt;1900,0,IF(F69&lt;=G69,1,0))</f>
        <v/>
      </c>
      <c r="V69" s="47">
        <f>IF($A69&lt;1900,0,IF(H69&gt;=I69,1,0))</f>
        <v/>
      </c>
      <c r="W69" s="47">
        <f>IF($A69&lt;1900,0,IF(T69&gt;=K69,1,0))</f>
        <v/>
      </c>
      <c r="X69" s="47">
        <f>IF($A69&lt;1900,0,IF(L69&lt;=M69,1,0))</f>
        <v/>
      </c>
      <c r="Y69" s="47">
        <f>IF($A69&lt;1900,0,IF(N69&lt;=O69,1,0))</f>
        <v/>
      </c>
      <c r="Z69" s="47">
        <f>IF($A69&lt;1900,0,IF(P69&lt;=Q69,1,0))</f>
        <v/>
      </c>
      <c r="AA69" s="47">
        <f>IF($A69&lt;1900,0,IF(R69&gt;=S69,1,0))</f>
        <v/>
      </c>
      <c r="AB69" s="47">
        <f>IF(SUM(U69:Y69)=5,1,0)</f>
        <v/>
      </c>
      <c r="AC69" s="47">
        <f>IF(Z69+AA69=2,1,0)</f>
        <v/>
      </c>
      <c r="AD69" s="47">
        <f>IF(AND(AB69=1,AC69=1),1,0)</f>
        <v/>
      </c>
      <c r="AE69" s="47">
        <f>IF(AD69=1,AE68+1,0)</f>
        <v/>
      </c>
      <c r="AF69" s="47">
        <f>IF(AE68&gt;=gulf_years_req,1,0)</f>
        <v/>
      </c>
    </row>
    <row r="70">
      <c r="A70" s="58" t="n">
        <v>1910</v>
      </c>
      <c r="B70" s="45" t="n">
        <v>8000000</v>
      </c>
      <c r="C70" s="68" t="n">
        <v>0.611</v>
      </c>
      <c r="D70" s="47">
        <f>Partners!Q70*(1-IF(AND(OR(oil_compact=0,$A70&lt;compact_year),OR($A70=1931,$A70=1932)),gulf_glut_gdp,0))</f>
        <v/>
      </c>
      <c r="E70" s="47">
        <f>IF(AND(gulf_on=1,$A70&gt;=gulf_year),1,0)</f>
        <v/>
      </c>
      <c r="F70" s="45" t="n">
        <v>160</v>
      </c>
      <c r="G70" s="45" t="n">
        <v>125</v>
      </c>
      <c r="H70" s="59" t="n">
        <v>0.85</v>
      </c>
      <c r="I70" s="59" t="n">
        <v>0.85</v>
      </c>
      <c r="J70" s="59" t="n">
        <v>0.82</v>
      </c>
      <c r="K70" s="59" t="n">
        <v>1</v>
      </c>
      <c r="L70" s="52" t="n">
        <v>21</v>
      </c>
      <c r="M70" s="52" t="n">
        <v>14</v>
      </c>
      <c r="N70" s="52" t="n">
        <v>28</v>
      </c>
      <c r="O70" s="52" t="n">
        <v>25</v>
      </c>
      <c r="P70" s="68" t="n">
        <v>1.75</v>
      </c>
      <c r="Q70" s="68" t="n">
        <v>1.05</v>
      </c>
      <c r="R70" s="68" t="n">
        <v>0.55</v>
      </c>
      <c r="S70" s="68" t="n">
        <v>0.95</v>
      </c>
      <c r="T70" s="63">
        <f>J70-IF(AND(OR(oil_compact=0,$A70&lt;compact_year),$A70&gt;=1931,$A70&lt;=1933),gulf_wage_dip,0)</f>
        <v/>
      </c>
      <c r="U70" s="47">
        <f>IF($A70&lt;1900,0,IF(F70&lt;=G70,1,0))</f>
        <v/>
      </c>
      <c r="V70" s="47">
        <f>IF($A70&lt;1900,0,IF(H70&gt;=I70,1,0))</f>
        <v/>
      </c>
      <c r="W70" s="47">
        <f>IF($A70&lt;1900,0,IF(T70&gt;=K70,1,0))</f>
        <v/>
      </c>
      <c r="X70" s="47">
        <f>IF($A70&lt;1900,0,IF(L70&lt;=M70,1,0))</f>
        <v/>
      </c>
      <c r="Y70" s="47">
        <f>IF($A70&lt;1900,0,IF(N70&lt;=O70,1,0))</f>
        <v/>
      </c>
      <c r="Z70" s="47">
        <f>IF($A70&lt;1900,0,IF(P70&lt;=Q70,1,0))</f>
        <v/>
      </c>
      <c r="AA70" s="47">
        <f>IF($A70&lt;1900,0,IF(R70&gt;=S70,1,0))</f>
        <v/>
      </c>
      <c r="AB70" s="47">
        <f>IF(SUM(U70:Y70)=5,1,0)</f>
        <v/>
      </c>
      <c r="AC70" s="47">
        <f>IF(Z70+AA70=2,1,0)</f>
        <v/>
      </c>
      <c r="AD70" s="47">
        <f>IF(AND(AB70=1,AC70=1),1,0)</f>
        <v/>
      </c>
      <c r="AE70" s="47">
        <f>IF(AD70=1,AE69+1,0)</f>
        <v/>
      </c>
      <c r="AF70" s="47">
        <f>IF(AE69&gt;=gulf_years_req,1,0)</f>
        <v/>
      </c>
    </row>
    <row r="71">
      <c r="A71" s="58" t="n">
        <v>1911</v>
      </c>
      <c r="B71" s="45" t="n">
        <v>8140000</v>
      </c>
      <c r="C71" s="68" t="n">
        <v>0.614</v>
      </c>
      <c r="D71" s="47">
        <f>Partners!Q71*(1-IF(AND(OR(oil_compact=0,$A71&lt;compact_year),OR($A71=1931,$A71=1932)),gulf_glut_gdp,0))</f>
        <v/>
      </c>
      <c r="E71" s="47">
        <f>IF(AND(gulf_on=1,$A71&gt;=gulf_year),1,0)</f>
        <v/>
      </c>
      <c r="F71" s="45" t="n">
        <v>153.6</v>
      </c>
      <c r="G71" s="45" t="n">
        <v>122.4</v>
      </c>
      <c r="H71" s="59" t="n">
        <v>0.857</v>
      </c>
      <c r="I71" s="59" t="n">
        <v>0.854</v>
      </c>
      <c r="J71" s="59" t="n">
        <v>0.836</v>
      </c>
      <c r="K71" s="59" t="n">
        <v>1</v>
      </c>
      <c r="L71" s="52" t="n">
        <v>20.3</v>
      </c>
      <c r="M71" s="52" t="n">
        <v>13.7</v>
      </c>
      <c r="N71" s="52" t="n">
        <v>25.8</v>
      </c>
      <c r="O71" s="52" t="n">
        <v>23.6</v>
      </c>
      <c r="P71" s="68" t="n">
        <v>1.716</v>
      </c>
      <c r="Q71" s="68" t="n">
        <v>1.05</v>
      </c>
      <c r="R71" s="68" t="n">
        <v>0.5620000000000001</v>
      </c>
      <c r="S71" s="68" t="n">
        <v>0.95</v>
      </c>
      <c r="T71" s="63">
        <f>J71-IF(AND(OR(oil_compact=0,$A71&lt;compact_year),$A71&gt;=1931,$A71&lt;=1933),gulf_wage_dip,0)</f>
        <v/>
      </c>
      <c r="U71" s="47">
        <f>IF($A71&lt;1900,0,IF(F71&lt;=G71,1,0))</f>
        <v/>
      </c>
      <c r="V71" s="47">
        <f>IF($A71&lt;1900,0,IF(H71&gt;=I71,1,0))</f>
        <v/>
      </c>
      <c r="W71" s="47">
        <f>IF($A71&lt;1900,0,IF(T71&gt;=K71,1,0))</f>
        <v/>
      </c>
      <c r="X71" s="47">
        <f>IF($A71&lt;1900,0,IF(L71&lt;=M71,1,0))</f>
        <v/>
      </c>
      <c r="Y71" s="47">
        <f>IF($A71&lt;1900,0,IF(N71&lt;=O71,1,0))</f>
        <v/>
      </c>
      <c r="Z71" s="47">
        <f>IF($A71&lt;1900,0,IF(P71&lt;=Q71,1,0))</f>
        <v/>
      </c>
      <c r="AA71" s="47">
        <f>IF($A71&lt;1900,0,IF(R71&gt;=S71,1,0))</f>
        <v/>
      </c>
      <c r="AB71" s="47">
        <f>IF(SUM(U71:Y71)=5,1,0)</f>
        <v/>
      </c>
      <c r="AC71" s="47">
        <f>IF(Z71+AA71=2,1,0)</f>
        <v/>
      </c>
      <c r="AD71" s="47">
        <f>IF(AND(AB71=1,AC71=1),1,0)</f>
        <v/>
      </c>
      <c r="AE71" s="47">
        <f>IF(AD71=1,AE70+1,0)</f>
        <v/>
      </c>
      <c r="AF71" s="47">
        <f>IF(AE70&gt;=gulf_years_req,1,0)</f>
        <v/>
      </c>
    </row>
    <row r="72">
      <c r="A72" s="58" t="n">
        <v>1912</v>
      </c>
      <c r="B72" s="45" t="n">
        <v>8280000</v>
      </c>
      <c r="C72" s="68" t="n">
        <v>0.617</v>
      </c>
      <c r="D72" s="47">
        <f>Partners!Q72*(1-IF(AND(OR(oil_compact=0,$A72&lt;compact_year),OR($A72=1931,$A72=1932)),gulf_glut_gdp,0))</f>
        <v/>
      </c>
      <c r="E72" s="47">
        <f>IF(AND(gulf_on=1,$A72&gt;=gulf_year),1,0)</f>
        <v/>
      </c>
      <c r="F72" s="45" t="n">
        <v>147.2</v>
      </c>
      <c r="G72" s="45" t="n">
        <v>119.8</v>
      </c>
      <c r="H72" s="59" t="n">
        <v>0.864</v>
      </c>
      <c r="I72" s="59" t="n">
        <v>0.858</v>
      </c>
      <c r="J72" s="59" t="n">
        <v>0.852</v>
      </c>
      <c r="K72" s="59" t="n">
        <v>1</v>
      </c>
      <c r="L72" s="52" t="n">
        <v>19.6</v>
      </c>
      <c r="M72" s="52" t="n">
        <v>13.4</v>
      </c>
      <c r="N72" s="52" t="n">
        <v>23.6</v>
      </c>
      <c r="O72" s="52" t="n">
        <v>22.2</v>
      </c>
      <c r="P72" s="68" t="n">
        <v>1.682</v>
      </c>
      <c r="Q72" s="68" t="n">
        <v>1.05</v>
      </c>
      <c r="R72" s="68" t="n">
        <v>0.574</v>
      </c>
      <c r="S72" s="68" t="n">
        <v>0.95</v>
      </c>
      <c r="T72" s="63">
        <f>J72-IF(AND(OR(oil_compact=0,$A72&lt;compact_year),$A72&gt;=1931,$A72&lt;=1933),gulf_wage_dip,0)</f>
        <v/>
      </c>
      <c r="U72" s="47">
        <f>IF($A72&lt;1900,0,IF(F72&lt;=G72,1,0))</f>
        <v/>
      </c>
      <c r="V72" s="47">
        <f>IF($A72&lt;1900,0,IF(H72&gt;=I72,1,0))</f>
        <v/>
      </c>
      <c r="W72" s="47">
        <f>IF($A72&lt;1900,0,IF(T72&gt;=K72,1,0))</f>
        <v/>
      </c>
      <c r="X72" s="47">
        <f>IF($A72&lt;1900,0,IF(L72&lt;=M72,1,0))</f>
        <v/>
      </c>
      <c r="Y72" s="47">
        <f>IF($A72&lt;1900,0,IF(N72&lt;=O72,1,0))</f>
        <v/>
      </c>
      <c r="Z72" s="47">
        <f>IF($A72&lt;1900,0,IF(P72&lt;=Q72,1,0))</f>
        <v/>
      </c>
      <c r="AA72" s="47">
        <f>IF($A72&lt;1900,0,IF(R72&gt;=S72,1,0))</f>
        <v/>
      </c>
      <c r="AB72" s="47">
        <f>IF(SUM(U72:Y72)=5,1,0)</f>
        <v/>
      </c>
      <c r="AC72" s="47">
        <f>IF(Z72+AA72=2,1,0)</f>
        <v/>
      </c>
      <c r="AD72" s="47">
        <f>IF(AND(AB72=1,AC72=1),1,0)</f>
        <v/>
      </c>
      <c r="AE72" s="47">
        <f>IF(AD72=1,AE71+1,0)</f>
        <v/>
      </c>
      <c r="AF72" s="47">
        <f>IF(AE71&gt;=gulf_years_req,1,0)</f>
        <v/>
      </c>
    </row>
    <row r="73">
      <c r="A73" s="58" t="n">
        <v>1913</v>
      </c>
      <c r="B73" s="45" t="n">
        <v>8420000</v>
      </c>
      <c r="C73" s="68" t="n">
        <v>0.62</v>
      </c>
      <c r="D73" s="47">
        <f>Partners!Q73*(1-IF(AND(OR(oil_compact=0,$A73&lt;compact_year),OR($A73=1931,$A73=1932)),gulf_glut_gdp,0))</f>
        <v/>
      </c>
      <c r="E73" s="47">
        <f>IF(AND(gulf_on=1,$A73&gt;=gulf_year),1,0)</f>
        <v/>
      </c>
      <c r="F73" s="45" t="n">
        <v>140.8</v>
      </c>
      <c r="G73" s="45" t="n">
        <v>117.2</v>
      </c>
      <c r="H73" s="59" t="n">
        <v>0.871</v>
      </c>
      <c r="I73" s="59" t="n">
        <v>0.862</v>
      </c>
      <c r="J73" s="59" t="n">
        <v>0.868</v>
      </c>
      <c r="K73" s="59" t="n">
        <v>1</v>
      </c>
      <c r="L73" s="52" t="n">
        <v>18.9</v>
      </c>
      <c r="M73" s="52" t="n">
        <v>13.1</v>
      </c>
      <c r="N73" s="52" t="n">
        <v>21.4</v>
      </c>
      <c r="O73" s="52" t="n">
        <v>20.8</v>
      </c>
      <c r="P73" s="68" t="n">
        <v>1.648</v>
      </c>
      <c r="Q73" s="68" t="n">
        <v>1.05</v>
      </c>
      <c r="R73" s="68" t="n">
        <v>0.586</v>
      </c>
      <c r="S73" s="68" t="n">
        <v>0.95</v>
      </c>
      <c r="T73" s="63">
        <f>J73-IF(AND(OR(oil_compact=0,$A73&lt;compact_year),$A73&gt;=1931,$A73&lt;=1933),gulf_wage_dip,0)</f>
        <v/>
      </c>
      <c r="U73" s="47">
        <f>IF($A73&lt;1900,0,IF(F73&lt;=G73,1,0))</f>
        <v/>
      </c>
      <c r="V73" s="47">
        <f>IF($A73&lt;1900,0,IF(H73&gt;=I73,1,0))</f>
        <v/>
      </c>
      <c r="W73" s="47">
        <f>IF($A73&lt;1900,0,IF(T73&gt;=K73,1,0))</f>
        <v/>
      </c>
      <c r="X73" s="47">
        <f>IF($A73&lt;1900,0,IF(L73&lt;=M73,1,0))</f>
        <v/>
      </c>
      <c r="Y73" s="47">
        <f>IF($A73&lt;1900,0,IF(N73&lt;=O73,1,0))</f>
        <v/>
      </c>
      <c r="Z73" s="47">
        <f>IF($A73&lt;1900,0,IF(P73&lt;=Q73,1,0))</f>
        <v/>
      </c>
      <c r="AA73" s="47">
        <f>IF($A73&lt;1900,0,IF(R73&gt;=S73,1,0))</f>
        <v/>
      </c>
      <c r="AB73" s="47">
        <f>IF(SUM(U73:Y73)=5,1,0)</f>
        <v/>
      </c>
      <c r="AC73" s="47">
        <f>IF(Z73+AA73=2,1,0)</f>
        <v/>
      </c>
      <c r="AD73" s="47">
        <f>IF(AND(AB73=1,AC73=1),1,0)</f>
        <v/>
      </c>
      <c r="AE73" s="47">
        <f>IF(AD73=1,AE72+1,0)</f>
        <v/>
      </c>
      <c r="AF73" s="47">
        <f>IF(AE72&gt;=gulf_years_req,1,0)</f>
        <v/>
      </c>
    </row>
    <row r="74">
      <c r="A74" s="61" t="n">
        <v>1914</v>
      </c>
      <c r="B74" s="45" t="n">
        <v>8560000</v>
      </c>
      <c r="C74" s="68" t="n">
        <v>0.629</v>
      </c>
      <c r="D74" s="47">
        <f>Partners!Q74*(1-IF(AND(OR(oil_compact=0,$A74&lt;compact_year),OR($A74=1931,$A74=1932)),gulf_glut_gdp,0))</f>
        <v/>
      </c>
      <c r="E74" s="47">
        <f>IF(AND(gulf_on=1,$A74&gt;=gulf_year),1,0)</f>
        <v/>
      </c>
      <c r="F74" s="45" t="n">
        <v>134.4</v>
      </c>
      <c r="G74" s="45" t="n">
        <v>114.6</v>
      </c>
      <c r="H74" s="59" t="n">
        <v>0.878</v>
      </c>
      <c r="I74" s="59" t="n">
        <v>0.866</v>
      </c>
      <c r="J74" s="59" t="n">
        <v>0.884</v>
      </c>
      <c r="K74" s="59" t="n">
        <v>1</v>
      </c>
      <c r="L74" s="52" t="n">
        <v>18.2</v>
      </c>
      <c r="M74" s="52" t="n">
        <v>12.8</v>
      </c>
      <c r="N74" s="52" t="n">
        <v>19.2</v>
      </c>
      <c r="O74" s="52" t="n">
        <v>19.4</v>
      </c>
      <c r="P74" s="68" t="n">
        <v>1.614</v>
      </c>
      <c r="Q74" s="68" t="n">
        <v>1.05</v>
      </c>
      <c r="R74" s="68" t="n">
        <v>0.598</v>
      </c>
      <c r="S74" s="68" t="n">
        <v>0.95</v>
      </c>
      <c r="T74" s="63">
        <f>J74-IF(AND(OR(oil_compact=0,$A74&lt;compact_year),$A74&gt;=1931,$A74&lt;=1933),gulf_wage_dip,0)</f>
        <v/>
      </c>
      <c r="U74" s="47">
        <f>IF($A74&lt;1900,0,IF(F74&lt;=G74,1,0))</f>
        <v/>
      </c>
      <c r="V74" s="47">
        <f>IF($A74&lt;1900,0,IF(H74&gt;=I74,1,0))</f>
        <v/>
      </c>
      <c r="W74" s="47">
        <f>IF($A74&lt;1900,0,IF(T74&gt;=K74,1,0))</f>
        <v/>
      </c>
      <c r="X74" s="47">
        <f>IF($A74&lt;1900,0,IF(L74&lt;=M74,1,0))</f>
        <v/>
      </c>
      <c r="Y74" s="47">
        <f>IF($A74&lt;1900,0,IF(N74&lt;=O74,1,0))</f>
        <v/>
      </c>
      <c r="Z74" s="47">
        <f>IF($A74&lt;1900,0,IF(P74&lt;=Q74,1,0))</f>
        <v/>
      </c>
      <c r="AA74" s="47">
        <f>IF($A74&lt;1900,0,IF(R74&gt;=S74,1,0))</f>
        <v/>
      </c>
      <c r="AB74" s="47">
        <f>IF(SUM(U74:Y74)=5,1,0)</f>
        <v/>
      </c>
      <c r="AC74" s="47">
        <f>IF(Z74+AA74=2,1,0)</f>
        <v/>
      </c>
      <c r="AD74" s="47">
        <f>IF(AND(AB74=1,AC74=1),1,0)</f>
        <v/>
      </c>
      <c r="AE74" s="47">
        <f>IF(AD74=1,AE73+1,0)</f>
        <v/>
      </c>
      <c r="AF74" s="47">
        <f>IF(AE73&gt;=gulf_years_req,1,0)</f>
        <v/>
      </c>
    </row>
    <row r="75">
      <c r="A75" s="61" t="n">
        <v>1915</v>
      </c>
      <c r="B75" s="45" t="n">
        <v>8700000</v>
      </c>
      <c r="C75" s="68" t="n">
        <v>0.637</v>
      </c>
      <c r="D75" s="47">
        <f>Partners!Q75*(1-IF(AND(OR(oil_compact=0,$A75&lt;compact_year),OR($A75=1931,$A75=1932)),gulf_glut_gdp,0))</f>
        <v/>
      </c>
      <c r="E75" s="47">
        <f>IF(AND(gulf_on=1,$A75&gt;=gulf_year),1,0)</f>
        <v/>
      </c>
      <c r="F75" s="45" t="n">
        <v>128</v>
      </c>
      <c r="G75" s="45" t="n">
        <v>112</v>
      </c>
      <c r="H75" s="59" t="n">
        <v>0.885</v>
      </c>
      <c r="I75" s="59" t="n">
        <v>0.87</v>
      </c>
      <c r="J75" s="59" t="n">
        <v>0.9</v>
      </c>
      <c r="K75" s="59" t="n">
        <v>1</v>
      </c>
      <c r="L75" s="52" t="n">
        <v>17.5</v>
      </c>
      <c r="M75" s="52" t="n">
        <v>12.5</v>
      </c>
      <c r="N75" s="52" t="n">
        <v>17</v>
      </c>
      <c r="O75" s="52" t="n">
        <v>18</v>
      </c>
      <c r="P75" s="68" t="n">
        <v>1.58</v>
      </c>
      <c r="Q75" s="68" t="n">
        <v>1.05</v>
      </c>
      <c r="R75" s="68" t="n">
        <v>0.61</v>
      </c>
      <c r="S75" s="68" t="n">
        <v>0.95</v>
      </c>
      <c r="T75" s="63">
        <f>J75-IF(AND(OR(oil_compact=0,$A75&lt;compact_year),$A75&gt;=1931,$A75&lt;=1933),gulf_wage_dip,0)</f>
        <v/>
      </c>
      <c r="U75" s="47">
        <f>IF($A75&lt;1900,0,IF(F75&lt;=G75,1,0))</f>
        <v/>
      </c>
      <c r="V75" s="47">
        <f>IF($A75&lt;1900,0,IF(H75&gt;=I75,1,0))</f>
        <v/>
      </c>
      <c r="W75" s="47">
        <f>IF($A75&lt;1900,0,IF(T75&gt;=K75,1,0))</f>
        <v/>
      </c>
      <c r="X75" s="47">
        <f>IF($A75&lt;1900,0,IF(L75&lt;=M75,1,0))</f>
        <v/>
      </c>
      <c r="Y75" s="47">
        <f>IF($A75&lt;1900,0,IF(N75&lt;=O75,1,0))</f>
        <v/>
      </c>
      <c r="Z75" s="47">
        <f>IF($A75&lt;1900,0,IF(P75&lt;=Q75,1,0))</f>
        <v/>
      </c>
      <c r="AA75" s="47">
        <f>IF($A75&lt;1900,0,IF(R75&gt;=S75,1,0))</f>
        <v/>
      </c>
      <c r="AB75" s="47">
        <f>IF(SUM(U75:Y75)=5,1,0)</f>
        <v/>
      </c>
      <c r="AC75" s="47">
        <f>IF(Z75+AA75=2,1,0)</f>
        <v/>
      </c>
      <c r="AD75" s="47">
        <f>IF(AND(AB75=1,AC75=1),1,0)</f>
        <v/>
      </c>
      <c r="AE75" s="47">
        <f>IF(AD75=1,AE74+1,0)</f>
        <v/>
      </c>
      <c r="AF75" s="47">
        <f>IF(AE74&gt;=gulf_years_req,1,0)</f>
        <v/>
      </c>
    </row>
    <row r="76">
      <c r="A76" s="61" t="n">
        <v>1916</v>
      </c>
      <c r="B76" s="45" t="n">
        <v>8840000</v>
      </c>
      <c r="C76" s="68" t="n">
        <v>0.646</v>
      </c>
      <c r="D76" s="47">
        <f>Partners!Q76*(1-IF(AND(OR(oil_compact=0,$A76&lt;compact_year),OR($A76=1931,$A76=1932)),gulf_glut_gdp,0))</f>
        <v/>
      </c>
      <c r="E76" s="47">
        <f>IF(AND(gulf_on=1,$A76&gt;=gulf_year),1,0)</f>
        <v/>
      </c>
      <c r="F76" s="45" t="n">
        <v>123.2</v>
      </c>
      <c r="G76" s="45" t="n">
        <v>109.6</v>
      </c>
      <c r="H76" s="59" t="n">
        <v>0.89</v>
      </c>
      <c r="I76" s="59" t="n">
        <v>0.874</v>
      </c>
      <c r="J76" s="59" t="n">
        <v>0.918</v>
      </c>
      <c r="K76" s="59" t="n">
        <v>1</v>
      </c>
      <c r="L76" s="52" t="n">
        <v>16.7</v>
      </c>
      <c r="M76" s="52" t="n">
        <v>12.2</v>
      </c>
      <c r="N76" s="52" t="n">
        <v>15.6</v>
      </c>
      <c r="O76" s="52" t="n">
        <v>16.8</v>
      </c>
      <c r="P76" s="68" t="n">
        <v>1.554</v>
      </c>
      <c r="Q76" s="68" t="n">
        <v>1.05</v>
      </c>
      <c r="R76" s="68" t="n">
        <v>0.622</v>
      </c>
      <c r="S76" s="68" t="n">
        <v>0.95</v>
      </c>
      <c r="T76" s="63">
        <f>J76-IF(AND(OR(oil_compact=0,$A76&lt;compact_year),$A76&gt;=1931,$A76&lt;=1933),gulf_wage_dip,0)</f>
        <v/>
      </c>
      <c r="U76" s="47">
        <f>IF($A76&lt;1900,0,IF(F76&lt;=G76,1,0))</f>
        <v/>
      </c>
      <c r="V76" s="47">
        <f>IF($A76&lt;1900,0,IF(H76&gt;=I76,1,0))</f>
        <v/>
      </c>
      <c r="W76" s="47">
        <f>IF($A76&lt;1900,0,IF(T76&gt;=K76,1,0))</f>
        <v/>
      </c>
      <c r="X76" s="47">
        <f>IF($A76&lt;1900,0,IF(L76&lt;=M76,1,0))</f>
        <v/>
      </c>
      <c r="Y76" s="47">
        <f>IF($A76&lt;1900,0,IF(N76&lt;=O76,1,0))</f>
        <v/>
      </c>
      <c r="Z76" s="47">
        <f>IF($A76&lt;1900,0,IF(P76&lt;=Q76,1,0))</f>
        <v/>
      </c>
      <c r="AA76" s="47">
        <f>IF($A76&lt;1900,0,IF(R76&gt;=S76,1,0))</f>
        <v/>
      </c>
      <c r="AB76" s="47">
        <f>IF(SUM(U76:Y76)=5,1,0)</f>
        <v/>
      </c>
      <c r="AC76" s="47">
        <f>IF(Z76+AA76=2,1,0)</f>
        <v/>
      </c>
      <c r="AD76" s="47">
        <f>IF(AND(AB76=1,AC76=1),1,0)</f>
        <v/>
      </c>
      <c r="AE76" s="47">
        <f>IF(AD76=1,AE75+1,0)</f>
        <v/>
      </c>
      <c r="AF76" s="47">
        <f>IF(AE75&gt;=gulf_years_req,1,0)</f>
        <v/>
      </c>
    </row>
    <row r="77">
      <c r="A77" s="61" t="n">
        <v>1917</v>
      </c>
      <c r="B77" s="45" t="n">
        <v>8980000</v>
      </c>
      <c r="C77" s="68" t="n">
        <v>0.654</v>
      </c>
      <c r="D77" s="47">
        <f>Partners!Q77*(1-IF(AND(OR(oil_compact=0,$A77&lt;compact_year),OR($A77=1931,$A77=1932)),gulf_glut_gdp,0))</f>
        <v/>
      </c>
      <c r="E77" s="47">
        <f>IF(AND(gulf_on=1,$A77&gt;=gulf_year),1,0)</f>
        <v/>
      </c>
      <c r="F77" s="45" t="n">
        <v>118.4</v>
      </c>
      <c r="G77" s="45" t="n">
        <v>107.2</v>
      </c>
      <c r="H77" s="59" t="n">
        <v>0.895</v>
      </c>
      <c r="I77" s="59" t="n">
        <v>0.878</v>
      </c>
      <c r="J77" s="59" t="n">
        <v>0.9360000000000001</v>
      </c>
      <c r="K77" s="59" t="n">
        <v>1</v>
      </c>
      <c r="L77" s="52" t="n">
        <v>15.9</v>
      </c>
      <c r="M77" s="52" t="n">
        <v>11.9</v>
      </c>
      <c r="N77" s="52" t="n">
        <v>14.2</v>
      </c>
      <c r="O77" s="52" t="n">
        <v>15.6</v>
      </c>
      <c r="P77" s="68" t="n">
        <v>1.528</v>
      </c>
      <c r="Q77" s="68" t="n">
        <v>1.05</v>
      </c>
      <c r="R77" s="68" t="n">
        <v>0.634</v>
      </c>
      <c r="S77" s="68" t="n">
        <v>0.95</v>
      </c>
      <c r="T77" s="63">
        <f>J77-IF(AND(OR(oil_compact=0,$A77&lt;compact_year),$A77&gt;=1931,$A77&lt;=1933),gulf_wage_dip,0)</f>
        <v/>
      </c>
      <c r="U77" s="47">
        <f>IF($A77&lt;1900,0,IF(F77&lt;=G77,1,0))</f>
        <v/>
      </c>
      <c r="V77" s="47">
        <f>IF($A77&lt;1900,0,IF(H77&gt;=I77,1,0))</f>
        <v/>
      </c>
      <c r="W77" s="47">
        <f>IF($A77&lt;1900,0,IF(T77&gt;=K77,1,0))</f>
        <v/>
      </c>
      <c r="X77" s="47">
        <f>IF($A77&lt;1900,0,IF(L77&lt;=M77,1,0))</f>
        <v/>
      </c>
      <c r="Y77" s="47">
        <f>IF($A77&lt;1900,0,IF(N77&lt;=O77,1,0))</f>
        <v/>
      </c>
      <c r="Z77" s="47">
        <f>IF($A77&lt;1900,0,IF(P77&lt;=Q77,1,0))</f>
        <v/>
      </c>
      <c r="AA77" s="47">
        <f>IF($A77&lt;1900,0,IF(R77&gt;=S77,1,0))</f>
        <v/>
      </c>
      <c r="AB77" s="47">
        <f>IF(SUM(U77:Y77)=5,1,0)</f>
        <v/>
      </c>
      <c r="AC77" s="47">
        <f>IF(Z77+AA77=2,1,0)</f>
        <v/>
      </c>
      <c r="AD77" s="47">
        <f>IF(AND(AB77=1,AC77=1),1,0)</f>
        <v/>
      </c>
      <c r="AE77" s="47">
        <f>IF(AD77=1,AE76+1,0)</f>
        <v/>
      </c>
      <c r="AF77" s="47">
        <f>IF(AE76&gt;=gulf_years_req,1,0)</f>
        <v/>
      </c>
    </row>
    <row r="78">
      <c r="A78" s="61" t="n">
        <v>1918</v>
      </c>
      <c r="B78" s="45" t="n">
        <v>9120000</v>
      </c>
      <c r="C78" s="68" t="n">
        <v>0.663</v>
      </c>
      <c r="D78" s="47">
        <f>Partners!Q78*(1-IF(AND(OR(oil_compact=0,$A78&lt;compact_year),OR($A78=1931,$A78=1932)),gulf_glut_gdp,0))</f>
        <v/>
      </c>
      <c r="E78" s="47">
        <f>IF(AND(gulf_on=1,$A78&gt;=gulf_year),1,0)</f>
        <v/>
      </c>
      <c r="F78" s="45" t="n">
        <v>113.6</v>
      </c>
      <c r="G78" s="45" t="n">
        <v>104.8</v>
      </c>
      <c r="H78" s="59" t="n">
        <v>0.9</v>
      </c>
      <c r="I78" s="59" t="n">
        <v>0.882</v>
      </c>
      <c r="J78" s="59" t="n">
        <v>0.954</v>
      </c>
      <c r="K78" s="59" t="n">
        <v>1</v>
      </c>
      <c r="L78" s="52" t="n">
        <v>15.1</v>
      </c>
      <c r="M78" s="52" t="n">
        <v>11.6</v>
      </c>
      <c r="N78" s="52" t="n">
        <v>12.8</v>
      </c>
      <c r="O78" s="52" t="n">
        <v>14.4</v>
      </c>
      <c r="P78" s="68" t="n">
        <v>1.502</v>
      </c>
      <c r="Q78" s="68" t="n">
        <v>1.05</v>
      </c>
      <c r="R78" s="68" t="n">
        <v>0.646</v>
      </c>
      <c r="S78" s="68" t="n">
        <v>0.95</v>
      </c>
      <c r="T78" s="63">
        <f>J78-IF(AND(OR(oil_compact=0,$A78&lt;compact_year),$A78&gt;=1931,$A78&lt;=1933),gulf_wage_dip,0)</f>
        <v/>
      </c>
      <c r="U78" s="47">
        <f>IF($A78&lt;1900,0,IF(F78&lt;=G78,1,0))</f>
        <v/>
      </c>
      <c r="V78" s="47">
        <f>IF($A78&lt;1900,0,IF(H78&gt;=I78,1,0))</f>
        <v/>
      </c>
      <c r="W78" s="47">
        <f>IF($A78&lt;1900,0,IF(T78&gt;=K78,1,0))</f>
        <v/>
      </c>
      <c r="X78" s="47">
        <f>IF($A78&lt;1900,0,IF(L78&lt;=M78,1,0))</f>
        <v/>
      </c>
      <c r="Y78" s="47">
        <f>IF($A78&lt;1900,0,IF(N78&lt;=O78,1,0))</f>
        <v/>
      </c>
      <c r="Z78" s="47">
        <f>IF($A78&lt;1900,0,IF(P78&lt;=Q78,1,0))</f>
        <v/>
      </c>
      <c r="AA78" s="47">
        <f>IF($A78&lt;1900,0,IF(R78&gt;=S78,1,0))</f>
        <v/>
      </c>
      <c r="AB78" s="47">
        <f>IF(SUM(U78:Y78)=5,1,0)</f>
        <v/>
      </c>
      <c r="AC78" s="47">
        <f>IF(Z78+AA78=2,1,0)</f>
        <v/>
      </c>
      <c r="AD78" s="47">
        <f>IF(AND(AB78=1,AC78=1),1,0)</f>
        <v/>
      </c>
      <c r="AE78" s="47">
        <f>IF(AD78=1,AE77+1,0)</f>
        <v/>
      </c>
      <c r="AF78" s="47">
        <f>IF(AE77&gt;=gulf_years_req,1,0)</f>
        <v/>
      </c>
    </row>
    <row r="79">
      <c r="A79" s="61" t="n">
        <v>1919</v>
      </c>
      <c r="B79" s="45" t="n">
        <v>9260000</v>
      </c>
      <c r="C79" s="68" t="n">
        <v>0.671</v>
      </c>
      <c r="D79" s="47">
        <f>Partners!Q79*(1-IF(AND(OR(oil_compact=0,$A79&lt;compact_year),OR($A79=1931,$A79=1932)),gulf_glut_gdp,0))</f>
        <v/>
      </c>
      <c r="E79" s="47">
        <f>IF(AND(gulf_on=1,$A79&gt;=gulf_year),1,0)</f>
        <v/>
      </c>
      <c r="F79" s="45" t="n">
        <v>108.8</v>
      </c>
      <c r="G79" s="45" t="n">
        <v>102.4</v>
      </c>
      <c r="H79" s="59" t="n">
        <v>0.905</v>
      </c>
      <c r="I79" s="59" t="n">
        <v>0.886</v>
      </c>
      <c r="J79" s="59" t="n">
        <v>0.972</v>
      </c>
      <c r="K79" s="59" t="n">
        <v>1</v>
      </c>
      <c r="L79" s="52" t="n">
        <v>14.3</v>
      </c>
      <c r="M79" s="52" t="n">
        <v>11.3</v>
      </c>
      <c r="N79" s="52" t="n">
        <v>11.4</v>
      </c>
      <c r="O79" s="52" t="n">
        <v>13.2</v>
      </c>
      <c r="P79" s="68" t="n">
        <v>1.476</v>
      </c>
      <c r="Q79" s="68" t="n">
        <v>1.05</v>
      </c>
      <c r="R79" s="68" t="n">
        <v>0.658</v>
      </c>
      <c r="S79" s="68" t="n">
        <v>0.95</v>
      </c>
      <c r="T79" s="63">
        <f>J79-IF(AND(OR(oil_compact=0,$A79&lt;compact_year),$A79&gt;=1931,$A79&lt;=1933),gulf_wage_dip,0)</f>
        <v/>
      </c>
      <c r="U79" s="47">
        <f>IF($A79&lt;1900,0,IF(F79&lt;=G79,1,0))</f>
        <v/>
      </c>
      <c r="V79" s="47">
        <f>IF($A79&lt;1900,0,IF(H79&gt;=I79,1,0))</f>
        <v/>
      </c>
      <c r="W79" s="47">
        <f>IF($A79&lt;1900,0,IF(T79&gt;=K79,1,0))</f>
        <v/>
      </c>
      <c r="X79" s="47">
        <f>IF($A79&lt;1900,0,IF(L79&lt;=M79,1,0))</f>
        <v/>
      </c>
      <c r="Y79" s="47">
        <f>IF($A79&lt;1900,0,IF(N79&lt;=O79,1,0))</f>
        <v/>
      </c>
      <c r="Z79" s="47">
        <f>IF($A79&lt;1900,0,IF(P79&lt;=Q79,1,0))</f>
        <v/>
      </c>
      <c r="AA79" s="47">
        <f>IF($A79&lt;1900,0,IF(R79&gt;=S79,1,0))</f>
        <v/>
      </c>
      <c r="AB79" s="47">
        <f>IF(SUM(U79:Y79)=5,1,0)</f>
        <v/>
      </c>
      <c r="AC79" s="47">
        <f>IF(Z79+AA79=2,1,0)</f>
        <v/>
      </c>
      <c r="AD79" s="47">
        <f>IF(AND(AB79=1,AC79=1),1,0)</f>
        <v/>
      </c>
      <c r="AE79" s="47">
        <f>IF(AD79=1,AE78+1,0)</f>
        <v/>
      </c>
      <c r="AF79" s="47">
        <f>IF(AE78&gt;=gulf_years_req,1,0)</f>
        <v/>
      </c>
    </row>
    <row r="80">
      <c r="A80" s="61" t="n">
        <v>1920</v>
      </c>
      <c r="B80" s="45" t="n">
        <v>9400000</v>
      </c>
      <c r="C80" s="68" t="n">
        <v>0.68</v>
      </c>
      <c r="D80" s="47">
        <f>Partners!Q80*(1-IF(AND(OR(oil_compact=0,$A80&lt;compact_year),OR($A80=1931,$A80=1932)),gulf_glut_gdp,0))</f>
        <v/>
      </c>
      <c r="E80" s="47">
        <f>IF(AND(gulf_on=1,$A80&gt;=gulf_year),1,0)</f>
        <v/>
      </c>
      <c r="F80" s="45" t="n">
        <v>104</v>
      </c>
      <c r="G80" s="45" t="n">
        <v>100</v>
      </c>
      <c r="H80" s="59" t="n">
        <v>0.91</v>
      </c>
      <c r="I80" s="59" t="n">
        <v>0.89</v>
      </c>
      <c r="J80" s="59" t="n">
        <v>0.99</v>
      </c>
      <c r="K80" s="59" t="n">
        <v>1</v>
      </c>
      <c r="L80" s="52" t="n">
        <v>13.5</v>
      </c>
      <c r="M80" s="52" t="n">
        <v>11</v>
      </c>
      <c r="N80" s="52" t="n">
        <v>10</v>
      </c>
      <c r="O80" s="52" t="n">
        <v>12</v>
      </c>
      <c r="P80" s="68" t="n">
        <v>1.45</v>
      </c>
      <c r="Q80" s="68" t="n">
        <v>1.05</v>
      </c>
      <c r="R80" s="68" t="n">
        <v>0.67</v>
      </c>
      <c r="S80" s="68" t="n">
        <v>0.95</v>
      </c>
      <c r="T80" s="63">
        <f>J80-IF(AND(OR(oil_compact=0,$A80&lt;compact_year),$A80&gt;=1931,$A80&lt;=1933),gulf_wage_dip,0)</f>
        <v/>
      </c>
      <c r="U80" s="47">
        <f>IF($A80&lt;1900,0,IF(F80&lt;=G80,1,0))</f>
        <v/>
      </c>
      <c r="V80" s="47">
        <f>IF($A80&lt;1900,0,IF(H80&gt;=I80,1,0))</f>
        <v/>
      </c>
      <c r="W80" s="47">
        <f>IF($A80&lt;1900,0,IF(T80&gt;=K80,1,0))</f>
        <v/>
      </c>
      <c r="X80" s="47">
        <f>IF($A80&lt;1900,0,IF(L80&lt;=M80,1,0))</f>
        <v/>
      </c>
      <c r="Y80" s="47">
        <f>IF($A80&lt;1900,0,IF(N80&lt;=O80,1,0))</f>
        <v/>
      </c>
      <c r="Z80" s="47">
        <f>IF($A80&lt;1900,0,IF(P80&lt;=Q80,1,0))</f>
        <v/>
      </c>
      <c r="AA80" s="47">
        <f>IF($A80&lt;1900,0,IF(R80&gt;=S80,1,0))</f>
        <v/>
      </c>
      <c r="AB80" s="47">
        <f>IF(SUM(U80:Y80)=5,1,0)</f>
        <v/>
      </c>
      <c r="AC80" s="47">
        <f>IF(Z80+AA80=2,1,0)</f>
        <v/>
      </c>
      <c r="AD80" s="47">
        <f>IF(AND(AB80=1,AC80=1),1,0)</f>
        <v/>
      </c>
      <c r="AE80" s="47">
        <f>IF(AD80=1,AE79+1,0)</f>
        <v/>
      </c>
      <c r="AF80" s="47">
        <f>IF(AE79&gt;=gulf_years_req,1,0)</f>
        <v/>
      </c>
    </row>
    <row r="81">
      <c r="A81" s="61" t="n">
        <v>1921</v>
      </c>
      <c r="B81" s="45" t="n">
        <v>9560000</v>
      </c>
      <c r="C81" s="68" t="n">
        <v>0.677</v>
      </c>
      <c r="D81" s="47">
        <f>Partners!Q81*(1-IF(AND(OR(oil_compact=0,$A81&lt;compact_year),OR($A81=1931,$A81=1932)),gulf_glut_gdp,0))</f>
        <v/>
      </c>
      <c r="E81" s="47">
        <f>IF(AND(gulf_on=1,$A81&gt;=gulf_year),1,0)</f>
        <v/>
      </c>
      <c r="F81" s="45" t="n">
        <v>100.4</v>
      </c>
      <c r="G81" s="45" t="n">
        <v>97.59999999999999</v>
      </c>
      <c r="H81" s="59" t="n">
        <v>0.915</v>
      </c>
      <c r="I81" s="59" t="n">
        <v>0.894</v>
      </c>
      <c r="J81" s="59" t="n">
        <v>1</v>
      </c>
      <c r="K81" s="59" t="n">
        <v>1</v>
      </c>
      <c r="L81" s="52" t="n">
        <v>12.76</v>
      </c>
      <c r="M81" s="52" t="n">
        <v>10.8</v>
      </c>
      <c r="N81" s="52" t="n">
        <v>9.300000000000001</v>
      </c>
      <c r="O81" s="52" t="n">
        <v>11.2</v>
      </c>
      <c r="P81" s="68" t="n">
        <v>1.428</v>
      </c>
      <c r="Q81" s="68" t="n">
        <v>1.05</v>
      </c>
      <c r="R81" s="68" t="n">
        <v>0.6820000000000001</v>
      </c>
      <c r="S81" s="68" t="n">
        <v>0.95</v>
      </c>
      <c r="T81" s="63">
        <f>J81-IF(AND(OR(oil_compact=0,$A81&lt;compact_year),$A81&gt;=1931,$A81&lt;=1933),gulf_wage_dip,0)</f>
        <v/>
      </c>
      <c r="U81" s="47">
        <f>IF($A81&lt;1900,0,IF(F81&lt;=G81,1,0))</f>
        <v/>
      </c>
      <c r="V81" s="47">
        <f>IF($A81&lt;1900,0,IF(H81&gt;=I81,1,0))</f>
        <v/>
      </c>
      <c r="W81" s="47">
        <f>IF($A81&lt;1900,0,IF(T81&gt;=K81,1,0))</f>
        <v/>
      </c>
      <c r="X81" s="47">
        <f>IF($A81&lt;1900,0,IF(L81&lt;=M81,1,0))</f>
        <v/>
      </c>
      <c r="Y81" s="47">
        <f>IF($A81&lt;1900,0,IF(N81&lt;=O81,1,0))</f>
        <v/>
      </c>
      <c r="Z81" s="47">
        <f>IF($A81&lt;1900,0,IF(P81&lt;=Q81,1,0))</f>
        <v/>
      </c>
      <c r="AA81" s="47">
        <f>IF($A81&lt;1900,0,IF(R81&gt;=S81,1,0))</f>
        <v/>
      </c>
      <c r="AB81" s="47">
        <f>IF(SUM(U81:Y81)=5,1,0)</f>
        <v/>
      </c>
      <c r="AC81" s="47">
        <f>IF(Z81+AA81=2,1,0)</f>
        <v/>
      </c>
      <c r="AD81" s="47">
        <f>IF(AND(AB81=1,AC81=1),1,0)</f>
        <v/>
      </c>
      <c r="AE81" s="47">
        <f>IF(AD81=1,AE80+1,0)</f>
        <v/>
      </c>
      <c r="AF81" s="47">
        <f>IF(AE80&gt;=gulf_years_req,1,0)</f>
        <v/>
      </c>
    </row>
    <row r="82">
      <c r="A82" s="61" t="n">
        <v>1922</v>
      </c>
      <c r="B82" s="45" t="n">
        <v>9710000</v>
      </c>
      <c r="C82" s="68" t="n">
        <v>0.673</v>
      </c>
      <c r="D82" s="47">
        <f>Partners!Q82*(1-IF(AND(OR(oil_compact=0,$A82&lt;compact_year),OR($A82=1931,$A82=1932)),gulf_glut_gdp,0))</f>
        <v/>
      </c>
      <c r="E82" s="47">
        <f>IF(AND(gulf_on=1,$A82&gt;=gulf_year),1,0)</f>
        <v/>
      </c>
      <c r="F82" s="45" t="n">
        <v>96.8</v>
      </c>
      <c r="G82" s="45" t="n">
        <v>95.2</v>
      </c>
      <c r="H82" s="59" t="n">
        <v>0.92</v>
      </c>
      <c r="I82" s="59" t="n">
        <v>0.898</v>
      </c>
      <c r="J82" s="59" t="n">
        <v>1.01</v>
      </c>
      <c r="K82" s="59" t="n">
        <v>1</v>
      </c>
      <c r="L82" s="52" t="n">
        <v>12.02</v>
      </c>
      <c r="M82" s="52" t="n">
        <v>10.6</v>
      </c>
      <c r="N82" s="52" t="n">
        <v>8.6</v>
      </c>
      <c r="O82" s="52" t="n">
        <v>10.4</v>
      </c>
      <c r="P82" s="68" t="n">
        <v>1.406</v>
      </c>
      <c r="Q82" s="68" t="n">
        <v>1.05</v>
      </c>
      <c r="R82" s="68" t="n">
        <v>0.694</v>
      </c>
      <c r="S82" s="68" t="n">
        <v>0.95</v>
      </c>
      <c r="T82" s="63">
        <f>J82-IF(AND(OR(oil_compact=0,$A82&lt;compact_year),$A82&gt;=1931,$A82&lt;=1933),gulf_wage_dip,0)</f>
        <v/>
      </c>
      <c r="U82" s="47">
        <f>IF($A82&lt;1900,0,IF(F82&lt;=G82,1,0))</f>
        <v/>
      </c>
      <c r="V82" s="47">
        <f>IF($A82&lt;1900,0,IF(H82&gt;=I82,1,0))</f>
        <v/>
      </c>
      <c r="W82" s="47">
        <f>IF($A82&lt;1900,0,IF(T82&gt;=K82,1,0))</f>
        <v/>
      </c>
      <c r="X82" s="47">
        <f>IF($A82&lt;1900,0,IF(L82&lt;=M82,1,0))</f>
        <v/>
      </c>
      <c r="Y82" s="47">
        <f>IF($A82&lt;1900,0,IF(N82&lt;=O82,1,0))</f>
        <v/>
      </c>
      <c r="Z82" s="47">
        <f>IF($A82&lt;1900,0,IF(P82&lt;=Q82,1,0))</f>
        <v/>
      </c>
      <c r="AA82" s="47">
        <f>IF($A82&lt;1900,0,IF(R82&gt;=S82,1,0))</f>
        <v/>
      </c>
      <c r="AB82" s="47">
        <f>IF(SUM(U82:Y82)=5,1,0)</f>
        <v/>
      </c>
      <c r="AC82" s="47">
        <f>IF(Z82+AA82=2,1,0)</f>
        <v/>
      </c>
      <c r="AD82" s="47">
        <f>IF(AND(AB82=1,AC82=1),1,0)</f>
        <v/>
      </c>
      <c r="AE82" s="47">
        <f>IF(AD82=1,AE81+1,0)</f>
        <v/>
      </c>
      <c r="AF82" s="47">
        <f>IF(AE81&gt;=gulf_years_req,1,0)</f>
        <v/>
      </c>
    </row>
    <row r="83">
      <c r="A83" s="58" t="n">
        <v>1923</v>
      </c>
      <c r="B83" s="45" t="n">
        <v>9870000</v>
      </c>
      <c r="C83" s="68" t="n">
        <v>0.67</v>
      </c>
      <c r="D83" s="47">
        <f>Partners!Q83*(1-IF(AND(OR(oil_compact=0,$A83&lt;compact_year),OR($A83=1931,$A83=1932)),gulf_glut_gdp,0))</f>
        <v/>
      </c>
      <c r="E83" s="47">
        <f>IF(AND(gulf_on=1,$A83&gt;=gulf_year),1,0)</f>
        <v/>
      </c>
      <c r="F83" s="45" t="n">
        <v>93.2</v>
      </c>
      <c r="G83" s="45" t="n">
        <v>92.8</v>
      </c>
      <c r="H83" s="59" t="n">
        <v>0.925</v>
      </c>
      <c r="I83" s="59" t="n">
        <v>0.902</v>
      </c>
      <c r="J83" s="59" t="n">
        <v>1.02</v>
      </c>
      <c r="K83" s="59" t="n">
        <v>1</v>
      </c>
      <c r="L83" s="52" t="n">
        <v>11.28</v>
      </c>
      <c r="M83" s="52" t="n">
        <v>10.4</v>
      </c>
      <c r="N83" s="52" t="n">
        <v>7.9</v>
      </c>
      <c r="O83" s="52" t="n">
        <v>9.6</v>
      </c>
      <c r="P83" s="68" t="n">
        <v>1.384</v>
      </c>
      <c r="Q83" s="68" t="n">
        <v>1.05</v>
      </c>
      <c r="R83" s="68" t="n">
        <v>0.706</v>
      </c>
      <c r="S83" s="68" t="n">
        <v>0.95</v>
      </c>
      <c r="T83" s="63">
        <f>J83-IF(AND(OR(oil_compact=0,$A83&lt;compact_year),$A83&gt;=1931,$A83&lt;=1933),gulf_wage_dip,0)</f>
        <v/>
      </c>
      <c r="U83" s="47">
        <f>IF($A83&lt;1900,0,IF(F83&lt;=G83,1,0))</f>
        <v/>
      </c>
      <c r="V83" s="47">
        <f>IF($A83&lt;1900,0,IF(H83&gt;=I83,1,0))</f>
        <v/>
      </c>
      <c r="W83" s="47">
        <f>IF($A83&lt;1900,0,IF(T83&gt;=K83,1,0))</f>
        <v/>
      </c>
      <c r="X83" s="47">
        <f>IF($A83&lt;1900,0,IF(L83&lt;=M83,1,0))</f>
        <v/>
      </c>
      <c r="Y83" s="47">
        <f>IF($A83&lt;1900,0,IF(N83&lt;=O83,1,0))</f>
        <v/>
      </c>
      <c r="Z83" s="47">
        <f>IF($A83&lt;1900,0,IF(P83&lt;=Q83,1,0))</f>
        <v/>
      </c>
      <c r="AA83" s="47">
        <f>IF($A83&lt;1900,0,IF(R83&gt;=S83,1,0))</f>
        <v/>
      </c>
      <c r="AB83" s="47">
        <f>IF(SUM(U83:Y83)=5,1,0)</f>
        <v/>
      </c>
      <c r="AC83" s="47">
        <f>IF(Z83+AA83=2,1,0)</f>
        <v/>
      </c>
      <c r="AD83" s="47">
        <f>IF(AND(AB83=1,AC83=1),1,0)</f>
        <v/>
      </c>
      <c r="AE83" s="47">
        <f>IF(AD83=1,AE82+1,0)</f>
        <v/>
      </c>
      <c r="AF83" s="47">
        <f>IF(AE82&gt;=gulf_years_req,1,0)</f>
        <v/>
      </c>
    </row>
    <row r="84">
      <c r="A84" s="58" t="n">
        <v>1924</v>
      </c>
      <c r="B84" s="45" t="n">
        <v>10020000</v>
      </c>
      <c r="C84" s="68" t="n">
        <v>0.667</v>
      </c>
      <c r="D84" s="47">
        <f>Partners!Q84*(1-IF(AND(OR(oil_compact=0,$A84&lt;compact_year),OR($A84=1931,$A84=1932)),gulf_glut_gdp,0))</f>
        <v/>
      </c>
      <c r="E84" s="47">
        <f>IF(AND(gulf_on=1,$A84&gt;=gulf_year),1,0)</f>
        <v/>
      </c>
      <c r="F84" s="45" t="n">
        <v>89.59999999999999</v>
      </c>
      <c r="G84" s="45" t="n">
        <v>90.40000000000001</v>
      </c>
      <c r="H84" s="59" t="n">
        <v>0.93</v>
      </c>
      <c r="I84" s="59" t="n">
        <v>0.906</v>
      </c>
      <c r="J84" s="59" t="n">
        <v>1.03</v>
      </c>
      <c r="K84" s="59" t="n">
        <v>1</v>
      </c>
      <c r="L84" s="52" t="n">
        <v>10.54</v>
      </c>
      <c r="M84" s="52" t="n">
        <v>10.2</v>
      </c>
      <c r="N84" s="52" t="n">
        <v>7.2</v>
      </c>
      <c r="O84" s="52" t="n">
        <v>8.800000000000001</v>
      </c>
      <c r="P84" s="68" t="n">
        <v>1.362</v>
      </c>
      <c r="Q84" s="68" t="n">
        <v>1.05</v>
      </c>
      <c r="R84" s="68" t="n">
        <v>0.718</v>
      </c>
      <c r="S84" s="68" t="n">
        <v>0.95</v>
      </c>
      <c r="T84" s="63">
        <f>J84-IF(AND(OR(oil_compact=0,$A84&lt;compact_year),$A84&gt;=1931,$A84&lt;=1933),gulf_wage_dip,0)</f>
        <v/>
      </c>
      <c r="U84" s="47">
        <f>IF($A84&lt;1900,0,IF(F84&lt;=G84,1,0))</f>
        <v/>
      </c>
      <c r="V84" s="47">
        <f>IF($A84&lt;1900,0,IF(H84&gt;=I84,1,0))</f>
        <v/>
      </c>
      <c r="W84" s="47">
        <f>IF($A84&lt;1900,0,IF(T84&gt;=K84,1,0))</f>
        <v/>
      </c>
      <c r="X84" s="47">
        <f>IF($A84&lt;1900,0,IF(L84&lt;=M84,1,0))</f>
        <v/>
      </c>
      <c r="Y84" s="47">
        <f>IF($A84&lt;1900,0,IF(N84&lt;=O84,1,0))</f>
        <v/>
      </c>
      <c r="Z84" s="47">
        <f>IF($A84&lt;1900,0,IF(P84&lt;=Q84,1,0))</f>
        <v/>
      </c>
      <c r="AA84" s="47">
        <f>IF($A84&lt;1900,0,IF(R84&gt;=S84,1,0))</f>
        <v/>
      </c>
      <c r="AB84" s="47">
        <f>IF(SUM(U84:Y84)=5,1,0)</f>
        <v/>
      </c>
      <c r="AC84" s="47">
        <f>IF(Z84+AA84=2,1,0)</f>
        <v/>
      </c>
      <c r="AD84" s="47">
        <f>IF(AND(AB84=1,AC84=1),1,0)</f>
        <v/>
      </c>
      <c r="AE84" s="47">
        <f>IF(AD84=1,AE83+1,0)</f>
        <v/>
      </c>
      <c r="AF84" s="47">
        <f>IF(AE83&gt;=gulf_years_req,1,0)</f>
        <v/>
      </c>
    </row>
    <row r="85">
      <c r="A85" s="58" t="n">
        <v>1925</v>
      </c>
      <c r="B85" s="45" t="n">
        <v>10180000</v>
      </c>
      <c r="C85" s="68" t="n">
        <v>0.663</v>
      </c>
      <c r="D85" s="47">
        <f>Partners!Q85*(1-IF(AND(OR(oil_compact=0,$A85&lt;compact_year),OR($A85=1931,$A85=1932)),gulf_glut_gdp,0))</f>
        <v/>
      </c>
      <c r="E85" s="47">
        <f>IF(AND(gulf_on=1,$A85&gt;=gulf_year),1,0)</f>
        <v/>
      </c>
      <c r="F85" s="45" t="n">
        <v>86</v>
      </c>
      <c r="G85" s="45" t="n">
        <v>88</v>
      </c>
      <c r="H85" s="59" t="n">
        <v>0.9350000000000001</v>
      </c>
      <c r="I85" s="59" t="n">
        <v>0.91</v>
      </c>
      <c r="J85" s="59" t="n">
        <v>1.04</v>
      </c>
      <c r="K85" s="59" t="n">
        <v>1</v>
      </c>
      <c r="L85" s="52" t="n">
        <v>9.800000000000001</v>
      </c>
      <c r="M85" s="52" t="n">
        <v>10</v>
      </c>
      <c r="N85" s="52" t="n">
        <v>6.5</v>
      </c>
      <c r="O85" s="52" t="n">
        <v>8</v>
      </c>
      <c r="P85" s="68" t="n">
        <v>1.34</v>
      </c>
      <c r="Q85" s="68" t="n">
        <v>1.05</v>
      </c>
      <c r="R85" s="68" t="n">
        <v>0.73</v>
      </c>
      <c r="S85" s="68" t="n">
        <v>0.95</v>
      </c>
      <c r="T85" s="63">
        <f>J85-IF(AND(OR(oil_compact=0,$A85&lt;compact_year),$A85&gt;=1931,$A85&lt;=1933),gulf_wage_dip,0)</f>
        <v/>
      </c>
      <c r="U85" s="47">
        <f>IF($A85&lt;1900,0,IF(F85&lt;=G85,1,0))</f>
        <v/>
      </c>
      <c r="V85" s="47">
        <f>IF($A85&lt;1900,0,IF(H85&gt;=I85,1,0))</f>
        <v/>
      </c>
      <c r="W85" s="47">
        <f>IF($A85&lt;1900,0,IF(T85&gt;=K85,1,0))</f>
        <v/>
      </c>
      <c r="X85" s="47">
        <f>IF($A85&lt;1900,0,IF(L85&lt;=M85,1,0))</f>
        <v/>
      </c>
      <c r="Y85" s="47">
        <f>IF($A85&lt;1900,0,IF(N85&lt;=O85,1,0))</f>
        <v/>
      </c>
      <c r="Z85" s="47">
        <f>IF($A85&lt;1900,0,IF(P85&lt;=Q85,1,0))</f>
        <v/>
      </c>
      <c r="AA85" s="47">
        <f>IF($A85&lt;1900,0,IF(R85&gt;=S85,1,0))</f>
        <v/>
      </c>
      <c r="AB85" s="47">
        <f>IF(SUM(U85:Y85)=5,1,0)</f>
        <v/>
      </c>
      <c r="AC85" s="47">
        <f>IF(Z85+AA85=2,1,0)</f>
        <v/>
      </c>
      <c r="AD85" s="47">
        <f>IF(AND(AB85=1,AC85=1),1,0)</f>
        <v/>
      </c>
      <c r="AE85" s="47">
        <f>IF(AD85=1,AE84+1,0)</f>
        <v/>
      </c>
      <c r="AF85" s="47">
        <f>IF(AE84&gt;=gulf_years_req,1,0)</f>
        <v/>
      </c>
    </row>
    <row r="86">
      <c r="A86" s="58" t="n">
        <v>1926</v>
      </c>
      <c r="B86" s="45" t="n">
        <v>10330000</v>
      </c>
      <c r="C86" s="68" t="n">
        <v>0.66</v>
      </c>
      <c r="D86" s="47">
        <f>Partners!Q86*(1-IF(AND(OR(oil_compact=0,$A86&lt;compact_year),OR($A86=1931,$A86=1932)),gulf_glut_gdp,0))</f>
        <v/>
      </c>
      <c r="E86" s="47">
        <f>IF(AND(gulf_on=1,$A86&gt;=gulf_year),1,0)</f>
        <v/>
      </c>
      <c r="F86" s="45" t="n">
        <v>82.66670000000001</v>
      </c>
      <c r="G86" s="45" t="n">
        <v>86</v>
      </c>
      <c r="H86" s="59" t="n">
        <v>0.9399999999999999</v>
      </c>
      <c r="I86" s="59" t="n">
        <v>0.9133</v>
      </c>
      <c r="J86" s="59" t="n">
        <v>1.05</v>
      </c>
      <c r="K86" s="59" t="n">
        <v>1</v>
      </c>
      <c r="L86" s="52" t="n">
        <v>9.5</v>
      </c>
      <c r="M86" s="52" t="n">
        <v>9.833299999999999</v>
      </c>
      <c r="N86" s="52" t="n">
        <v>6.1667</v>
      </c>
      <c r="O86" s="52" t="n">
        <v>7.5</v>
      </c>
      <c r="P86" s="68" t="n">
        <v>1.32</v>
      </c>
      <c r="Q86" s="68" t="n">
        <v>1.05</v>
      </c>
      <c r="R86" s="68" t="n">
        <v>0.7433</v>
      </c>
      <c r="S86" s="68" t="n">
        <v>0.95</v>
      </c>
      <c r="T86" s="63">
        <f>J86-IF(AND(OR(oil_compact=0,$A86&lt;compact_year),$A86&gt;=1931,$A86&lt;=1933),gulf_wage_dip,0)</f>
        <v/>
      </c>
      <c r="U86" s="47">
        <f>IF($A86&lt;1900,0,IF(F86&lt;=G86,1,0))</f>
        <v/>
      </c>
      <c r="V86" s="47">
        <f>IF($A86&lt;1900,0,IF(H86&gt;=I86,1,0))</f>
        <v/>
      </c>
      <c r="W86" s="47">
        <f>IF($A86&lt;1900,0,IF(T86&gt;=K86,1,0))</f>
        <v/>
      </c>
      <c r="X86" s="47">
        <f>IF($A86&lt;1900,0,IF(L86&lt;=M86,1,0))</f>
        <v/>
      </c>
      <c r="Y86" s="47">
        <f>IF($A86&lt;1900,0,IF(N86&lt;=O86,1,0))</f>
        <v/>
      </c>
      <c r="Z86" s="47">
        <f>IF($A86&lt;1900,0,IF(P86&lt;=Q86,1,0))</f>
        <v/>
      </c>
      <c r="AA86" s="47">
        <f>IF($A86&lt;1900,0,IF(R86&gt;=S86,1,0))</f>
        <v/>
      </c>
      <c r="AB86" s="47">
        <f>IF(SUM(U86:Y86)=5,1,0)</f>
        <v/>
      </c>
      <c r="AC86" s="47">
        <f>IF(Z86+AA86=2,1,0)</f>
        <v/>
      </c>
      <c r="AD86" s="47">
        <f>IF(AND(AB86=1,AC86=1),1,0)</f>
        <v/>
      </c>
      <c r="AE86" s="47">
        <f>IF(AD86=1,AE85+1,0)</f>
        <v/>
      </c>
      <c r="AF86" s="47">
        <f>IF(AE85&gt;=gulf_years_req,1,0)</f>
        <v/>
      </c>
    </row>
    <row r="87">
      <c r="A87" s="58" t="n">
        <v>1927</v>
      </c>
      <c r="B87" s="45" t="n">
        <v>10490000</v>
      </c>
      <c r="C87" s="68" t="n">
        <v>0.657</v>
      </c>
      <c r="D87" s="47">
        <f>Partners!Q87*(1-IF(AND(OR(oil_compact=0,$A87&lt;compact_year),OR($A87=1931,$A87=1932)),gulf_glut_gdp,0))</f>
        <v/>
      </c>
      <c r="E87" s="47">
        <f>IF(AND(gulf_on=1,$A87&gt;=gulf_year),1,0)</f>
        <v/>
      </c>
      <c r="F87" s="45" t="n">
        <v>79.33329999999999</v>
      </c>
      <c r="G87" s="45" t="n">
        <v>84</v>
      </c>
      <c r="H87" s="59" t="n">
        <v>0.945</v>
      </c>
      <c r="I87" s="59" t="n">
        <v>0.9167</v>
      </c>
      <c r="J87" s="59" t="n">
        <v>1.06</v>
      </c>
      <c r="K87" s="59" t="n">
        <v>1</v>
      </c>
      <c r="L87" s="52" t="n">
        <v>9.199999999999999</v>
      </c>
      <c r="M87" s="52" t="n">
        <v>9.666700000000001</v>
      </c>
      <c r="N87" s="52" t="n">
        <v>5.8333</v>
      </c>
      <c r="O87" s="52" t="n">
        <v>7</v>
      </c>
      <c r="P87" s="68" t="n">
        <v>1.3</v>
      </c>
      <c r="Q87" s="68" t="n">
        <v>1.05</v>
      </c>
      <c r="R87" s="68" t="n">
        <v>0.7567</v>
      </c>
      <c r="S87" s="68" t="n">
        <v>0.95</v>
      </c>
      <c r="T87" s="63">
        <f>J87-IF(AND(OR(oil_compact=0,$A87&lt;compact_year),$A87&gt;=1931,$A87&lt;=1933),gulf_wage_dip,0)</f>
        <v/>
      </c>
      <c r="U87" s="47">
        <f>IF($A87&lt;1900,0,IF(F87&lt;=G87,1,0))</f>
        <v/>
      </c>
      <c r="V87" s="47">
        <f>IF($A87&lt;1900,0,IF(H87&gt;=I87,1,0))</f>
        <v/>
      </c>
      <c r="W87" s="47">
        <f>IF($A87&lt;1900,0,IF(T87&gt;=K87,1,0))</f>
        <v/>
      </c>
      <c r="X87" s="47">
        <f>IF($A87&lt;1900,0,IF(L87&lt;=M87,1,0))</f>
        <v/>
      </c>
      <c r="Y87" s="47">
        <f>IF($A87&lt;1900,0,IF(N87&lt;=O87,1,0))</f>
        <v/>
      </c>
      <c r="Z87" s="47">
        <f>IF($A87&lt;1900,0,IF(P87&lt;=Q87,1,0))</f>
        <v/>
      </c>
      <c r="AA87" s="47">
        <f>IF($A87&lt;1900,0,IF(R87&gt;=S87,1,0))</f>
        <v/>
      </c>
      <c r="AB87" s="47">
        <f>IF(SUM(U87:Y87)=5,1,0)</f>
        <v/>
      </c>
      <c r="AC87" s="47">
        <f>IF(Z87+AA87=2,1,0)</f>
        <v/>
      </c>
      <c r="AD87" s="47">
        <f>IF(AND(AB87=1,AC87=1),1,0)</f>
        <v/>
      </c>
      <c r="AE87" s="47">
        <f>IF(AD87=1,AE86+1,0)</f>
        <v/>
      </c>
      <c r="AF87" s="47">
        <f>IF(AE86&gt;=gulf_years_req,1,0)</f>
        <v/>
      </c>
    </row>
    <row r="88">
      <c r="A88" s="58" t="n">
        <v>1928</v>
      </c>
      <c r="B88" s="45" t="n">
        <v>10640000</v>
      </c>
      <c r="C88" s="68" t="n">
        <v>0.653</v>
      </c>
      <c r="D88" s="47">
        <f>Partners!Q88*(1-IF(AND(OR(oil_compact=0,$A88&lt;compact_year),OR($A88=1931,$A88=1932)),gulf_glut_gdp,0))</f>
        <v/>
      </c>
      <c r="E88" s="47">
        <f>IF(AND(gulf_on=1,$A88&gt;=gulf_year),1,0)</f>
        <v/>
      </c>
      <c r="F88" s="45" t="n">
        <v>76</v>
      </c>
      <c r="G88" s="45" t="n">
        <v>82</v>
      </c>
      <c r="H88" s="59" t="n">
        <v>0.95</v>
      </c>
      <c r="I88" s="59" t="n">
        <v>0.92</v>
      </c>
      <c r="J88" s="59" t="n">
        <v>1.07</v>
      </c>
      <c r="K88" s="59" t="n">
        <v>1</v>
      </c>
      <c r="L88" s="52" t="n">
        <v>8.9</v>
      </c>
      <c r="M88" s="52" t="n">
        <v>9.5</v>
      </c>
      <c r="N88" s="52" t="n">
        <v>5.5</v>
      </c>
      <c r="O88" s="52" t="n">
        <v>6.5</v>
      </c>
      <c r="P88" s="68" t="n">
        <v>1.28</v>
      </c>
      <c r="Q88" s="68" t="n">
        <v>1.05</v>
      </c>
      <c r="R88" s="68" t="n">
        <v>0.77</v>
      </c>
      <c r="S88" s="68" t="n">
        <v>0.95</v>
      </c>
      <c r="T88" s="63">
        <f>J88-IF(AND(OR(oil_compact=0,$A88&lt;compact_year),$A88&gt;=1931,$A88&lt;=1933),gulf_wage_dip,0)</f>
        <v/>
      </c>
      <c r="U88" s="47">
        <f>IF($A88&lt;1900,0,IF(F88&lt;=G88,1,0))</f>
        <v/>
      </c>
      <c r="V88" s="47">
        <f>IF($A88&lt;1900,0,IF(H88&gt;=I88,1,0))</f>
        <v/>
      </c>
      <c r="W88" s="47">
        <f>IF($A88&lt;1900,0,IF(T88&gt;=K88,1,0))</f>
        <v/>
      </c>
      <c r="X88" s="47">
        <f>IF($A88&lt;1900,0,IF(L88&lt;=M88,1,0))</f>
        <v/>
      </c>
      <c r="Y88" s="47">
        <f>IF($A88&lt;1900,0,IF(N88&lt;=O88,1,0))</f>
        <v/>
      </c>
      <c r="Z88" s="47">
        <f>IF($A88&lt;1900,0,IF(P88&lt;=Q88,1,0))</f>
        <v/>
      </c>
      <c r="AA88" s="47">
        <f>IF($A88&lt;1900,0,IF(R88&gt;=S88,1,0))</f>
        <v/>
      </c>
      <c r="AB88" s="47">
        <f>IF(SUM(U88:Y88)=5,1,0)</f>
        <v/>
      </c>
      <c r="AC88" s="47">
        <f>IF(Z88+AA88=2,1,0)</f>
        <v/>
      </c>
      <c r="AD88" s="47">
        <f>IF(AND(AB88=1,AC88=1),1,0)</f>
        <v/>
      </c>
      <c r="AE88" s="47">
        <f>IF(AD88=1,AE87+1,0)</f>
        <v/>
      </c>
      <c r="AF88" s="47">
        <f>IF(AE87&gt;=gulf_years_req,1,0)</f>
        <v/>
      </c>
    </row>
    <row r="89">
      <c r="A89" s="58" t="n">
        <v>1929</v>
      </c>
      <c r="B89" s="45" t="n">
        <v>10800000</v>
      </c>
      <c r="C89" s="68" t="n">
        <v>0.65</v>
      </c>
      <c r="D89" s="47">
        <f>Partners!Q89*(1-IF(AND(OR(oil_compact=0,$A89&lt;compact_year),OR($A89=1931,$A89=1932)),gulf_glut_gdp,0))</f>
        <v/>
      </c>
      <c r="E89" s="47">
        <f>IF(AND(gulf_on=1,$A89&gt;=gulf_year),1,0)</f>
        <v/>
      </c>
      <c r="F89" s="45" t="n">
        <v>74.5</v>
      </c>
      <c r="G89" s="45" t="n">
        <v>81</v>
      </c>
      <c r="H89" s="59" t="n">
        <v>0.9525</v>
      </c>
      <c r="I89" s="59" t="n">
        <v>0.9225</v>
      </c>
      <c r="J89" s="59" t="n">
        <v>1.0725</v>
      </c>
      <c r="K89" s="59" t="n">
        <v>1</v>
      </c>
      <c r="L89" s="52" t="n">
        <v>8.800000000000001</v>
      </c>
      <c r="M89" s="52" t="n">
        <v>9.425000000000001</v>
      </c>
      <c r="N89" s="52" t="n">
        <v>5.25</v>
      </c>
      <c r="O89" s="52" t="n">
        <v>6.25</v>
      </c>
      <c r="P89" s="68" t="n">
        <v>1.265</v>
      </c>
      <c r="Q89" s="68" t="n">
        <v>1.05</v>
      </c>
      <c r="R89" s="68" t="n">
        <v>0.7775</v>
      </c>
      <c r="S89" s="68" t="n">
        <v>0.95</v>
      </c>
      <c r="T89" s="63">
        <f>J89-IF(AND(OR(oil_compact=0,$A89&lt;compact_year),$A89&gt;=1931,$A89&lt;=1933),gulf_wage_dip,0)</f>
        <v/>
      </c>
      <c r="U89" s="47">
        <f>IF($A89&lt;1900,0,IF(F89&lt;=G89,1,0))</f>
        <v/>
      </c>
      <c r="V89" s="47">
        <f>IF($A89&lt;1900,0,IF(H89&gt;=I89,1,0))</f>
        <v/>
      </c>
      <c r="W89" s="47">
        <f>IF($A89&lt;1900,0,IF(T89&gt;=K89,1,0))</f>
        <v/>
      </c>
      <c r="X89" s="47">
        <f>IF($A89&lt;1900,0,IF(L89&lt;=M89,1,0))</f>
        <v/>
      </c>
      <c r="Y89" s="47">
        <f>IF($A89&lt;1900,0,IF(N89&lt;=O89,1,0))</f>
        <v/>
      </c>
      <c r="Z89" s="47">
        <f>IF($A89&lt;1900,0,IF(P89&lt;=Q89,1,0))</f>
        <v/>
      </c>
      <c r="AA89" s="47">
        <f>IF($A89&lt;1900,0,IF(R89&gt;=S89,1,0))</f>
        <v/>
      </c>
      <c r="AB89" s="47">
        <f>IF(SUM(U89:Y89)=5,1,0)</f>
        <v/>
      </c>
      <c r="AC89" s="47">
        <f>IF(Z89+AA89=2,1,0)</f>
        <v/>
      </c>
      <c r="AD89" s="47">
        <f>IF(AND(AB89=1,AC89=1),1,0)</f>
        <v/>
      </c>
      <c r="AE89" s="47">
        <f>IF(AD89=1,AE88+1,0)</f>
        <v/>
      </c>
      <c r="AF89" s="47">
        <f>IF(AE88&gt;=gulf_years_req,1,0)</f>
        <v/>
      </c>
    </row>
    <row r="90">
      <c r="A90" s="58" t="n">
        <v>1930</v>
      </c>
      <c r="B90" s="45" t="n">
        <v>10930000</v>
      </c>
      <c r="C90" s="68" t="n">
        <v>0.64</v>
      </c>
      <c r="D90" s="47">
        <f>Partners!Q90*(1-IF(AND(OR(oil_compact=0,$A90&lt;compact_year),OR($A90=1931,$A90=1932)),gulf_glut_gdp,0))</f>
        <v/>
      </c>
      <c r="E90" s="47">
        <f>IF(AND(gulf_on=1,$A90&gt;=gulf_year),1,0)</f>
        <v/>
      </c>
      <c r="F90" s="45" t="n">
        <v>73</v>
      </c>
      <c r="G90" s="45" t="n">
        <v>80</v>
      </c>
      <c r="H90" s="59" t="n">
        <v>0.955</v>
      </c>
      <c r="I90" s="59" t="n">
        <v>0.925</v>
      </c>
      <c r="J90" s="59" t="n">
        <v>1.075</v>
      </c>
      <c r="K90" s="59" t="n">
        <v>1</v>
      </c>
      <c r="L90" s="52" t="n">
        <v>8.699999999999999</v>
      </c>
      <c r="M90" s="52" t="n">
        <v>9.35</v>
      </c>
      <c r="N90" s="52" t="n">
        <v>5</v>
      </c>
      <c r="O90" s="52" t="n">
        <v>6</v>
      </c>
      <c r="P90" s="68" t="n">
        <v>1.25</v>
      </c>
      <c r="Q90" s="68" t="n">
        <v>1.05</v>
      </c>
      <c r="R90" s="68" t="n">
        <v>0.785</v>
      </c>
      <c r="S90" s="68" t="n">
        <v>0.95</v>
      </c>
      <c r="T90" s="63">
        <f>J90-IF(AND(OR(oil_compact=0,$A90&lt;compact_year),$A90&gt;=1931,$A90&lt;=1933),gulf_wage_dip,0)</f>
        <v/>
      </c>
      <c r="U90" s="47">
        <f>IF($A90&lt;1900,0,IF(F90&lt;=G90,1,0))</f>
        <v/>
      </c>
      <c r="V90" s="47">
        <f>IF($A90&lt;1900,0,IF(H90&gt;=I90,1,0))</f>
        <v/>
      </c>
      <c r="W90" s="47">
        <f>IF($A90&lt;1900,0,IF(T90&gt;=K90,1,0))</f>
        <v/>
      </c>
      <c r="X90" s="47">
        <f>IF($A90&lt;1900,0,IF(L90&lt;=M90,1,0))</f>
        <v/>
      </c>
      <c r="Y90" s="47">
        <f>IF($A90&lt;1900,0,IF(N90&lt;=O90,1,0))</f>
        <v/>
      </c>
      <c r="Z90" s="47">
        <f>IF($A90&lt;1900,0,IF(P90&lt;=Q90,1,0))</f>
        <v/>
      </c>
      <c r="AA90" s="47">
        <f>IF($A90&lt;1900,0,IF(R90&gt;=S90,1,0))</f>
        <v/>
      </c>
      <c r="AB90" s="47">
        <f>IF(SUM(U90:Y90)=5,1,0)</f>
        <v/>
      </c>
      <c r="AC90" s="47">
        <f>IF(Z90+AA90=2,1,0)</f>
        <v/>
      </c>
      <c r="AD90" s="47">
        <f>IF(AND(AB90=1,AC90=1),1,0)</f>
        <v/>
      </c>
      <c r="AE90" s="47">
        <f>IF(AD90=1,AE89+1,0)</f>
        <v/>
      </c>
      <c r="AF90" s="47">
        <f>IF(AE89&gt;=gulf_years_req,1,0)</f>
        <v/>
      </c>
    </row>
    <row r="91">
      <c r="A91" s="58" t="n">
        <v>1931</v>
      </c>
      <c r="B91" s="45" t="n">
        <v>11070000</v>
      </c>
      <c r="C91" s="68" t="n">
        <v>0.63</v>
      </c>
      <c r="D91" s="47">
        <f>Partners!Q91*(1-IF(AND(OR(oil_compact=0,$A91&lt;compact_year),OR($A91=1931,$A91=1932)),gulf_glut_gdp,0))</f>
        <v/>
      </c>
      <c r="E91" s="47">
        <f>IF(AND(gulf_on=1,$A91&gt;=gulf_year),1,0)</f>
        <v/>
      </c>
      <c r="F91" s="45" t="n">
        <v>71.5</v>
      </c>
      <c r="G91" s="45" t="n">
        <v>79</v>
      </c>
      <c r="H91" s="59" t="n">
        <v>0.9575</v>
      </c>
      <c r="I91" s="59" t="n">
        <v>0.9275</v>
      </c>
      <c r="J91" s="59" t="n">
        <v>1.0775</v>
      </c>
      <c r="K91" s="59" t="n">
        <v>1</v>
      </c>
      <c r="L91" s="52" t="n">
        <v>8.6</v>
      </c>
      <c r="M91" s="52" t="n">
        <v>9.275</v>
      </c>
      <c r="N91" s="52" t="n">
        <v>4.75</v>
      </c>
      <c r="O91" s="52" t="n">
        <v>5.75</v>
      </c>
      <c r="P91" s="68" t="n">
        <v>1.235</v>
      </c>
      <c r="Q91" s="68" t="n">
        <v>1.05</v>
      </c>
      <c r="R91" s="68" t="n">
        <v>0.7925</v>
      </c>
      <c r="S91" s="68" t="n">
        <v>0.95</v>
      </c>
      <c r="T91" s="63">
        <f>J91-IF(AND(OR(oil_compact=0,$A91&lt;compact_year),$A91&gt;=1931,$A91&lt;=1933),gulf_wage_dip,0)</f>
        <v/>
      </c>
      <c r="U91" s="47">
        <f>IF($A91&lt;1900,0,IF(F91&lt;=G91,1,0))</f>
        <v/>
      </c>
      <c r="V91" s="47">
        <f>IF($A91&lt;1900,0,IF(H91&gt;=I91,1,0))</f>
        <v/>
      </c>
      <c r="W91" s="47">
        <f>IF($A91&lt;1900,0,IF(T91&gt;=K91,1,0))</f>
        <v/>
      </c>
      <c r="X91" s="47">
        <f>IF($A91&lt;1900,0,IF(L91&lt;=M91,1,0))</f>
        <v/>
      </c>
      <c r="Y91" s="47">
        <f>IF($A91&lt;1900,0,IF(N91&lt;=O91,1,0))</f>
        <v/>
      </c>
      <c r="Z91" s="47">
        <f>IF($A91&lt;1900,0,IF(P91&lt;=Q91,1,0))</f>
        <v/>
      </c>
      <c r="AA91" s="47">
        <f>IF($A91&lt;1900,0,IF(R91&gt;=S91,1,0))</f>
        <v/>
      </c>
      <c r="AB91" s="47">
        <f>IF(SUM(U91:Y91)=5,1,0)</f>
        <v/>
      </c>
      <c r="AC91" s="47">
        <f>IF(Z91+AA91=2,1,0)</f>
        <v/>
      </c>
      <c r="AD91" s="47">
        <f>IF(AND(AB91=1,AC91=1),1,0)</f>
        <v/>
      </c>
      <c r="AE91" s="47">
        <f>IF(AD91=1,AE90+1,0)</f>
        <v/>
      </c>
      <c r="AF91" s="47">
        <f>IF(AE90&gt;=gulf_years_req,1,0)</f>
        <v/>
      </c>
    </row>
    <row r="92">
      <c r="A92" s="58" t="n">
        <v>1932</v>
      </c>
      <c r="B92" s="45" t="n">
        <v>11200000</v>
      </c>
      <c r="C92" s="68" t="n">
        <v>0.62</v>
      </c>
      <c r="D92" s="47">
        <f>Partners!Q92*(1-IF(AND(OR(oil_compact=0,$A92&lt;compact_year),OR($A92=1931,$A92=1932)),gulf_glut_gdp,0))</f>
        <v/>
      </c>
      <c r="E92" s="47">
        <f>IF(AND(gulf_on=1,$A92&gt;=gulf_year),1,0)</f>
        <v/>
      </c>
      <c r="F92" s="45" t="n">
        <v>70</v>
      </c>
      <c r="G92" s="45" t="n">
        <v>78</v>
      </c>
      <c r="H92" s="59" t="n">
        <v>0.96</v>
      </c>
      <c r="I92" s="59" t="n">
        <v>0.93</v>
      </c>
      <c r="J92" s="59" t="n">
        <v>1.08</v>
      </c>
      <c r="K92" s="59" t="n">
        <v>1</v>
      </c>
      <c r="L92" s="52" t="n">
        <v>8.5</v>
      </c>
      <c r="M92" s="52" t="n">
        <v>9.199999999999999</v>
      </c>
      <c r="N92" s="52" t="n">
        <v>4.5</v>
      </c>
      <c r="O92" s="52" t="n">
        <v>5.5</v>
      </c>
      <c r="P92" s="68" t="n">
        <v>1.22</v>
      </c>
      <c r="Q92" s="68" t="n">
        <v>1.05</v>
      </c>
      <c r="R92" s="68" t="n">
        <v>0.8</v>
      </c>
      <c r="S92" s="68" t="n">
        <v>0.95</v>
      </c>
      <c r="T92" s="63">
        <f>J92-IF(AND(OR(oil_compact=0,$A92&lt;compact_year),$A92&gt;=1931,$A92&lt;=1933),gulf_wage_dip,0)</f>
        <v/>
      </c>
      <c r="U92" s="47">
        <f>IF($A92&lt;1900,0,IF(F92&lt;=G92,1,0))</f>
        <v/>
      </c>
      <c r="V92" s="47">
        <f>IF($A92&lt;1900,0,IF(H92&gt;=I92,1,0))</f>
        <v/>
      </c>
      <c r="W92" s="47">
        <f>IF($A92&lt;1900,0,IF(T92&gt;=K92,1,0))</f>
        <v/>
      </c>
      <c r="X92" s="47">
        <f>IF($A92&lt;1900,0,IF(L92&lt;=M92,1,0))</f>
        <v/>
      </c>
      <c r="Y92" s="47">
        <f>IF($A92&lt;1900,0,IF(N92&lt;=O92,1,0))</f>
        <v/>
      </c>
      <c r="Z92" s="47">
        <f>IF($A92&lt;1900,0,IF(P92&lt;=Q92,1,0))</f>
        <v/>
      </c>
      <c r="AA92" s="47">
        <f>IF($A92&lt;1900,0,IF(R92&gt;=S92,1,0))</f>
        <v/>
      </c>
      <c r="AB92" s="47">
        <f>IF(SUM(U92:Y92)=5,1,0)</f>
        <v/>
      </c>
      <c r="AC92" s="47">
        <f>IF(Z92+AA92=2,1,0)</f>
        <v/>
      </c>
      <c r="AD92" s="47">
        <f>IF(AND(AB92=1,AC92=1),1,0)</f>
        <v/>
      </c>
      <c r="AE92" s="47">
        <f>IF(AD92=1,AE91+1,0)</f>
        <v/>
      </c>
      <c r="AF92" s="47">
        <f>IF(AE91&gt;=gulf_years_req,1,0)</f>
        <v/>
      </c>
    </row>
  </sheetData>
  <mergeCells count="3">
    <mergeCell ref="F4:T4"/>
    <mergeCell ref="U4:AF4"/>
    <mergeCell ref="B4:E4"/>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7030A0"/>
    <outlinePr summaryBelow="1" summaryRight="1"/>
    <pageSetUpPr fitToPage="1"/>
  </sheetPr>
  <dimension ref="A1:H86"/>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1" customWidth="1" min="3" max="3"/>
    <col width="11" customWidth="1" min="4" max="4"/>
    <col width="11" customWidth="1" min="5" max="5"/>
    <col width="11" customWidth="1" min="6" max="6"/>
    <col width="11" customWidth="1" min="7" max="7"/>
    <col width="95" customWidth="1" min="8" max="8"/>
  </cols>
  <sheetData>
    <row r="1">
      <c r="A1" s="18" t="inlineStr">
        <is>
          <t>Pacifica against the world</t>
        </is>
      </c>
    </row>
    <row r="2">
      <c r="A2" s="2" t="inlineStr">
        <is>
          <t>GDP, population and capital ships for benchmark years, in billions of gold dollars at market exchange rates.</t>
        </is>
      </c>
    </row>
    <row r="3">
      <c r="A3" s="19" t="inlineStr">
        <is>
          <t>Pacifica and Japan come from the model. Everyone else is a rounded historical estimate, adjusted where the alternate borders change things (notes at right). Blue = input.</t>
        </is>
      </c>
    </row>
    <row r="5">
      <c r="B5" s="5" t="inlineStr">
        <is>
          <t>Output, $bn (gold dollars)</t>
        </is>
      </c>
      <c r="C5" s="71" t="n">
        <v>1870</v>
      </c>
      <c r="D5" s="71" t="n">
        <v>1900</v>
      </c>
      <c r="E5" s="71" t="n">
        <v>1913</v>
      </c>
      <c r="F5" s="71" t="n">
        <v>1929</v>
      </c>
      <c r="G5" s="71" t="n">
        <v>1932</v>
      </c>
      <c r="H5" s="5" t="inlineStr">
        <is>
          <t>Basis</t>
        </is>
      </c>
    </row>
    <row r="6">
      <c r="B6" s="3" t="inlineStr">
        <is>
          <t>Pacifica (core, incl. the Gulf once it joins)</t>
        </is>
      </c>
      <c r="C6" s="16">
        <f>INDEX(Economy!$O$6:$O$92,MATCH(C$5,Economy!$A$6:$A$92,0))/1000</f>
        <v/>
      </c>
      <c r="D6" s="16">
        <f>INDEX(Economy!$O$6:$O$92,MATCH(D$5,Economy!$A$6:$A$92,0))/1000</f>
        <v/>
      </c>
      <c r="E6" s="16">
        <f>INDEX(Economy!$O$6:$O$92,MATCH(E$5,Economy!$A$6:$A$92,0))/1000</f>
        <v/>
      </c>
      <c r="F6" s="16">
        <f>INDEX(Economy!$O$6:$O$92,MATCH(F$5,Economy!$A$6:$A$92,0))/1000</f>
        <v/>
      </c>
      <c r="G6" s="16">
        <f>INDEX(Economy!$O$6:$O$92,MATCH(G$5,Economy!$A$6:$A$92,0))/1000</f>
        <v/>
      </c>
      <c r="H6" s="72" t="inlineStr">
        <is>
          <t>From the model (Economy sheet).</t>
        </is>
      </c>
    </row>
    <row r="7">
      <c r="B7" s="9" t="inlineStr">
        <is>
          <t>Japan</t>
        </is>
      </c>
      <c r="C7" s="16">
        <f>INDEX(Japan!$D$6:$D$92,MATCH(C$5,Japan!$A$6:$A$92,0))/1000</f>
        <v/>
      </c>
      <c r="D7" s="16">
        <f>INDEX(Japan!$D$6:$D$92,MATCH(D$5,Japan!$A$6:$A$92,0))/1000</f>
        <v/>
      </c>
      <c r="E7" s="16">
        <f>INDEX(Japan!$D$6:$D$92,MATCH(E$5,Japan!$A$6:$A$92,0))/1000</f>
        <v/>
      </c>
      <c r="F7" s="16">
        <f>INDEX(Japan!$D$6:$D$92,MATCH(F$5,Japan!$A$6:$A$92,0))/1000</f>
        <v/>
      </c>
      <c r="G7" s="16">
        <f>INDEX(Japan!$D$6:$D$92,MATCH(G$5,Japan!$A$6:$A$92,0))/1000</f>
        <v/>
      </c>
      <c r="H7" s="72" t="inlineStr">
        <is>
          <t>From the model (Japan sheet).</t>
        </is>
      </c>
    </row>
    <row r="8">
      <c r="B8" s="3" t="inlineStr">
        <is>
          <t>Pacifica + Japan (the 1927 Concord)</t>
        </is>
      </c>
      <c r="C8" s="73">
        <f>C6+C7</f>
        <v/>
      </c>
      <c r="D8" s="73">
        <f>D6+D7</f>
        <v/>
      </c>
      <c r="E8" s="73">
        <f>E6+E7</f>
        <v/>
      </c>
      <c r="F8" s="73">
        <f>F6+F7</f>
        <v/>
      </c>
      <c r="G8" s="73">
        <f>G6+G7</f>
        <v/>
      </c>
      <c r="H8" s="72" t="inlineStr"/>
    </row>
    <row r="9">
      <c r="B9" s="9" t="inlineStr">
        <is>
          <t>Philippine crown</t>
        </is>
      </c>
      <c r="C9" s="16">
        <f>INDEX(Partners!$Y$6:$Y$92,MATCH(C$5,Partners!$A$6:$A$92,0))/1000</f>
        <v/>
      </c>
      <c r="D9" s="16">
        <f>INDEX(Partners!$Y$6:$Y$92,MATCH(D$5,Partners!$A$6:$A$92,0))/1000</f>
        <v/>
      </c>
      <c r="E9" s="16">
        <f>INDEX(Partners!$Y$6:$Y$92,MATCH(E$5,Partners!$A$6:$A$92,0))/1000</f>
        <v/>
      </c>
      <c r="F9" s="16">
        <f>INDEX(Partners!$Y$6:$Y$92,MATCH(F$5,Partners!$A$6:$A$92,0))/1000</f>
        <v/>
      </c>
      <c r="G9" s="16">
        <f>INDEX(Partners!$Y$6:$Y$92,MATCH(G$5,Partners!$A$6:$A$92,0))/1000</f>
        <v/>
      </c>
      <c r="H9" s="72" t="inlineStr">
        <is>
          <t>From the Partners sheet (CR-020 B14).</t>
        </is>
      </c>
    </row>
    <row r="10">
      <c r="B10" s="9" t="inlineStr">
        <is>
          <t>Gulf Republic (allied, from 1900)</t>
        </is>
      </c>
      <c r="C10" s="16">
        <f>IF(INDEX(Gulf!$E$6:$E$92,MATCH(C$5,Gulf!$A$6:$A$92,0))=1,0,INDEX(Gulf!$D$6:$D$92,MATCH(C$5,Gulf!$A$6:$A$92,0))/1000)</f>
        <v/>
      </c>
      <c r="D10" s="16">
        <f>IF(INDEX(Gulf!$E$6:$E$92,MATCH(D$5,Gulf!$A$6:$A$92,0))=1,0,INDEX(Gulf!$D$6:$D$92,MATCH(D$5,Gulf!$A$6:$A$92,0))/1000)</f>
        <v/>
      </c>
      <c r="E10" s="16">
        <f>IF(INDEX(Gulf!$E$6:$E$92,MATCH(E$5,Gulf!$A$6:$A$92,0))=1,0,INDEX(Gulf!$D$6:$D$92,MATCH(E$5,Gulf!$A$6:$A$92,0))/1000)</f>
        <v/>
      </c>
      <c r="F10" s="16">
        <f>IF(INDEX(Gulf!$E$6:$E$92,MATCH(F$5,Gulf!$A$6:$A$92,0))=1,0,INDEX(Gulf!$D$6:$D$92,MATCH(F$5,Gulf!$A$6:$A$92,0))/1000)</f>
        <v/>
      </c>
      <c r="G10" s="16">
        <f>IF(INDEX(Gulf!$E$6:$E$92,MATCH(G$5,Gulf!$A$6:$A$92,0))=1,0,INDEX(Gulf!$D$6:$D$92,MATCH(G$5,Gulf!$A$6:$A$92,0))/1000)</f>
        <v/>
      </c>
      <c r="H10" s="72" t="inlineStr">
        <is>
          <t>From the Gulf sheet. Zero once the Gulf joins Pacifica, because it is then inside Pacifica's row.</t>
        </is>
      </c>
    </row>
    <row r="11">
      <c r="B11" s="9" t="inlineStr">
        <is>
          <t>Siberian Republic (from 1921)</t>
        </is>
      </c>
      <c r="C11" s="16">
        <f>INDEX(Partners!$AG$6:$AG$92,MATCH(C$5,Partners!$A$6:$A$92,0))/1000</f>
        <v/>
      </c>
      <c r="D11" s="16">
        <f>INDEX(Partners!$AG$6:$AG$92,MATCH(D$5,Partners!$A$6:$A$92,0))/1000</f>
        <v/>
      </c>
      <c r="E11" s="16">
        <f>INDEX(Partners!$AG$6:$AG$92,MATCH(E$5,Partners!$A$6:$A$92,0))/1000</f>
        <v/>
      </c>
      <c r="F11" s="16">
        <f>INDEX(Partners!$AG$6:$AG$92,MATCH(F$5,Partners!$A$6:$A$92,0))/1000</f>
        <v/>
      </c>
      <c r="G11" s="16">
        <f>INDEX(Partners!$AG$6:$AG$92,MATCH(G$5,Partners!$A$6:$A$92,0))/1000</f>
        <v/>
      </c>
      <c r="H11" s="72" t="inlineStr">
        <is>
          <t>From the Partners sheet (CR-020 B14).</t>
        </is>
      </c>
    </row>
    <row r="12">
      <c r="B12" s="3" t="inlineStr">
        <is>
          <t>The Pacific order</t>
        </is>
      </c>
      <c r="C12" s="73">
        <f>C8+C9+C10+C11</f>
        <v/>
      </c>
      <c r="D12" s="73">
        <f>D8+D9+D10+D11</f>
        <v/>
      </c>
      <c r="E12" s="73">
        <f>E8+E9+E10+E11</f>
        <v/>
      </c>
      <c r="F12" s="73">
        <f>F8+F9+F10+F11</f>
        <v/>
      </c>
      <c r="G12" s="73">
        <f>G8+G9+G10+G11</f>
        <v/>
      </c>
      <c r="H12" s="72" t="inlineStr">
        <is>
          <t>The Pacific Concord of Pacifica and Japan, plus the Philippine crown and the allied Gulf and Siberian republics.</t>
        </is>
      </c>
    </row>
    <row r="13">
      <c r="B13" s="3" t="inlineStr">
        <is>
          <t>The Union (United States)</t>
        </is>
      </c>
      <c r="C13" s="16">
        <f>INDEX(Labour!$BK$6:$BK$92,MATCH(C$5,Labour!$A$6:$A$92,0))/1000</f>
        <v/>
      </c>
      <c r="D13" s="16">
        <f>INDEX(Labour!$BK$6:$BK$92,MATCH(D$5,Labour!$A$6:$A$92,0))/1000</f>
        <v/>
      </c>
      <c r="E13" s="16">
        <f>INDEX(Labour!$BK$6:$BK$92,MATCH(E$5,Labour!$A$6:$A$92,0))/1000</f>
        <v/>
      </c>
      <c r="F13" s="16">
        <f>INDEX(Labour!$BK$6:$BK$92,MATCH(F$5,Labour!$A$6:$A$92,0))/1000</f>
        <v/>
      </c>
      <c r="G13" s="16">
        <f>INDEX(Labour!$BK$6:$BK$92,MATCH(G$5,Labour!$A$6:$A$92,0))/1000</f>
        <v/>
      </c>
      <c r="H13" s="72" t="inlineStr">
        <is>
          <t>Modelled year by year on the Labour sheet (CR-020 B12): historical output of the states it holds, less everything Pacifica draws away.</t>
        </is>
      </c>
    </row>
    <row r="14">
      <c r="B14" s="9" t="inlineStr">
        <is>
          <t>Confederacy</t>
        </is>
      </c>
      <c r="C14" s="74">
        <f>C$41*(C$45+C$46+IF(C$5&lt;1900,C$44,0))*C$52</f>
        <v/>
      </c>
      <c r="D14" s="74">
        <f>D$41*(D$45+D$46+IF(D$5&lt;1900,D$44,0))*D$52</f>
        <v/>
      </c>
      <c r="E14" s="74">
        <f>E$41*(E$45+E$46+IF(E$5&lt;1900,E$44,0))*E$52</f>
        <v/>
      </c>
      <c r="F14" s="74">
        <f>F$41*(F$45+F$46+IF(F$5&lt;1900,F$44,0))*F$52</f>
        <v/>
      </c>
      <c r="G14" s="74">
        <f>G$41*(G$45+G$46+IF(G$5&lt;1900,G$44,0))*G$52</f>
        <v/>
      </c>
      <c r="H14" s="72" t="inlineStr">
        <is>
          <t>1870 includes the Gulf states and Virginia/North Carolina; from 1900 the rump of five states.</t>
        </is>
      </c>
    </row>
    <row r="15">
      <c r="B15" s="3" t="inlineStr">
        <is>
          <t>Britain</t>
        </is>
      </c>
      <c r="C15" s="73">
        <f>C$53</f>
        <v/>
      </c>
      <c r="D15" s="73">
        <f>D$53</f>
        <v/>
      </c>
      <c r="E15" s="73">
        <f>E$53</f>
        <v/>
      </c>
      <c r="F15" s="73">
        <f>F$53</f>
        <v/>
      </c>
      <c r="G15" s="73">
        <f>G$53</f>
        <v/>
      </c>
      <c r="H15" s="72" t="inlineStr"/>
    </row>
    <row r="16">
      <c r="B16" s="9" t="inlineStr">
        <is>
          <t>Germany</t>
        </is>
      </c>
      <c r="C16" s="74">
        <f>C$54</f>
        <v/>
      </c>
      <c r="D16" s="74">
        <f>D$54</f>
        <v/>
      </c>
      <c r="E16" s="74">
        <f>E$54</f>
        <v/>
      </c>
      <c r="F16" s="74">
        <f>F$54</f>
        <v/>
      </c>
      <c r="G16" s="74">
        <f>G$54</f>
        <v/>
      </c>
      <c r="H16" s="72" t="inlineStr"/>
    </row>
    <row r="17">
      <c r="B17" s="9" t="inlineStr">
        <is>
          <t>France</t>
        </is>
      </c>
      <c r="C17" s="74">
        <f>C$55</f>
        <v/>
      </c>
      <c r="D17" s="74">
        <f>D$55</f>
        <v/>
      </c>
      <c r="E17" s="74">
        <f>E$55</f>
        <v/>
      </c>
      <c r="F17" s="74">
        <f>F$55</f>
        <v/>
      </c>
      <c r="G17" s="74">
        <f>G$55</f>
        <v/>
      </c>
      <c r="H17" s="72" t="inlineStr"/>
    </row>
    <row r="18">
      <c r="B18" s="9" t="inlineStr">
        <is>
          <t>Russia / USSR</t>
        </is>
      </c>
      <c r="C18" s="74">
        <f>C$56</f>
        <v/>
      </c>
      <c r="D18" s="74">
        <f>D$56</f>
        <v/>
      </c>
      <c r="E18" s="74">
        <f>E$56</f>
        <v/>
      </c>
      <c r="F18" s="74">
        <f>F$56</f>
        <v/>
      </c>
      <c r="G18" s="74">
        <f>G$56</f>
        <v/>
      </c>
      <c r="H18" s="72" t="inlineStr"/>
    </row>
    <row r="19">
      <c r="B19" s="9" t="inlineStr">
        <is>
          <t>China</t>
        </is>
      </c>
      <c r="C19" s="16">
        <f>INDEX(Partners!$AO$6:$AO$92,MATCH(C$5,Partners!$A$6:$A$92,0))/1000</f>
        <v/>
      </c>
      <c r="D19" s="16">
        <f>INDEX(Partners!$AO$6:$AO$92,MATCH(D$5,Partners!$A$6:$A$92,0))/1000</f>
        <v/>
      </c>
      <c r="E19" s="16">
        <f>INDEX(Partners!$AO$6:$AO$92,MATCH(E$5,Partners!$A$6:$A$92,0))/1000</f>
        <v/>
      </c>
      <c r="F19" s="16">
        <f>INDEX(Partners!$AO$6:$AO$92,MATCH(F$5,Partners!$A$6:$A$92,0))/1000</f>
        <v/>
      </c>
      <c r="G19" s="16">
        <f>INDEX(Partners!$AO$6:$AO$92,MATCH(G$5,Partners!$A$6:$A$92,0))/1000</f>
        <v/>
      </c>
      <c r="H19" s="72" t="inlineStr">
        <is>
          <t>From the Partners sheet (CR-020 B15). Outside the order.</t>
        </is>
      </c>
    </row>
    <row r="20">
      <c r="B20" s="9" t="inlineStr">
        <is>
          <t>Korea</t>
        </is>
      </c>
      <c r="C20" s="16">
        <f>INDEX(Partners!$AW$6:$AW$92,MATCH(C$5,Partners!$A$6:$A$92,0))/1000</f>
        <v/>
      </c>
      <c r="D20" s="16">
        <f>INDEX(Partners!$AW$6:$AW$92,MATCH(D$5,Partners!$A$6:$A$92,0))/1000</f>
        <v/>
      </c>
      <c r="E20" s="16">
        <f>INDEX(Partners!$AW$6:$AW$92,MATCH(E$5,Partners!$A$6:$A$92,0))/1000</f>
        <v/>
      </c>
      <c r="F20" s="16">
        <f>INDEX(Partners!$AW$6:$AW$92,MATCH(F$5,Partners!$A$6:$A$92,0))/1000</f>
        <v/>
      </c>
      <c r="G20" s="16">
        <f>INDEX(Partners!$AW$6:$AW$92,MATCH(G$5,Partners!$A$6:$A$92,0))/1000</f>
        <v/>
      </c>
      <c r="H20" s="72" t="inlineStr">
        <is>
          <t>Under the Pacifican guarantee; outside the order.</t>
        </is>
      </c>
    </row>
    <row r="21">
      <c r="B21" s="9" t="inlineStr">
        <is>
          <t>Southeast Asia</t>
        </is>
      </c>
      <c r="C21" s="16">
        <f>INDEX(Partners!$BE$6:$BE$92,MATCH(C$5,Partners!$A$6:$A$92,0))/1000</f>
        <v/>
      </c>
      <c r="D21" s="16">
        <f>INDEX(Partners!$BE$6:$BE$92,MATCH(D$5,Partners!$A$6:$A$92,0))/1000</f>
        <v/>
      </c>
      <c r="E21" s="16">
        <f>INDEX(Partners!$BE$6:$BE$92,MATCH(E$5,Partners!$A$6:$A$92,0))/1000</f>
        <v/>
      </c>
      <c r="F21" s="16">
        <f>INDEX(Partners!$BE$6:$BE$92,MATCH(F$5,Partners!$A$6:$A$92,0))/1000</f>
        <v/>
      </c>
      <c r="G21" s="16">
        <f>INDEX(Partners!$BE$6:$BE$92,MATCH(G$5,Partners!$A$6:$A$92,0))/1000</f>
        <v/>
      </c>
      <c r="H21" s="72" t="inlineStr"/>
    </row>
    <row r="22">
      <c r="B22" s="9" t="inlineStr">
        <is>
          <t>Mexico and Pacific South America</t>
        </is>
      </c>
      <c r="C22" s="16">
        <f>INDEX(Partners!$BM$6:$BM$92,MATCH(C$5,Partners!$A$6:$A$92,0))/1000</f>
        <v/>
      </c>
      <c r="D22" s="16">
        <f>INDEX(Partners!$BM$6:$BM$92,MATCH(D$5,Partners!$A$6:$A$92,0))/1000</f>
        <v/>
      </c>
      <c r="E22" s="16">
        <f>INDEX(Partners!$BM$6:$BM$92,MATCH(E$5,Partners!$A$6:$A$92,0))/1000</f>
        <v/>
      </c>
      <c r="F22" s="16">
        <f>INDEX(Partners!$BM$6:$BM$92,MATCH(F$5,Partners!$A$6:$A$92,0))/1000</f>
        <v/>
      </c>
      <c r="G22" s="16">
        <f>INDEX(Partners!$BM$6:$BM$92,MATCH(G$5,Partners!$A$6:$A$92,0))/1000</f>
        <v/>
      </c>
      <c r="H22" s="72" t="inlineStr"/>
    </row>
    <row r="23">
      <c r="B23" s="9" t="inlineStr">
        <is>
          <t>Persian Gulf and Middle East</t>
        </is>
      </c>
      <c r="C23" s="16">
        <f>INDEX(Partners!$BU$6:$BU$92,MATCH(C$5,Partners!$A$6:$A$92,0))/1000</f>
        <v/>
      </c>
      <c r="D23" s="16">
        <f>INDEX(Partners!$BU$6:$BU$92,MATCH(D$5,Partners!$A$6:$A$92,0))/1000</f>
        <v/>
      </c>
      <c r="E23" s="16">
        <f>INDEX(Partners!$BU$6:$BU$92,MATCH(E$5,Partners!$A$6:$A$92,0))/1000</f>
        <v/>
      </c>
      <c r="F23" s="16">
        <f>INDEX(Partners!$BU$6:$BU$92,MATCH(F$5,Partners!$A$6:$A$92,0))/1000</f>
        <v/>
      </c>
      <c r="G23" s="16">
        <f>INDEX(Partners!$BU$6:$BU$92,MATCH(G$5,Partners!$A$6:$A$92,0))/1000</f>
        <v/>
      </c>
      <c r="H23" s="72" t="inlineStr"/>
    </row>
    <row r="25">
      <c r="B25" s="5" t="inlineStr">
        <is>
          <t>Ratios</t>
        </is>
      </c>
      <c r="C25" s="71" t="n">
        <v>1870</v>
      </c>
      <c r="D25" s="71" t="n">
        <v>1900</v>
      </c>
      <c r="E25" s="71" t="n">
        <v>1913</v>
      </c>
      <c r="F25" s="71" t="n">
        <v>1929</v>
      </c>
      <c r="G25" s="71" t="n">
        <v>1932</v>
      </c>
      <c r="H25" s="5" t="inlineStr">
        <is>
          <t>Basis</t>
        </is>
      </c>
    </row>
    <row r="26">
      <c r="B26" s="9" t="inlineStr">
        <is>
          <t>Pacifica / Britain</t>
        </is>
      </c>
      <c r="C26" s="75">
        <f>C6/C15</f>
        <v/>
      </c>
      <c r="D26" s="75">
        <f>D6/D15</f>
        <v/>
      </c>
      <c r="E26" s="75">
        <f>E6/E15</f>
        <v/>
      </c>
      <c r="F26" s="75">
        <f>F6/F15</f>
        <v/>
      </c>
      <c r="G26" s="75">
        <f>G6/G15</f>
        <v/>
      </c>
      <c r="H26" s="72" t="inlineStr"/>
    </row>
    <row r="27">
      <c r="B27" s="3" t="inlineStr">
        <is>
          <t>Pacifica + Japan / Britain</t>
        </is>
      </c>
      <c r="C27" s="32">
        <f>C8/C15</f>
        <v/>
      </c>
      <c r="D27" s="32">
        <f>D8/D15</f>
        <v/>
      </c>
      <c r="E27" s="32">
        <f>E8/E15</f>
        <v/>
      </c>
      <c r="F27" s="32">
        <f>F8/F15</f>
        <v/>
      </c>
      <c r="G27" s="32">
        <f>G8/G15</f>
        <v/>
      </c>
      <c r="H27" s="72" t="inlineStr"/>
    </row>
    <row r="28">
      <c r="B28" s="9" t="inlineStr">
        <is>
          <t>Pacifica / the Union</t>
        </is>
      </c>
      <c r="C28" s="75">
        <f>C6/C13</f>
        <v/>
      </c>
      <c r="D28" s="75">
        <f>D6/D13</f>
        <v/>
      </c>
      <c r="E28" s="75">
        <f>E6/E13</f>
        <v/>
      </c>
      <c r="F28" s="75">
        <f>F6/F13</f>
        <v/>
      </c>
      <c r="G28" s="75">
        <f>G6/G13</f>
        <v/>
      </c>
      <c r="H28" s="72" t="inlineStr"/>
    </row>
    <row r="29">
      <c r="B29" s="3" t="inlineStr">
        <is>
          <t>Pacific order / the Union</t>
        </is>
      </c>
      <c r="C29" s="32">
        <f>C12/C13</f>
        <v/>
      </c>
      <c r="D29" s="32">
        <f>D12/D13</f>
        <v/>
      </c>
      <c r="E29" s="32">
        <f>E12/E13</f>
        <v/>
      </c>
      <c r="F29" s="32">
        <f>F12/F13</f>
        <v/>
      </c>
      <c r="G29" s="32">
        <f>G12/G13</f>
        <v/>
      </c>
      <c r="H29" s="72" t="inlineStr"/>
    </row>
    <row r="30">
      <c r="B30" s="9" t="inlineStr">
        <is>
          <t>Pacific order / Britain + Germany + France</t>
        </is>
      </c>
      <c r="C30" s="75">
        <f>C12/(C15+C16+C17)</f>
        <v/>
      </c>
      <c r="D30" s="75">
        <f>D12/(D15+D16+D17)</f>
        <v/>
      </c>
      <c r="E30" s="75">
        <f>E12/(E15+E16+E17)</f>
        <v/>
      </c>
      <c r="F30" s="75">
        <f>F12/(F15+F16+F17)</f>
        <v/>
      </c>
      <c r="G30" s="75">
        <f>G12/(G15+G16+G17)</f>
        <v/>
      </c>
      <c r="H30" s="72" t="inlineStr"/>
    </row>
    <row r="32">
      <c r="B32" s="5" t="inlineStr">
        <is>
          <t>Population, millions</t>
        </is>
      </c>
      <c r="C32" s="71" t="n">
        <v>1870</v>
      </c>
      <c r="D32" s="71" t="n">
        <v>1900</v>
      </c>
      <c r="E32" s="71" t="n">
        <v>1913</v>
      </c>
      <c r="F32" s="71" t="n">
        <v>1929</v>
      </c>
      <c r="G32" s="71" t="n">
        <v>1932</v>
      </c>
      <c r="H32" s="5" t="inlineStr">
        <is>
          <t>Basis</t>
        </is>
      </c>
    </row>
    <row r="33">
      <c r="B33" s="9" t="inlineStr">
        <is>
          <t>Pacifica (core, incl. the Gulf once it joins)</t>
        </is>
      </c>
      <c r="C33" s="16">
        <f>INDEX(People!$X$6:$X$92,MATCH(C$5,People!$A$6:$A$92,0))/1000000</f>
        <v/>
      </c>
      <c r="D33" s="16">
        <f>INDEX(People!$X$6:$X$92,MATCH(D$5,People!$A$6:$A$92,0))/1000000</f>
        <v/>
      </c>
      <c r="E33" s="16">
        <f>INDEX(People!$X$6:$X$92,MATCH(E$5,People!$A$6:$A$92,0))/1000000</f>
        <v/>
      </c>
      <c r="F33" s="16">
        <f>INDEX(People!$X$6:$X$92,MATCH(F$5,People!$A$6:$A$92,0))/1000000</f>
        <v/>
      </c>
      <c r="G33" s="16">
        <f>INDEX(People!$X$6:$X$92,MATCH(G$5,People!$A$6:$A$92,0))/1000000</f>
        <v/>
      </c>
      <c r="H33" s="72" t="inlineStr"/>
    </row>
    <row r="34">
      <c r="B34" s="9" t="inlineStr">
        <is>
          <t>Japan</t>
        </is>
      </c>
      <c r="C34" s="74">
        <f>C$57</f>
        <v/>
      </c>
      <c r="D34" s="74">
        <f>D$57</f>
        <v/>
      </c>
      <c r="E34" s="74">
        <f>E$57</f>
        <v/>
      </c>
      <c r="F34" s="74">
        <f>F$57</f>
        <v/>
      </c>
      <c r="G34" s="74">
        <f>G$57</f>
        <v/>
      </c>
      <c r="H34" s="72" t="inlineStr"/>
    </row>
    <row r="35">
      <c r="B35" s="9" t="inlineStr">
        <is>
          <t>The Union</t>
        </is>
      </c>
      <c r="C35" s="16">
        <f>INDEX(Labour!$AX$6:$AX$92,MATCH(C$5,Labour!$A$6:$A$92,0))</f>
        <v/>
      </c>
      <c r="D35" s="16">
        <f>INDEX(Labour!$AX$6:$AX$92,MATCH(D$5,Labour!$A$6:$A$92,0))</f>
        <v/>
      </c>
      <c r="E35" s="16">
        <f>INDEX(Labour!$AX$6:$AX$92,MATCH(E$5,Labour!$A$6:$A$92,0))</f>
        <v/>
      </c>
      <c r="F35" s="16">
        <f>INDEX(Labour!$AX$6:$AX$92,MATCH(F$5,Labour!$A$6:$A$92,0))</f>
        <v/>
      </c>
      <c r="G35" s="16">
        <f>INDEX(Labour!$AX$6:$AX$92,MATCH(G$5,Labour!$A$6:$A$92,0))</f>
        <v/>
      </c>
      <c r="H35" s="72" t="inlineStr"/>
    </row>
    <row r="36">
      <c r="B36" s="9" t="inlineStr">
        <is>
          <t>Britain</t>
        </is>
      </c>
      <c r="C36" s="74">
        <f>C$58</f>
        <v/>
      </c>
      <c r="D36" s="74">
        <f>D$58</f>
        <v/>
      </c>
      <c r="E36" s="74">
        <f>E$58</f>
        <v/>
      </c>
      <c r="F36" s="74">
        <f>F$58</f>
        <v/>
      </c>
      <c r="G36" s="74">
        <f>G$58</f>
        <v/>
      </c>
      <c r="H36" s="72" t="inlineStr"/>
    </row>
    <row r="37">
      <c r="B37" s="9" t="inlineStr">
        <is>
          <t>Germany</t>
        </is>
      </c>
      <c r="C37" s="74">
        <f>C$59</f>
        <v/>
      </c>
      <c r="D37" s="74">
        <f>D$59</f>
        <v/>
      </c>
      <c r="E37" s="74">
        <f>E$59</f>
        <v/>
      </c>
      <c r="F37" s="74">
        <f>F$59</f>
        <v/>
      </c>
      <c r="G37" s="74">
        <f>G$59</f>
        <v/>
      </c>
      <c r="H37" s="72" t="inlineStr"/>
    </row>
    <row r="40">
      <c r="B40" s="5" t="inlineStr">
        <is>
          <t>Inputs: historical United States and regional shares</t>
        </is>
      </c>
      <c r="C40" s="71" t="n">
        <v>1870</v>
      </c>
      <c r="D40" s="71" t="n">
        <v>1900</v>
      </c>
      <c r="E40" s="71" t="n">
        <v>1913</v>
      </c>
      <c r="F40" s="71" t="n">
        <v>1929</v>
      </c>
      <c r="G40" s="71" t="n">
        <v>1932</v>
      </c>
      <c r="H40" s="5" t="inlineStr">
        <is>
          <t>Basis</t>
        </is>
      </c>
    </row>
    <row r="41">
      <c r="B41" s="9" t="inlineStr">
        <is>
          <t>United States GDP, historical ($bn)</t>
        </is>
      </c>
      <c r="C41" s="76" t="n">
        <v>6.6</v>
      </c>
      <c r="D41" s="76" t="n">
        <v>18.7</v>
      </c>
      <c r="E41" s="76" t="n">
        <v>39.1</v>
      </c>
      <c r="F41" s="76" t="n">
        <v>104.6</v>
      </c>
      <c r="G41" s="76" t="n">
        <v>59.5</v>
      </c>
      <c r="H41" s="72" t="inlineStr">
        <is>
          <t>MeasuringWorth nominal GDP; 1870 restated in gold dollars.</t>
        </is>
      </c>
    </row>
    <row r="42">
      <c r="B42" s="9" t="inlineStr">
        <is>
          <t>United States population, historical (m)</t>
        </is>
      </c>
      <c r="C42" s="76" t="n">
        <v>38.6</v>
      </c>
      <c r="D42" s="76" t="n">
        <v>76.2</v>
      </c>
      <c r="E42" s="76" t="n">
        <v>97.2</v>
      </c>
      <c r="F42" s="76" t="n">
        <v>121.8</v>
      </c>
      <c r="G42" s="76" t="n">
        <v>124.8</v>
      </c>
      <c r="H42" s="72" t="inlineStr">
        <is>
          <t>Census.</t>
        </is>
      </c>
    </row>
    <row r="43">
      <c r="B43" s="9" t="inlineStr">
        <is>
          <t>Share of US output: the West Pacifica holds</t>
        </is>
      </c>
      <c r="C43" s="77" t="n">
        <v>0.03</v>
      </c>
      <c r="D43" s="77" t="n">
        <v>0.06</v>
      </c>
      <c r="E43" s="77" t="n">
        <v>0.08</v>
      </c>
      <c r="F43" s="77" t="n">
        <v>0.105</v>
      </c>
      <c r="G43" s="77" t="n">
        <v>0.105</v>
      </c>
      <c r="H43" s="72" t="inlineStr">
        <is>
          <t>Pacific and Mountain states less Colorado's Front Range; state personal income shares (Easterlin, BEA).</t>
        </is>
      </c>
    </row>
    <row r="44">
      <c r="B44" s="9" t="inlineStr">
        <is>
          <t>Share of US output: Texas, Louisiana, Arkansas</t>
        </is>
      </c>
      <c r="C44" s="77" t="n">
        <v>0.035</v>
      </c>
      <c r="D44" s="77" t="n">
        <v>0.048</v>
      </c>
      <c r="E44" s="77" t="n">
        <v>0.055</v>
      </c>
      <c r="F44" s="77" t="n">
        <v>0.06</v>
      </c>
      <c r="G44" s="77" t="n">
        <v>0.058</v>
      </c>
      <c r="H44" s="72" t="inlineStr">
        <is>
          <t>State income shares.</t>
        </is>
      </c>
    </row>
    <row r="45">
      <c r="B45" s="9" t="inlineStr">
        <is>
          <t>Share of US output: SC, GA, AL, MS, FL</t>
        </is>
      </c>
      <c r="C45" s="77" t="n">
        <v>0.05</v>
      </c>
      <c r="D45" s="77" t="n">
        <v>0.04</v>
      </c>
      <c r="E45" s="77" t="n">
        <v>0.042</v>
      </c>
      <c r="F45" s="77" t="n">
        <v>0.04</v>
      </c>
      <c r="G45" s="77" t="n">
        <v>0.038</v>
      </c>
      <c r="H45" s="72" t="inlineStr">
        <is>
          <t>State income shares.</t>
        </is>
      </c>
    </row>
    <row r="46">
      <c r="B46" s="9" t="inlineStr">
        <is>
          <t>Share of US output: Virginia, North Carolina (Confederate to 1898)</t>
        </is>
      </c>
      <c r="C46" s="77" t="n">
        <v>0.035</v>
      </c>
      <c r="D46" s="77" t="n">
        <v>0</v>
      </c>
      <c r="E46" s="77" t="n">
        <v>0</v>
      </c>
      <c r="F46" s="77" t="n">
        <v>0</v>
      </c>
      <c r="G46" s="77" t="n">
        <v>0</v>
      </c>
      <c r="H46" s="72" t="inlineStr">
        <is>
          <t>They return to the Union in 1898-99, so zero afterwards.</t>
        </is>
      </c>
    </row>
    <row r="47">
      <c r="B47" s="9" t="inlineStr">
        <is>
          <t>Share of US population: the West</t>
        </is>
      </c>
      <c r="C47" s="77" t="n">
        <v>0.024</v>
      </c>
      <c r="D47" s="77" t="n">
        <v>0.047</v>
      </c>
      <c r="E47" s="77" t="n">
        <v>0.058</v>
      </c>
      <c r="F47" s="77" t="n">
        <v>0.08699999999999999</v>
      </c>
      <c r="G47" s="77" t="n">
        <v>0.08799999999999999</v>
      </c>
      <c r="H47" s="72" t="inlineStr">
        <is>
          <t>Census.</t>
        </is>
      </c>
    </row>
    <row r="48">
      <c r="B48" s="9" t="inlineStr">
        <is>
          <t>Share of US population: Gulf states</t>
        </is>
      </c>
      <c r="C48" s="77" t="n">
        <v>0.053</v>
      </c>
      <c r="D48" s="77" t="n">
        <v>0.075</v>
      </c>
      <c r="E48" s="77" t="n">
        <v>0.07199999999999999</v>
      </c>
      <c r="F48" s="77" t="n">
        <v>0.08</v>
      </c>
      <c r="G48" s="77" t="n">
        <v>0.08</v>
      </c>
      <c r="H48" s="72" t="inlineStr">
        <is>
          <t>Census.</t>
        </is>
      </c>
    </row>
    <row r="49">
      <c r="B49" s="9" t="inlineStr">
        <is>
          <t>Share of US population: rump Confederacy</t>
        </is>
      </c>
      <c r="C49" s="77" t="n">
        <v>0.101</v>
      </c>
      <c r="D49" s="77" t="n">
        <v>0.098</v>
      </c>
      <c r="E49" s="77" t="n">
        <v>0.08699999999999999</v>
      </c>
      <c r="F49" s="77" t="n">
        <v>0.08799999999999999</v>
      </c>
      <c r="G49" s="77" t="n">
        <v>0.08799999999999999</v>
      </c>
      <c r="H49" s="72" t="inlineStr">
        <is>
          <t>Census.</t>
        </is>
      </c>
    </row>
    <row r="50">
      <c r="B50" s="9" t="inlineStr">
        <is>
          <t>Share of US population: Virginia, North Carolina</t>
        </is>
      </c>
      <c r="C50" s="77" t="n">
        <v>0.06</v>
      </c>
      <c r="D50" s="77" t="n">
        <v>0</v>
      </c>
      <c r="E50" s="77" t="n">
        <v>0</v>
      </c>
      <c r="F50" s="77" t="n">
        <v>0</v>
      </c>
      <c r="G50" s="77" t="n">
        <v>0</v>
      </c>
      <c r="H50" s="72" t="inlineStr">
        <is>
          <t>Census.</t>
        </is>
      </c>
    </row>
    <row r="51">
      <c r="B51" s="9" t="inlineStr">
        <is>
          <t>Gulf Republic output vs history</t>
        </is>
      </c>
      <c r="C51" s="20" t="n">
        <v>1</v>
      </c>
      <c r="D51" s="20" t="n">
        <v>1</v>
      </c>
      <c r="E51" s="20" t="n">
        <v>1.1</v>
      </c>
      <c r="F51" s="20" t="n">
        <v>1.1</v>
      </c>
      <c r="G51" s="20" t="n">
        <v>1.15</v>
      </c>
      <c r="H51" s="72" t="inlineStr">
        <is>
          <t>Oil partnership with Pacifica and the canal; fell less in the depression. Model estimate.</t>
        </is>
      </c>
    </row>
    <row r="52">
      <c r="B52" s="9" t="inlineStr">
        <is>
          <t>Rump Confederacy output vs history</t>
        </is>
      </c>
      <c r="C52" s="20" t="n">
        <v>1</v>
      </c>
      <c r="D52" s="20" t="n">
        <v>0.9</v>
      </c>
      <c r="E52" s="20" t="n">
        <v>0.9</v>
      </c>
      <c r="F52" s="20" t="n">
        <v>0.9</v>
      </c>
      <c r="G52" s="20" t="n">
        <v>0.9</v>
      </c>
      <c r="H52" s="72" t="inlineStr">
        <is>
          <t>Debt crisis, sharecropping and fracture after 1897. Model estimate.</t>
        </is>
      </c>
    </row>
    <row r="53">
      <c r="B53" s="9" t="inlineStr">
        <is>
          <t>Britain GDP ($bn)</t>
        </is>
      </c>
      <c r="C53" s="76" t="n">
        <v>4.9</v>
      </c>
      <c r="D53" s="76" t="n">
        <v>9.4</v>
      </c>
      <c r="E53" s="76" t="n">
        <v>12.2</v>
      </c>
      <c r="F53" s="76" t="n">
        <v>22.9</v>
      </c>
      <c r="G53" s="76" t="n">
        <v>15.3</v>
      </c>
      <c r="H53" s="72" t="inlineStr">
        <is>
          <t>UK nominal GDP at $4.87/£; 1932 at $3.50/£ after Britain leaves gold (§34).</t>
        </is>
      </c>
    </row>
    <row r="54">
      <c r="B54" s="9" t="inlineStr">
        <is>
          <t>Germany GDP ($bn)</t>
        </is>
      </c>
      <c r="C54" s="76" t="n">
        <v>3.3</v>
      </c>
      <c r="D54" s="76" t="n">
        <v>7.9</v>
      </c>
      <c r="E54" s="76" t="n">
        <v>12.4</v>
      </c>
      <c r="F54" s="76" t="n">
        <v>23.3</v>
      </c>
      <c r="G54" s="76" t="n">
        <v>15.2</v>
      </c>
      <c r="H54" s="72" t="inlineStr">
        <is>
          <t>Historical, +10% from 1919: undefeated, keeps Alsace-Lorraine and eastern clients, no reparations (§30).</t>
        </is>
      </c>
    </row>
    <row r="55">
      <c r="B55" s="9" t="inlineStr">
        <is>
          <t>France GDP ($bn)</t>
        </is>
      </c>
      <c r="C55" s="76" t="n">
        <v>4.2</v>
      </c>
      <c r="D55" s="76" t="n">
        <v>6.4</v>
      </c>
      <c r="E55" s="76" t="n">
        <v>10</v>
      </c>
      <c r="F55" s="76" t="n">
        <v>16.7</v>
      </c>
      <c r="G55" s="76" t="n">
        <v>14.2</v>
      </c>
      <c r="H55" s="72" t="inlineStr">
        <is>
          <t>Historical, −5% from 1919: Alsace-Lorraine not recovered.</t>
        </is>
      </c>
    </row>
    <row r="56">
      <c r="B56" s="9" t="inlineStr">
        <is>
          <t>Russia / USSR GDP ($bn)</t>
        </is>
      </c>
      <c r="C56" s="76" t="n">
        <v>5</v>
      </c>
      <c r="D56" s="76" t="n">
        <v>8</v>
      </c>
      <c r="E56" s="76" t="n">
        <v>10.3</v>
      </c>
      <c r="F56" s="76" t="n">
        <v>8</v>
      </c>
      <c r="G56" s="76" t="n">
        <v>7</v>
      </c>
      <c r="H56" s="72" t="inlineStr">
        <is>
          <t>Very rough. After 1921 the Soviet state has lost Siberia beyond the Ob, Ukraine, the Baltic and Finland.</t>
        </is>
      </c>
    </row>
    <row r="57">
      <c r="B57" s="9" t="inlineStr">
        <is>
          <t>Japan population (m)</t>
        </is>
      </c>
      <c r="C57" s="76" t="n">
        <v>34.8</v>
      </c>
      <c r="D57" s="76" t="n">
        <v>44</v>
      </c>
      <c r="E57" s="76" t="n">
        <v>51.3</v>
      </c>
      <c r="F57" s="76" t="n">
        <v>63.5</v>
      </c>
      <c r="G57" s="76" t="n">
        <v>66.40000000000001</v>
      </c>
      <c r="H57" s="72" t="inlineStr">
        <is>
          <t>Historical, plus Ussuri, Sakhalin and Siberian settlers later.</t>
        </is>
      </c>
    </row>
    <row r="58">
      <c r="B58" s="9" t="inlineStr">
        <is>
          <t>Britain population (m)</t>
        </is>
      </c>
      <c r="C58" s="76" t="n">
        <v>31.3</v>
      </c>
      <c r="D58" s="76" t="n">
        <v>41.5</v>
      </c>
      <c r="E58" s="76" t="n">
        <v>46</v>
      </c>
      <c r="F58" s="76" t="n">
        <v>46</v>
      </c>
      <c r="G58" s="76" t="n">
        <v>46.3</v>
      </c>
      <c r="H58" s="72" t="inlineStr">
        <is>
          <t>UK incl. Ireland to 1913, then GB and Northern Ireland.</t>
        </is>
      </c>
    </row>
    <row r="59">
      <c r="B59" s="9" t="inlineStr">
        <is>
          <t>Germany population (m)</t>
        </is>
      </c>
      <c r="C59" s="76" t="n">
        <v>40.8</v>
      </c>
      <c r="D59" s="76" t="n">
        <v>56</v>
      </c>
      <c r="E59" s="76" t="n">
        <v>66</v>
      </c>
      <c r="F59" s="76" t="n">
        <v>66.5</v>
      </c>
      <c r="G59" s="76" t="n">
        <v>67</v>
      </c>
      <c r="H59" s="72" t="inlineStr">
        <is>
          <t>Keeps Alsace-Lorraine after 1919.</t>
        </is>
      </c>
    </row>
    <row r="60">
      <c r="B60" s="9" t="inlineStr">
        <is>
          <t>Union output lost to Pacifica (all channels)</t>
        </is>
      </c>
      <c r="C60" s="78">
        <f>INDEX(Labour!$BL$6:$BL$92,MATCH(C$5,Labour!$A$6:$A$92,0))</f>
        <v/>
      </c>
      <c r="D60" s="78">
        <f>INDEX(Labour!$BL$6:$BL$92,MATCH(D$5,Labour!$A$6:$A$92,0))</f>
        <v/>
      </c>
      <c r="E60" s="78">
        <f>INDEX(Labour!$BL$6:$BL$92,MATCH(E$5,Labour!$A$6:$A$92,0))</f>
        <v/>
      </c>
      <c r="F60" s="78">
        <f>INDEX(Labour!$BL$6:$BL$92,MATCH(F$5,Labour!$A$6:$A$92,0))</f>
        <v/>
      </c>
      <c r="G60" s="78">
        <f>INDEX(Labour!$BL$6:$BL$92,MATCH(G$5,Labour!$A$6:$A$92,0))</f>
        <v/>
      </c>
      <c r="H60" s="72" t="inlineStr">
        <is>
          <t>CR-020 B12, from the Labour sheet: people diverted or gone west, the compounding brain drain, lost Pacific trade and gold, the champions' markets, guest workers, and the 1930-32 German loan crash.</t>
        </is>
      </c>
    </row>
    <row r="80">
      <c r="B80" s="5" t="inlineStr">
        <is>
          <t>Capital ships in service</t>
        </is>
      </c>
      <c r="C80" s="6" t="n">
        <v>1905</v>
      </c>
      <c r="D80" s="6" t="n">
        <v>1913</v>
      </c>
      <c r="E80" s="6" t="n">
        <v>1919</v>
      </c>
      <c r="F80" s="6" t="n">
        <v>1929</v>
      </c>
      <c r="G80" s="6" t="n">
        <v>1932</v>
      </c>
      <c r="H80" s="6" t="inlineStr">
        <is>
          <t>Basis</t>
        </is>
      </c>
    </row>
    <row r="81">
      <c r="B81" s="9" t="inlineStr">
        <is>
          <t>Pacifica</t>
        </is>
      </c>
      <c r="C81" s="79">
        <f>INDEX(Navy!$AA$6:$AA$92,MATCH(C$80,Navy!$A$6:$A$92,0))</f>
        <v/>
      </c>
      <c r="D81" s="79">
        <f>INDEX(Navy!$AA$6:$AA$92,MATCH(D$80,Navy!$A$6:$A$92,0))</f>
        <v/>
      </c>
      <c r="E81" s="79">
        <f>INDEX(Navy!$AA$6:$AA$92,MATCH(E$80,Navy!$A$6:$A$92,0))</f>
        <v/>
      </c>
      <c r="F81" s="79">
        <f>INDEX(Navy!$AA$6:$AA$92,MATCH(F$80,Navy!$A$6:$A$92,0))</f>
        <v/>
      </c>
      <c r="G81" s="79">
        <f>INDEX(Navy!$AA$6:$AA$92,MATCH(G$80,Navy!$A$6:$A$92,0))</f>
        <v/>
      </c>
      <c r="H81" s="72" t="inlineStr">
        <is>
          <t>Dreadnought-type ships only. From the Navy and Navy plan sheets.</t>
        </is>
      </c>
    </row>
    <row r="82">
      <c r="B82" s="9" t="inlineStr">
        <is>
          <t>Japan</t>
        </is>
      </c>
      <c r="C82" s="79">
        <f>INDEX('Navy plan'!$T$6:$T$92,MATCH(C$80,'Navy plan'!$A$6:$A$92,0))</f>
        <v/>
      </c>
      <c r="D82" s="79">
        <f>INDEX('Navy plan'!$T$6:$T$92,MATCH(D$80,'Navy plan'!$A$6:$A$92,0))</f>
        <v/>
      </c>
      <c r="E82" s="79">
        <f>INDEX('Navy plan'!$T$6:$T$92,MATCH(E$80,'Navy plan'!$A$6:$A$92,0))</f>
        <v/>
      </c>
      <c r="F82" s="79">
        <f>INDEX('Navy plan'!$T$6:$T$92,MATCH(F$80,'Navy plan'!$A$6:$A$92,0))</f>
        <v/>
      </c>
      <c r="G82" s="79">
        <f>INDEX('Navy plan'!$T$6:$T$92,MATCH(G$80,'Navy plan'!$A$6:$A$92,0))</f>
        <v/>
      </c>
    </row>
    <row r="83">
      <c r="B83" s="3" t="inlineStr">
        <is>
          <t>Pacifica + Japan</t>
        </is>
      </c>
      <c r="C83" s="79">
        <f>INDEX(Navy!$AB$6:$AB$92,MATCH(C$80,Navy!$A$6:$A$92,0))</f>
        <v/>
      </c>
      <c r="D83" s="79">
        <f>INDEX(Navy!$AB$6:$AB$92,MATCH(D$80,Navy!$A$6:$A$92,0))</f>
        <v/>
      </c>
      <c r="E83" s="79">
        <f>INDEX(Navy!$AB$6:$AB$92,MATCH(E$80,Navy!$A$6:$A$92,0))</f>
        <v/>
      </c>
      <c r="F83" s="79">
        <f>INDEX(Navy!$AB$6:$AB$92,MATCH(F$80,Navy!$A$6:$A$92,0))</f>
        <v/>
      </c>
      <c r="G83" s="79">
        <f>INDEX(Navy!$AB$6:$AB$92,MATCH(G$80,Navy!$A$6:$A$92,0))</f>
        <v/>
      </c>
    </row>
    <row r="84">
      <c r="B84" s="9" t="inlineStr">
        <is>
          <t>Britain</t>
        </is>
      </c>
      <c r="C84" s="79">
        <f>INDEX(Navy!$AC$6:$AC$92,MATCH(C$80,Navy!$A$6:$A$92,0))</f>
        <v/>
      </c>
      <c r="D84" s="79">
        <f>INDEX(Navy!$AC$6:$AC$92,MATCH(D$80,Navy!$A$6:$A$92,0))</f>
        <v/>
      </c>
      <c r="E84" s="79">
        <f>INDEX(Navy!$AC$6:$AC$92,MATCH(E$80,Navy!$A$6:$A$92,0))</f>
        <v/>
      </c>
      <c r="F84" s="79">
        <f>INDEX(Navy!$AC$6:$AC$92,MATCH(F$80,Navy!$A$6:$A$92,0))</f>
        <v/>
      </c>
      <c r="G84" s="79">
        <f>INDEX(Navy!$AC$6:$AC$92,MATCH(G$80,Navy!$A$6:$A$92,0))</f>
        <v/>
      </c>
    </row>
    <row r="85">
      <c r="B85" s="9" t="inlineStr">
        <is>
          <t>The Union</t>
        </is>
      </c>
      <c r="C85" s="79">
        <f>INDEX(Navy!$AD$6:$AD$92,MATCH(C$80,Navy!$A$6:$A$92,0))</f>
        <v/>
      </c>
      <c r="D85" s="79">
        <f>INDEX(Navy!$AD$6:$AD$92,MATCH(D$80,Navy!$A$6:$A$92,0))</f>
        <v/>
      </c>
      <c r="E85" s="79">
        <f>INDEX(Navy!$AD$6:$AD$92,MATCH(E$80,Navy!$A$6:$A$92,0))</f>
        <v/>
      </c>
      <c r="F85" s="79">
        <f>INDEX(Navy!$AD$6:$AD$92,MATCH(F$80,Navy!$A$6:$A$92,0))</f>
        <v/>
      </c>
      <c r="G85" s="79">
        <f>INDEX(Navy!$AD$6:$AD$92,MATCH(G$80,Navy!$A$6:$A$92,0))</f>
        <v/>
      </c>
    </row>
    <row r="86">
      <c r="B86" s="9" t="inlineStr">
        <is>
          <t>Germany</t>
        </is>
      </c>
      <c r="C86" s="79">
        <f>INDEX('Navy plan'!$W$6:$W$92,MATCH(C$80,'Navy plan'!$A$6:$A$92,0))</f>
        <v/>
      </c>
      <c r="D86" s="79">
        <f>INDEX('Navy plan'!$W$6:$W$92,MATCH(D$80,'Navy plan'!$A$6:$A$92,0))</f>
        <v/>
      </c>
      <c r="E86" s="79">
        <f>INDEX('Navy plan'!$W$6:$W$92,MATCH(E$80,'Navy plan'!$A$6:$A$92,0))</f>
        <v/>
      </c>
      <c r="F86" s="79">
        <f>INDEX('Navy plan'!$W$6:$W$92,MATCH(F$80,'Navy plan'!$A$6:$A$92,0))</f>
        <v/>
      </c>
      <c r="G86" s="79">
        <f>INDEX('Navy plan'!$W$6:$W$92,MATCH(G$80,'Navy plan'!$A$6:$A$92,0))</f>
        <v/>
      </c>
    </row>
  </sheetData>
  <pageMargins left="0.75" right="0.75" top="1" bottom="1" header="0.5" footer="0.5"/>
  <pageSetup orientation="landscape" fitToHeight="0" fitToWidth="1"/>
</worksheet>
</file>

<file path=xl/worksheets/sheet22.xml><?xml version="1.0" encoding="utf-8"?>
<worksheet xmlns="http://schemas.openxmlformats.org/spreadsheetml/2006/main">
  <sheetPr>
    <tabColor rgb="0000B050"/>
    <outlinePr summaryBelow="1" summaryRight="1"/>
    <pageSetUpPr fitToPage="1"/>
  </sheetPr>
  <dimension ref="A1:S9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s>
  <sheetData>
    <row r="1">
      <c r="A1" s="18" t="inlineStr">
        <is>
          <t>Checks</t>
        </is>
      </c>
    </row>
    <row r="2">
      <c r="A2" s="2" t="inlineStr">
        <is>
          <t>Every year tested against the arithmetic, the canon ceilings and story consistency. 'Check' marks a problem.</t>
        </is>
      </c>
    </row>
    <row r="3">
      <c r="A3" s="19" t="inlineStr">
        <is>
          <t>Years run down the page. Blue = input you can change · black = formula · green = link to another sheet. Hover a column heading for its definition.</t>
        </is>
      </c>
    </row>
    <row r="4">
      <c r="B4" s="56" t="inlineStr">
        <is>
          <t>Arithmetic</t>
        </is>
      </c>
      <c r="E4" s="56" t="inlineStr">
        <is>
          <t>Canon ceilings</t>
        </is>
      </c>
      <c r="K4" s="56" t="inlineStr">
        <is>
          <t>Feasibility</t>
        </is>
      </c>
      <c r="P4" s="56" t="inlineStr">
        <is>
          <t>Story consistency</t>
        </is>
      </c>
      <c r="S4" s="56" t="inlineStr">
        <is>
          <t>Total</t>
        </is>
      </c>
    </row>
    <row r="5" ht="54" customHeight="1">
      <c r="A5" s="57" t="inlineStr">
        <is>
          <t>Year</t>
        </is>
      </c>
      <c r="B5" s="6" t="inlineStr">
        <is>
          <t>Population adds up</t>
        </is>
      </c>
      <c r="C5" s="6" t="inlineStr">
        <is>
          <t>Cash at target</t>
        </is>
      </c>
      <c r="D5" s="6" t="inlineStr">
        <is>
          <t>Reserve Fund not negative</t>
        </is>
      </c>
      <c r="E5" s="6" t="inlineStr">
        <is>
          <t>Debt / GDP</t>
        </is>
      </c>
      <c r="F5" s="6" t="inlineStr">
        <is>
          <t>Debt within 30% (from 1887)</t>
        </is>
      </c>
      <c r="G5" s="6" t="inlineStr">
        <is>
          <t>Interest / receipts</t>
        </is>
      </c>
      <c r="H5" s="6" t="inlineStr">
        <is>
          <t>Interest within 15% (from 1887)</t>
        </is>
      </c>
      <c r="I5" s="6" t="inlineStr">
        <is>
          <t>Defence &amp; overseas / GDP</t>
        </is>
      </c>
      <c r="J5" s="6" t="inlineStr">
        <is>
          <t>Within 4% (from 1887, war years exempt)</t>
        </is>
      </c>
      <c r="K5" s="6" t="inlineStr">
        <is>
          <t>Bonds placed / GDP</t>
        </is>
      </c>
      <c r="L5" s="6" t="inlineStr">
        <is>
          <t>Bond markets can absorb them</t>
        </is>
      </c>
      <c r="M5" s="6" t="inlineStr">
        <is>
          <t>Gold cover met</t>
        </is>
      </c>
      <c r="N5" s="6" t="inlineStr">
        <is>
          <t>Japan debt / GDP</t>
        </is>
      </c>
      <c r="O5" s="6" t="inlineStr">
        <is>
          <t>Japan debt under 100%</t>
        </is>
      </c>
      <c r="P5" s="6" t="inlineStr">
        <is>
          <t>Naval parity with Britain from 1922</t>
        </is>
      </c>
      <c r="Q5" s="6" t="inlineStr">
        <is>
          <t>Oil output covers the navy</t>
        </is>
      </c>
      <c r="R5" s="6" t="inlineStr">
        <is>
          <t>Gulf admission allowed</t>
        </is>
      </c>
      <c r="S5" s="6" t="inlineStr">
        <is>
          <t>Problems this year</t>
        </is>
      </c>
    </row>
    <row r="6">
      <c r="A6" s="58" t="n">
        <v>1846</v>
      </c>
      <c r="B6" s="80">
        <f>IF(ABS(People!L6-(People!B6+People!C6+People!D6+People!K6))&lt;1,"OK","Check")</f>
        <v/>
      </c>
      <c r="C6" s="80">
        <f>IF(ABS('Debt &amp; cash'!M6-'Debt &amp; cash'!E6)&lt;0.001,"OK","Check")</f>
        <v/>
      </c>
      <c r="D6" s="80">
        <f>IF('Debt &amp; cash'!S6&gt;=-0.001,"OK","Check")</f>
        <v/>
      </c>
      <c r="E6" s="81">
        <f>'Debt &amp; cash'!V6</f>
        <v/>
      </c>
      <c r="F6" s="80">
        <f>IF($A6&lt;1887,"n/a",IF(E6&lt;=cap_debt,"OK","Check"))</f>
        <v/>
      </c>
      <c r="G6" s="81">
        <f>'Debt &amp; cash'!W6</f>
        <v/>
      </c>
      <c r="H6" s="80">
        <f>IF($A6&lt;1887,"n/a",IF(G6&lt;=cap_int,"OK","Check"))</f>
        <v/>
      </c>
      <c r="I6" s="81">
        <f>Budget!AC6</f>
        <v/>
      </c>
      <c r="J6" s="80">
        <f>IF($A6&lt;1887,"n/a",IF(Paths!AC6=1,"War year",IF(I6&lt;=cap_def,"OK","Check")))</f>
        <v/>
      </c>
      <c r="K6" s="63">
        <f>'Debt &amp; cash'!Y6/Economy!O6</f>
        <v/>
      </c>
      <c r="L6" s="80">
        <f>IF('Debt &amp; cash'!Y6&lt;=mkt_capacity*Economy!O6+foreign_capacity,"OK","Check")</f>
        <v/>
      </c>
      <c r="M6" s="80">
        <f>IF($A6&lt;1900,"n/a",IF('Gold &amp; money'!K6&gt;=0,"OK","Check"))</f>
        <v/>
      </c>
      <c r="N6" s="81">
        <f>Japan!AA6</f>
        <v/>
      </c>
      <c r="O6" s="80">
        <f>IF(N6&lt;=1,"OK","Check")</f>
        <v/>
      </c>
      <c r="P6" s="80">
        <f>IF($A6&lt;1922,"n/a",IF(AND(Navy!AE6&gt;=0.95,Navy!AE6&lt;=1.1),"OK","Check"))</f>
        <v/>
      </c>
      <c r="Q6" s="80">
        <f>IF(Navy!Z6=0,"n/a",IF(Resources!K6&gt;=Navy!Z6,"OK","Check"))</f>
        <v/>
      </c>
      <c r="R6" s="80">
        <f>IF(AND(gulf_on=1,$A6=gulf_year),IF(Gulf!AF6=1,"OK","Check"),"n/a")</f>
        <v/>
      </c>
      <c r="S6" s="47">
        <f>COUNTIF(B6:R6,"Check")</f>
        <v/>
      </c>
    </row>
    <row r="7">
      <c r="A7" s="58" t="n">
        <v>1847</v>
      </c>
      <c r="B7" s="80">
        <f>IF(ABS(People!L7-(People!B7+People!C7+People!D7+People!K7))&lt;1,"OK","Check")</f>
        <v/>
      </c>
      <c r="C7" s="80">
        <f>IF(ABS('Debt &amp; cash'!M7-'Debt &amp; cash'!E7)&lt;0.001,"OK","Check")</f>
        <v/>
      </c>
      <c r="D7" s="80">
        <f>IF('Debt &amp; cash'!S7&gt;=-0.001,"OK","Check")</f>
        <v/>
      </c>
      <c r="E7" s="81">
        <f>'Debt &amp; cash'!V7</f>
        <v/>
      </c>
      <c r="F7" s="80">
        <f>IF($A7&lt;1887,"n/a",IF(E7&lt;=cap_debt,"OK","Check"))</f>
        <v/>
      </c>
      <c r="G7" s="81">
        <f>'Debt &amp; cash'!W7</f>
        <v/>
      </c>
      <c r="H7" s="80">
        <f>IF($A7&lt;1887,"n/a",IF(G7&lt;=cap_int,"OK","Check"))</f>
        <v/>
      </c>
      <c r="I7" s="81">
        <f>Budget!AC7</f>
        <v/>
      </c>
      <c r="J7" s="80">
        <f>IF($A7&lt;1887,"n/a",IF(Paths!AC7=1,"War year",IF(I7&lt;=cap_def,"OK","Check")))</f>
        <v/>
      </c>
      <c r="K7" s="63">
        <f>'Debt &amp; cash'!Y7/Economy!O7</f>
        <v/>
      </c>
      <c r="L7" s="80">
        <f>IF('Debt &amp; cash'!Y7&lt;=mkt_capacity*Economy!O7+foreign_capacity,"OK","Check")</f>
        <v/>
      </c>
      <c r="M7" s="80">
        <f>IF($A7&lt;1900,"n/a",IF('Gold &amp; money'!K7&gt;=0,"OK","Check"))</f>
        <v/>
      </c>
      <c r="N7" s="81">
        <f>Japan!AA7</f>
        <v/>
      </c>
      <c r="O7" s="80">
        <f>IF(N7&lt;=1,"OK","Check")</f>
        <v/>
      </c>
      <c r="P7" s="80">
        <f>IF($A7&lt;1922,"n/a",IF(AND(Navy!AE7&gt;=0.95,Navy!AE7&lt;=1.1),"OK","Check"))</f>
        <v/>
      </c>
      <c r="Q7" s="80">
        <f>IF(Navy!Z7=0,"n/a",IF(Resources!K7&gt;=Navy!Z7,"OK","Check"))</f>
        <v/>
      </c>
      <c r="R7" s="80">
        <f>IF(AND(gulf_on=1,$A7=gulf_year),IF(Gulf!AF7=1,"OK","Check"),"n/a")</f>
        <v/>
      </c>
      <c r="S7" s="47">
        <f>COUNTIF(B7:R7,"Check")</f>
        <v/>
      </c>
    </row>
    <row r="8">
      <c r="A8" s="58" t="n">
        <v>1848</v>
      </c>
      <c r="B8" s="80">
        <f>IF(ABS(People!L8-(People!B8+People!C8+People!D8+People!K8))&lt;1,"OK","Check")</f>
        <v/>
      </c>
      <c r="C8" s="80">
        <f>IF(ABS('Debt &amp; cash'!M8-'Debt &amp; cash'!E8)&lt;0.001,"OK","Check")</f>
        <v/>
      </c>
      <c r="D8" s="80">
        <f>IF('Debt &amp; cash'!S8&gt;=-0.001,"OK","Check")</f>
        <v/>
      </c>
      <c r="E8" s="81">
        <f>'Debt &amp; cash'!V8</f>
        <v/>
      </c>
      <c r="F8" s="80">
        <f>IF($A8&lt;1887,"n/a",IF(E8&lt;=cap_debt,"OK","Check"))</f>
        <v/>
      </c>
      <c r="G8" s="81">
        <f>'Debt &amp; cash'!W8</f>
        <v/>
      </c>
      <c r="H8" s="80">
        <f>IF($A8&lt;1887,"n/a",IF(G8&lt;=cap_int,"OK","Check"))</f>
        <v/>
      </c>
      <c r="I8" s="81">
        <f>Budget!AC8</f>
        <v/>
      </c>
      <c r="J8" s="80">
        <f>IF($A8&lt;1887,"n/a",IF(Paths!AC8=1,"War year",IF(I8&lt;=cap_def,"OK","Check")))</f>
        <v/>
      </c>
      <c r="K8" s="63">
        <f>'Debt &amp; cash'!Y8/Economy!O8</f>
        <v/>
      </c>
      <c r="L8" s="80">
        <f>IF('Debt &amp; cash'!Y8&lt;=mkt_capacity*Economy!O8+foreign_capacity,"OK","Check")</f>
        <v/>
      </c>
      <c r="M8" s="80">
        <f>IF($A8&lt;1900,"n/a",IF('Gold &amp; money'!K8&gt;=0,"OK","Check"))</f>
        <v/>
      </c>
      <c r="N8" s="81">
        <f>Japan!AA8</f>
        <v/>
      </c>
      <c r="O8" s="80">
        <f>IF(N8&lt;=1,"OK","Check")</f>
        <v/>
      </c>
      <c r="P8" s="80">
        <f>IF($A8&lt;1922,"n/a",IF(AND(Navy!AE8&gt;=0.95,Navy!AE8&lt;=1.1),"OK","Check"))</f>
        <v/>
      </c>
      <c r="Q8" s="80">
        <f>IF(Navy!Z8=0,"n/a",IF(Resources!K8&gt;=Navy!Z8,"OK","Check"))</f>
        <v/>
      </c>
      <c r="R8" s="80">
        <f>IF(AND(gulf_on=1,$A8=gulf_year),IF(Gulf!AF8=1,"OK","Check"),"n/a")</f>
        <v/>
      </c>
      <c r="S8" s="47">
        <f>COUNTIF(B8:R8,"Check")</f>
        <v/>
      </c>
    </row>
    <row r="9">
      <c r="A9" s="58" t="n">
        <v>1849</v>
      </c>
      <c r="B9" s="80">
        <f>IF(ABS(People!L9-(People!B9+People!C9+People!D9+People!K9))&lt;1,"OK","Check")</f>
        <v/>
      </c>
      <c r="C9" s="80">
        <f>IF(ABS('Debt &amp; cash'!M9-'Debt &amp; cash'!E9)&lt;0.001,"OK","Check")</f>
        <v/>
      </c>
      <c r="D9" s="80">
        <f>IF('Debt &amp; cash'!S9&gt;=-0.001,"OK","Check")</f>
        <v/>
      </c>
      <c r="E9" s="81">
        <f>'Debt &amp; cash'!V9</f>
        <v/>
      </c>
      <c r="F9" s="80">
        <f>IF($A9&lt;1887,"n/a",IF(E9&lt;=cap_debt,"OK","Check"))</f>
        <v/>
      </c>
      <c r="G9" s="81">
        <f>'Debt &amp; cash'!W9</f>
        <v/>
      </c>
      <c r="H9" s="80">
        <f>IF($A9&lt;1887,"n/a",IF(G9&lt;=cap_int,"OK","Check"))</f>
        <v/>
      </c>
      <c r="I9" s="81">
        <f>Budget!AC9</f>
        <v/>
      </c>
      <c r="J9" s="80">
        <f>IF($A9&lt;1887,"n/a",IF(Paths!AC9=1,"War year",IF(I9&lt;=cap_def,"OK","Check")))</f>
        <v/>
      </c>
      <c r="K9" s="63">
        <f>'Debt &amp; cash'!Y9/Economy!O9</f>
        <v/>
      </c>
      <c r="L9" s="80">
        <f>IF('Debt &amp; cash'!Y9&lt;=mkt_capacity*Economy!O9+foreign_capacity,"OK","Check")</f>
        <v/>
      </c>
      <c r="M9" s="80">
        <f>IF($A9&lt;1900,"n/a",IF('Gold &amp; money'!K9&gt;=0,"OK","Check"))</f>
        <v/>
      </c>
      <c r="N9" s="81">
        <f>Japan!AA9</f>
        <v/>
      </c>
      <c r="O9" s="80">
        <f>IF(N9&lt;=1,"OK","Check")</f>
        <v/>
      </c>
      <c r="P9" s="80">
        <f>IF($A9&lt;1922,"n/a",IF(AND(Navy!AE9&gt;=0.95,Navy!AE9&lt;=1.1),"OK","Check"))</f>
        <v/>
      </c>
      <c r="Q9" s="80">
        <f>IF(Navy!Z9=0,"n/a",IF(Resources!K9&gt;=Navy!Z9,"OK","Check"))</f>
        <v/>
      </c>
      <c r="R9" s="80">
        <f>IF(AND(gulf_on=1,$A9=gulf_year),IF(Gulf!AF9=1,"OK","Check"),"n/a")</f>
        <v/>
      </c>
      <c r="S9" s="47">
        <f>COUNTIF(B9:R9,"Check")</f>
        <v/>
      </c>
    </row>
    <row r="10">
      <c r="A10" s="58" t="n">
        <v>1850</v>
      </c>
      <c r="B10" s="80">
        <f>IF(ABS(People!L10-(People!B10+People!C10+People!D10+People!K10))&lt;1,"OK","Check")</f>
        <v/>
      </c>
      <c r="C10" s="80">
        <f>IF(ABS('Debt &amp; cash'!M10-'Debt &amp; cash'!E10)&lt;0.001,"OK","Check")</f>
        <v/>
      </c>
      <c r="D10" s="80">
        <f>IF('Debt &amp; cash'!S10&gt;=-0.001,"OK","Check")</f>
        <v/>
      </c>
      <c r="E10" s="81">
        <f>'Debt &amp; cash'!V10</f>
        <v/>
      </c>
      <c r="F10" s="80">
        <f>IF($A10&lt;1887,"n/a",IF(E10&lt;=cap_debt,"OK","Check"))</f>
        <v/>
      </c>
      <c r="G10" s="81">
        <f>'Debt &amp; cash'!W10</f>
        <v/>
      </c>
      <c r="H10" s="80">
        <f>IF($A10&lt;1887,"n/a",IF(G10&lt;=cap_int,"OK","Check"))</f>
        <v/>
      </c>
      <c r="I10" s="81">
        <f>Budget!AC10</f>
        <v/>
      </c>
      <c r="J10" s="80">
        <f>IF($A10&lt;1887,"n/a",IF(Paths!AC10=1,"War year",IF(I10&lt;=cap_def,"OK","Check")))</f>
        <v/>
      </c>
      <c r="K10" s="63">
        <f>'Debt &amp; cash'!Y10/Economy!O10</f>
        <v/>
      </c>
      <c r="L10" s="80">
        <f>IF('Debt &amp; cash'!Y10&lt;=mkt_capacity*Economy!O10+foreign_capacity,"OK","Check")</f>
        <v/>
      </c>
      <c r="M10" s="80">
        <f>IF($A10&lt;1900,"n/a",IF('Gold &amp; money'!K10&gt;=0,"OK","Check"))</f>
        <v/>
      </c>
      <c r="N10" s="81">
        <f>Japan!AA10</f>
        <v/>
      </c>
      <c r="O10" s="80">
        <f>IF(N10&lt;=1,"OK","Check")</f>
        <v/>
      </c>
      <c r="P10" s="80">
        <f>IF($A10&lt;1922,"n/a",IF(AND(Navy!AE10&gt;=0.95,Navy!AE10&lt;=1.1),"OK","Check"))</f>
        <v/>
      </c>
      <c r="Q10" s="80">
        <f>IF(Navy!Z10=0,"n/a",IF(Resources!K10&gt;=Navy!Z10,"OK","Check"))</f>
        <v/>
      </c>
      <c r="R10" s="80">
        <f>IF(AND(gulf_on=1,$A10=gulf_year),IF(Gulf!AF10=1,"OK","Check"),"n/a")</f>
        <v/>
      </c>
      <c r="S10" s="47">
        <f>COUNTIF(B10:R10,"Check")</f>
        <v/>
      </c>
    </row>
    <row r="11">
      <c r="A11" s="58" t="n">
        <v>1851</v>
      </c>
      <c r="B11" s="80">
        <f>IF(ABS(People!L11-(People!B11+People!C11+People!D11+People!K11))&lt;1,"OK","Check")</f>
        <v/>
      </c>
      <c r="C11" s="80">
        <f>IF(ABS('Debt &amp; cash'!M11-'Debt &amp; cash'!E11)&lt;0.001,"OK","Check")</f>
        <v/>
      </c>
      <c r="D11" s="80">
        <f>IF('Debt &amp; cash'!S11&gt;=-0.001,"OK","Check")</f>
        <v/>
      </c>
      <c r="E11" s="81">
        <f>'Debt &amp; cash'!V11</f>
        <v/>
      </c>
      <c r="F11" s="80">
        <f>IF($A11&lt;1887,"n/a",IF(E11&lt;=cap_debt,"OK","Check"))</f>
        <v/>
      </c>
      <c r="G11" s="81">
        <f>'Debt &amp; cash'!W11</f>
        <v/>
      </c>
      <c r="H11" s="80">
        <f>IF($A11&lt;1887,"n/a",IF(G11&lt;=cap_int,"OK","Check"))</f>
        <v/>
      </c>
      <c r="I11" s="81">
        <f>Budget!AC11</f>
        <v/>
      </c>
      <c r="J11" s="80">
        <f>IF($A11&lt;1887,"n/a",IF(Paths!AC11=1,"War year",IF(I11&lt;=cap_def,"OK","Check")))</f>
        <v/>
      </c>
      <c r="K11" s="63">
        <f>'Debt &amp; cash'!Y11/Economy!O11</f>
        <v/>
      </c>
      <c r="L11" s="80">
        <f>IF('Debt &amp; cash'!Y11&lt;=mkt_capacity*Economy!O11+foreign_capacity,"OK","Check")</f>
        <v/>
      </c>
      <c r="M11" s="80">
        <f>IF($A11&lt;1900,"n/a",IF('Gold &amp; money'!K11&gt;=0,"OK","Check"))</f>
        <v/>
      </c>
      <c r="N11" s="81">
        <f>Japan!AA11</f>
        <v/>
      </c>
      <c r="O11" s="80">
        <f>IF(N11&lt;=1,"OK","Check")</f>
        <v/>
      </c>
      <c r="P11" s="80">
        <f>IF($A11&lt;1922,"n/a",IF(AND(Navy!AE11&gt;=0.95,Navy!AE11&lt;=1.1),"OK","Check"))</f>
        <v/>
      </c>
      <c r="Q11" s="80">
        <f>IF(Navy!Z11=0,"n/a",IF(Resources!K11&gt;=Navy!Z11,"OK","Check"))</f>
        <v/>
      </c>
      <c r="R11" s="80">
        <f>IF(AND(gulf_on=1,$A11=gulf_year),IF(Gulf!AF11=1,"OK","Check"),"n/a")</f>
        <v/>
      </c>
      <c r="S11" s="47">
        <f>COUNTIF(B11:R11,"Check")</f>
        <v/>
      </c>
    </row>
    <row r="12">
      <c r="A12" s="58" t="n">
        <v>1852</v>
      </c>
      <c r="B12" s="80">
        <f>IF(ABS(People!L12-(People!B12+People!C12+People!D12+People!K12))&lt;1,"OK","Check")</f>
        <v/>
      </c>
      <c r="C12" s="80">
        <f>IF(ABS('Debt &amp; cash'!M12-'Debt &amp; cash'!E12)&lt;0.001,"OK","Check")</f>
        <v/>
      </c>
      <c r="D12" s="80">
        <f>IF('Debt &amp; cash'!S12&gt;=-0.001,"OK","Check")</f>
        <v/>
      </c>
      <c r="E12" s="81">
        <f>'Debt &amp; cash'!V12</f>
        <v/>
      </c>
      <c r="F12" s="80">
        <f>IF($A12&lt;1887,"n/a",IF(E12&lt;=cap_debt,"OK","Check"))</f>
        <v/>
      </c>
      <c r="G12" s="81">
        <f>'Debt &amp; cash'!W12</f>
        <v/>
      </c>
      <c r="H12" s="80">
        <f>IF($A12&lt;1887,"n/a",IF(G12&lt;=cap_int,"OK","Check"))</f>
        <v/>
      </c>
      <c r="I12" s="81">
        <f>Budget!AC12</f>
        <v/>
      </c>
      <c r="J12" s="80">
        <f>IF($A12&lt;1887,"n/a",IF(Paths!AC12=1,"War year",IF(I12&lt;=cap_def,"OK","Check")))</f>
        <v/>
      </c>
      <c r="K12" s="63">
        <f>'Debt &amp; cash'!Y12/Economy!O12</f>
        <v/>
      </c>
      <c r="L12" s="80">
        <f>IF('Debt &amp; cash'!Y12&lt;=mkt_capacity*Economy!O12+foreign_capacity,"OK","Check")</f>
        <v/>
      </c>
      <c r="M12" s="80">
        <f>IF($A12&lt;1900,"n/a",IF('Gold &amp; money'!K12&gt;=0,"OK","Check"))</f>
        <v/>
      </c>
      <c r="N12" s="81">
        <f>Japan!AA12</f>
        <v/>
      </c>
      <c r="O12" s="80">
        <f>IF(N12&lt;=1,"OK","Check")</f>
        <v/>
      </c>
      <c r="P12" s="80">
        <f>IF($A12&lt;1922,"n/a",IF(AND(Navy!AE12&gt;=0.95,Navy!AE12&lt;=1.1),"OK","Check"))</f>
        <v/>
      </c>
      <c r="Q12" s="80">
        <f>IF(Navy!Z12=0,"n/a",IF(Resources!K12&gt;=Navy!Z12,"OK","Check"))</f>
        <v/>
      </c>
      <c r="R12" s="80">
        <f>IF(AND(gulf_on=1,$A12=gulf_year),IF(Gulf!AF12=1,"OK","Check"),"n/a")</f>
        <v/>
      </c>
      <c r="S12" s="47">
        <f>COUNTIF(B12:R12,"Check")</f>
        <v/>
      </c>
    </row>
    <row r="13">
      <c r="A13" s="58" t="n">
        <v>1853</v>
      </c>
      <c r="B13" s="80">
        <f>IF(ABS(People!L13-(People!B13+People!C13+People!D13+People!K13))&lt;1,"OK","Check")</f>
        <v/>
      </c>
      <c r="C13" s="80">
        <f>IF(ABS('Debt &amp; cash'!M13-'Debt &amp; cash'!E13)&lt;0.001,"OK","Check")</f>
        <v/>
      </c>
      <c r="D13" s="80">
        <f>IF('Debt &amp; cash'!S13&gt;=-0.001,"OK","Check")</f>
        <v/>
      </c>
      <c r="E13" s="81">
        <f>'Debt &amp; cash'!V13</f>
        <v/>
      </c>
      <c r="F13" s="80">
        <f>IF($A13&lt;1887,"n/a",IF(E13&lt;=cap_debt,"OK","Check"))</f>
        <v/>
      </c>
      <c r="G13" s="81">
        <f>'Debt &amp; cash'!W13</f>
        <v/>
      </c>
      <c r="H13" s="80">
        <f>IF($A13&lt;1887,"n/a",IF(G13&lt;=cap_int,"OK","Check"))</f>
        <v/>
      </c>
      <c r="I13" s="81">
        <f>Budget!AC13</f>
        <v/>
      </c>
      <c r="J13" s="80">
        <f>IF($A13&lt;1887,"n/a",IF(Paths!AC13=1,"War year",IF(I13&lt;=cap_def,"OK","Check")))</f>
        <v/>
      </c>
      <c r="K13" s="63">
        <f>'Debt &amp; cash'!Y13/Economy!O13</f>
        <v/>
      </c>
      <c r="L13" s="80">
        <f>IF('Debt &amp; cash'!Y13&lt;=mkt_capacity*Economy!O13+foreign_capacity,"OK","Check")</f>
        <v/>
      </c>
      <c r="M13" s="80">
        <f>IF($A13&lt;1900,"n/a",IF('Gold &amp; money'!K13&gt;=0,"OK","Check"))</f>
        <v/>
      </c>
      <c r="N13" s="81">
        <f>Japan!AA13</f>
        <v/>
      </c>
      <c r="O13" s="80">
        <f>IF(N13&lt;=1,"OK","Check")</f>
        <v/>
      </c>
      <c r="P13" s="80">
        <f>IF($A13&lt;1922,"n/a",IF(AND(Navy!AE13&gt;=0.95,Navy!AE13&lt;=1.1),"OK","Check"))</f>
        <v/>
      </c>
      <c r="Q13" s="80">
        <f>IF(Navy!Z13=0,"n/a",IF(Resources!K13&gt;=Navy!Z13,"OK","Check"))</f>
        <v/>
      </c>
      <c r="R13" s="80">
        <f>IF(AND(gulf_on=1,$A13=gulf_year),IF(Gulf!AF13=1,"OK","Check"),"n/a")</f>
        <v/>
      </c>
      <c r="S13" s="47">
        <f>COUNTIF(B13:R13,"Check")</f>
        <v/>
      </c>
    </row>
    <row r="14">
      <c r="A14" s="58" t="n">
        <v>1854</v>
      </c>
      <c r="B14" s="80">
        <f>IF(ABS(People!L14-(People!B14+People!C14+People!D14+People!K14))&lt;1,"OK","Check")</f>
        <v/>
      </c>
      <c r="C14" s="80">
        <f>IF(ABS('Debt &amp; cash'!M14-'Debt &amp; cash'!E14)&lt;0.001,"OK","Check")</f>
        <v/>
      </c>
      <c r="D14" s="80">
        <f>IF('Debt &amp; cash'!S14&gt;=-0.001,"OK","Check")</f>
        <v/>
      </c>
      <c r="E14" s="81">
        <f>'Debt &amp; cash'!V14</f>
        <v/>
      </c>
      <c r="F14" s="80">
        <f>IF($A14&lt;1887,"n/a",IF(E14&lt;=cap_debt,"OK","Check"))</f>
        <v/>
      </c>
      <c r="G14" s="81">
        <f>'Debt &amp; cash'!W14</f>
        <v/>
      </c>
      <c r="H14" s="80">
        <f>IF($A14&lt;1887,"n/a",IF(G14&lt;=cap_int,"OK","Check"))</f>
        <v/>
      </c>
      <c r="I14" s="81">
        <f>Budget!AC14</f>
        <v/>
      </c>
      <c r="J14" s="80">
        <f>IF($A14&lt;1887,"n/a",IF(Paths!AC14=1,"War year",IF(I14&lt;=cap_def,"OK","Check")))</f>
        <v/>
      </c>
      <c r="K14" s="63">
        <f>'Debt &amp; cash'!Y14/Economy!O14</f>
        <v/>
      </c>
      <c r="L14" s="80">
        <f>IF('Debt &amp; cash'!Y14&lt;=mkt_capacity*Economy!O14+foreign_capacity,"OK","Check")</f>
        <v/>
      </c>
      <c r="M14" s="80">
        <f>IF($A14&lt;1900,"n/a",IF('Gold &amp; money'!K14&gt;=0,"OK","Check"))</f>
        <v/>
      </c>
      <c r="N14" s="81">
        <f>Japan!AA14</f>
        <v/>
      </c>
      <c r="O14" s="80">
        <f>IF(N14&lt;=1,"OK","Check")</f>
        <v/>
      </c>
      <c r="P14" s="80">
        <f>IF($A14&lt;1922,"n/a",IF(AND(Navy!AE14&gt;=0.95,Navy!AE14&lt;=1.1),"OK","Check"))</f>
        <v/>
      </c>
      <c r="Q14" s="80">
        <f>IF(Navy!Z14=0,"n/a",IF(Resources!K14&gt;=Navy!Z14,"OK","Check"))</f>
        <v/>
      </c>
      <c r="R14" s="80">
        <f>IF(AND(gulf_on=1,$A14=gulf_year),IF(Gulf!AF14=1,"OK","Check"),"n/a")</f>
        <v/>
      </c>
      <c r="S14" s="47">
        <f>COUNTIF(B14:R14,"Check")</f>
        <v/>
      </c>
    </row>
    <row r="15">
      <c r="A15" s="58" t="n">
        <v>1855</v>
      </c>
      <c r="B15" s="80">
        <f>IF(ABS(People!L15-(People!B15+People!C15+People!D15+People!K15))&lt;1,"OK","Check")</f>
        <v/>
      </c>
      <c r="C15" s="80">
        <f>IF(ABS('Debt &amp; cash'!M15-'Debt &amp; cash'!E15)&lt;0.001,"OK","Check")</f>
        <v/>
      </c>
      <c r="D15" s="80">
        <f>IF('Debt &amp; cash'!S15&gt;=-0.001,"OK","Check")</f>
        <v/>
      </c>
      <c r="E15" s="81">
        <f>'Debt &amp; cash'!V15</f>
        <v/>
      </c>
      <c r="F15" s="80">
        <f>IF($A15&lt;1887,"n/a",IF(E15&lt;=cap_debt,"OK","Check"))</f>
        <v/>
      </c>
      <c r="G15" s="81">
        <f>'Debt &amp; cash'!W15</f>
        <v/>
      </c>
      <c r="H15" s="80">
        <f>IF($A15&lt;1887,"n/a",IF(G15&lt;=cap_int,"OK","Check"))</f>
        <v/>
      </c>
      <c r="I15" s="81">
        <f>Budget!AC15</f>
        <v/>
      </c>
      <c r="J15" s="80">
        <f>IF($A15&lt;1887,"n/a",IF(Paths!AC15=1,"War year",IF(I15&lt;=cap_def,"OK","Check")))</f>
        <v/>
      </c>
      <c r="K15" s="63">
        <f>'Debt &amp; cash'!Y15/Economy!O15</f>
        <v/>
      </c>
      <c r="L15" s="80">
        <f>IF('Debt &amp; cash'!Y15&lt;=mkt_capacity*Economy!O15+foreign_capacity,"OK","Check")</f>
        <v/>
      </c>
      <c r="M15" s="80">
        <f>IF($A15&lt;1900,"n/a",IF('Gold &amp; money'!K15&gt;=0,"OK","Check"))</f>
        <v/>
      </c>
      <c r="N15" s="81">
        <f>Japan!AA15</f>
        <v/>
      </c>
      <c r="O15" s="80">
        <f>IF(N15&lt;=1,"OK","Check")</f>
        <v/>
      </c>
      <c r="P15" s="80">
        <f>IF($A15&lt;1922,"n/a",IF(AND(Navy!AE15&gt;=0.95,Navy!AE15&lt;=1.1),"OK","Check"))</f>
        <v/>
      </c>
      <c r="Q15" s="80">
        <f>IF(Navy!Z15=0,"n/a",IF(Resources!K15&gt;=Navy!Z15,"OK","Check"))</f>
        <v/>
      </c>
      <c r="R15" s="80">
        <f>IF(AND(gulf_on=1,$A15=gulf_year),IF(Gulf!AF15=1,"OK","Check"),"n/a")</f>
        <v/>
      </c>
      <c r="S15" s="47">
        <f>COUNTIF(B15:R15,"Check")</f>
        <v/>
      </c>
    </row>
    <row r="16">
      <c r="A16" s="58" t="n">
        <v>1856</v>
      </c>
      <c r="B16" s="80">
        <f>IF(ABS(People!L16-(People!B16+People!C16+People!D16+People!K16))&lt;1,"OK","Check")</f>
        <v/>
      </c>
      <c r="C16" s="80">
        <f>IF(ABS('Debt &amp; cash'!M16-'Debt &amp; cash'!E16)&lt;0.001,"OK","Check")</f>
        <v/>
      </c>
      <c r="D16" s="80">
        <f>IF('Debt &amp; cash'!S16&gt;=-0.001,"OK","Check")</f>
        <v/>
      </c>
      <c r="E16" s="81">
        <f>'Debt &amp; cash'!V16</f>
        <v/>
      </c>
      <c r="F16" s="80">
        <f>IF($A16&lt;1887,"n/a",IF(E16&lt;=cap_debt,"OK","Check"))</f>
        <v/>
      </c>
      <c r="G16" s="81">
        <f>'Debt &amp; cash'!W16</f>
        <v/>
      </c>
      <c r="H16" s="80">
        <f>IF($A16&lt;1887,"n/a",IF(G16&lt;=cap_int,"OK","Check"))</f>
        <v/>
      </c>
      <c r="I16" s="81">
        <f>Budget!AC16</f>
        <v/>
      </c>
      <c r="J16" s="80">
        <f>IF($A16&lt;1887,"n/a",IF(Paths!AC16=1,"War year",IF(I16&lt;=cap_def,"OK","Check")))</f>
        <v/>
      </c>
      <c r="K16" s="63">
        <f>'Debt &amp; cash'!Y16/Economy!O16</f>
        <v/>
      </c>
      <c r="L16" s="80">
        <f>IF('Debt &amp; cash'!Y16&lt;=mkt_capacity*Economy!O16+foreign_capacity,"OK","Check")</f>
        <v/>
      </c>
      <c r="M16" s="80">
        <f>IF($A16&lt;1900,"n/a",IF('Gold &amp; money'!K16&gt;=0,"OK","Check"))</f>
        <v/>
      </c>
      <c r="N16" s="81">
        <f>Japan!AA16</f>
        <v/>
      </c>
      <c r="O16" s="80">
        <f>IF(N16&lt;=1,"OK","Check")</f>
        <v/>
      </c>
      <c r="P16" s="80">
        <f>IF($A16&lt;1922,"n/a",IF(AND(Navy!AE16&gt;=0.95,Navy!AE16&lt;=1.1),"OK","Check"))</f>
        <v/>
      </c>
      <c r="Q16" s="80">
        <f>IF(Navy!Z16=0,"n/a",IF(Resources!K16&gt;=Navy!Z16,"OK","Check"))</f>
        <v/>
      </c>
      <c r="R16" s="80">
        <f>IF(AND(gulf_on=1,$A16=gulf_year),IF(Gulf!AF16=1,"OK","Check"),"n/a")</f>
        <v/>
      </c>
      <c r="S16" s="47">
        <f>COUNTIF(B16:R16,"Check")</f>
        <v/>
      </c>
    </row>
    <row r="17">
      <c r="A17" s="58" t="n">
        <v>1857</v>
      </c>
      <c r="B17" s="80">
        <f>IF(ABS(People!L17-(People!B17+People!C17+People!D17+People!K17))&lt;1,"OK","Check")</f>
        <v/>
      </c>
      <c r="C17" s="80">
        <f>IF(ABS('Debt &amp; cash'!M17-'Debt &amp; cash'!E17)&lt;0.001,"OK","Check")</f>
        <v/>
      </c>
      <c r="D17" s="80">
        <f>IF('Debt &amp; cash'!S17&gt;=-0.001,"OK","Check")</f>
        <v/>
      </c>
      <c r="E17" s="81">
        <f>'Debt &amp; cash'!V17</f>
        <v/>
      </c>
      <c r="F17" s="80">
        <f>IF($A17&lt;1887,"n/a",IF(E17&lt;=cap_debt,"OK","Check"))</f>
        <v/>
      </c>
      <c r="G17" s="81">
        <f>'Debt &amp; cash'!W17</f>
        <v/>
      </c>
      <c r="H17" s="80">
        <f>IF($A17&lt;1887,"n/a",IF(G17&lt;=cap_int,"OK","Check"))</f>
        <v/>
      </c>
      <c r="I17" s="81">
        <f>Budget!AC17</f>
        <v/>
      </c>
      <c r="J17" s="80">
        <f>IF($A17&lt;1887,"n/a",IF(Paths!AC17=1,"War year",IF(I17&lt;=cap_def,"OK","Check")))</f>
        <v/>
      </c>
      <c r="K17" s="63">
        <f>'Debt &amp; cash'!Y17/Economy!O17</f>
        <v/>
      </c>
      <c r="L17" s="80">
        <f>IF('Debt &amp; cash'!Y17&lt;=mkt_capacity*Economy!O17+foreign_capacity,"OK","Check")</f>
        <v/>
      </c>
      <c r="M17" s="80">
        <f>IF($A17&lt;1900,"n/a",IF('Gold &amp; money'!K17&gt;=0,"OK","Check"))</f>
        <v/>
      </c>
      <c r="N17" s="81">
        <f>Japan!AA17</f>
        <v/>
      </c>
      <c r="O17" s="80">
        <f>IF(N17&lt;=1,"OK","Check")</f>
        <v/>
      </c>
      <c r="P17" s="80">
        <f>IF($A17&lt;1922,"n/a",IF(AND(Navy!AE17&gt;=0.95,Navy!AE17&lt;=1.1),"OK","Check"))</f>
        <v/>
      </c>
      <c r="Q17" s="80">
        <f>IF(Navy!Z17=0,"n/a",IF(Resources!K17&gt;=Navy!Z17,"OK","Check"))</f>
        <v/>
      </c>
      <c r="R17" s="80">
        <f>IF(AND(gulf_on=1,$A17=gulf_year),IF(Gulf!AF17=1,"OK","Check"),"n/a")</f>
        <v/>
      </c>
      <c r="S17" s="47">
        <f>COUNTIF(B17:R17,"Check")</f>
        <v/>
      </c>
    </row>
    <row r="18">
      <c r="A18" s="58" t="n">
        <v>1858</v>
      </c>
      <c r="B18" s="80">
        <f>IF(ABS(People!L18-(People!B18+People!C18+People!D18+People!K18))&lt;1,"OK","Check")</f>
        <v/>
      </c>
      <c r="C18" s="80">
        <f>IF(ABS('Debt &amp; cash'!M18-'Debt &amp; cash'!E18)&lt;0.001,"OK","Check")</f>
        <v/>
      </c>
      <c r="D18" s="80">
        <f>IF('Debt &amp; cash'!S18&gt;=-0.001,"OK","Check")</f>
        <v/>
      </c>
      <c r="E18" s="81">
        <f>'Debt &amp; cash'!V18</f>
        <v/>
      </c>
      <c r="F18" s="80">
        <f>IF($A18&lt;1887,"n/a",IF(E18&lt;=cap_debt,"OK","Check"))</f>
        <v/>
      </c>
      <c r="G18" s="81">
        <f>'Debt &amp; cash'!W18</f>
        <v/>
      </c>
      <c r="H18" s="80">
        <f>IF($A18&lt;1887,"n/a",IF(G18&lt;=cap_int,"OK","Check"))</f>
        <v/>
      </c>
      <c r="I18" s="81">
        <f>Budget!AC18</f>
        <v/>
      </c>
      <c r="J18" s="80">
        <f>IF($A18&lt;1887,"n/a",IF(Paths!AC18=1,"War year",IF(I18&lt;=cap_def,"OK","Check")))</f>
        <v/>
      </c>
      <c r="K18" s="63">
        <f>'Debt &amp; cash'!Y18/Economy!O18</f>
        <v/>
      </c>
      <c r="L18" s="80">
        <f>IF('Debt &amp; cash'!Y18&lt;=mkt_capacity*Economy!O18+foreign_capacity,"OK","Check")</f>
        <v/>
      </c>
      <c r="M18" s="80">
        <f>IF($A18&lt;1900,"n/a",IF('Gold &amp; money'!K18&gt;=0,"OK","Check"))</f>
        <v/>
      </c>
      <c r="N18" s="81">
        <f>Japan!AA18</f>
        <v/>
      </c>
      <c r="O18" s="80">
        <f>IF(N18&lt;=1,"OK","Check")</f>
        <v/>
      </c>
      <c r="P18" s="80">
        <f>IF($A18&lt;1922,"n/a",IF(AND(Navy!AE18&gt;=0.95,Navy!AE18&lt;=1.1),"OK","Check"))</f>
        <v/>
      </c>
      <c r="Q18" s="80">
        <f>IF(Navy!Z18=0,"n/a",IF(Resources!K18&gt;=Navy!Z18,"OK","Check"))</f>
        <v/>
      </c>
      <c r="R18" s="80">
        <f>IF(AND(gulf_on=1,$A18=gulf_year),IF(Gulf!AF18=1,"OK","Check"),"n/a")</f>
        <v/>
      </c>
      <c r="S18" s="47">
        <f>COUNTIF(B18:R18,"Check")</f>
        <v/>
      </c>
    </row>
    <row r="19">
      <c r="A19" s="58" t="n">
        <v>1859</v>
      </c>
      <c r="B19" s="80">
        <f>IF(ABS(People!L19-(People!B19+People!C19+People!D19+People!K19))&lt;1,"OK","Check")</f>
        <v/>
      </c>
      <c r="C19" s="80">
        <f>IF(ABS('Debt &amp; cash'!M19-'Debt &amp; cash'!E19)&lt;0.001,"OK","Check")</f>
        <v/>
      </c>
      <c r="D19" s="80">
        <f>IF('Debt &amp; cash'!S19&gt;=-0.001,"OK","Check")</f>
        <v/>
      </c>
      <c r="E19" s="81">
        <f>'Debt &amp; cash'!V19</f>
        <v/>
      </c>
      <c r="F19" s="80">
        <f>IF($A19&lt;1887,"n/a",IF(E19&lt;=cap_debt,"OK","Check"))</f>
        <v/>
      </c>
      <c r="G19" s="81">
        <f>'Debt &amp; cash'!W19</f>
        <v/>
      </c>
      <c r="H19" s="80">
        <f>IF($A19&lt;1887,"n/a",IF(G19&lt;=cap_int,"OK","Check"))</f>
        <v/>
      </c>
      <c r="I19" s="81">
        <f>Budget!AC19</f>
        <v/>
      </c>
      <c r="J19" s="80">
        <f>IF($A19&lt;1887,"n/a",IF(Paths!AC19=1,"War year",IF(I19&lt;=cap_def,"OK","Check")))</f>
        <v/>
      </c>
      <c r="K19" s="63">
        <f>'Debt &amp; cash'!Y19/Economy!O19</f>
        <v/>
      </c>
      <c r="L19" s="80">
        <f>IF('Debt &amp; cash'!Y19&lt;=mkt_capacity*Economy!O19+foreign_capacity,"OK","Check")</f>
        <v/>
      </c>
      <c r="M19" s="80">
        <f>IF($A19&lt;1900,"n/a",IF('Gold &amp; money'!K19&gt;=0,"OK","Check"))</f>
        <v/>
      </c>
      <c r="N19" s="81">
        <f>Japan!AA19</f>
        <v/>
      </c>
      <c r="O19" s="80">
        <f>IF(N19&lt;=1,"OK","Check")</f>
        <v/>
      </c>
      <c r="P19" s="80">
        <f>IF($A19&lt;1922,"n/a",IF(AND(Navy!AE19&gt;=0.95,Navy!AE19&lt;=1.1),"OK","Check"))</f>
        <v/>
      </c>
      <c r="Q19" s="80">
        <f>IF(Navy!Z19=0,"n/a",IF(Resources!K19&gt;=Navy!Z19,"OK","Check"))</f>
        <v/>
      </c>
      <c r="R19" s="80">
        <f>IF(AND(gulf_on=1,$A19=gulf_year),IF(Gulf!AF19=1,"OK","Check"),"n/a")</f>
        <v/>
      </c>
      <c r="S19" s="47">
        <f>COUNTIF(B19:R19,"Check")</f>
        <v/>
      </c>
    </row>
    <row r="20">
      <c r="A20" s="58" t="n">
        <v>1860</v>
      </c>
      <c r="B20" s="80">
        <f>IF(ABS(People!L20-(People!B20+People!C20+People!D20+People!K20))&lt;1,"OK","Check")</f>
        <v/>
      </c>
      <c r="C20" s="80">
        <f>IF(ABS('Debt &amp; cash'!M20-'Debt &amp; cash'!E20)&lt;0.001,"OK","Check")</f>
        <v/>
      </c>
      <c r="D20" s="80">
        <f>IF('Debt &amp; cash'!S20&gt;=-0.001,"OK","Check")</f>
        <v/>
      </c>
      <c r="E20" s="81">
        <f>'Debt &amp; cash'!V20</f>
        <v/>
      </c>
      <c r="F20" s="80">
        <f>IF($A20&lt;1887,"n/a",IF(E20&lt;=cap_debt,"OK","Check"))</f>
        <v/>
      </c>
      <c r="G20" s="81">
        <f>'Debt &amp; cash'!W20</f>
        <v/>
      </c>
      <c r="H20" s="80">
        <f>IF($A20&lt;1887,"n/a",IF(G20&lt;=cap_int,"OK","Check"))</f>
        <v/>
      </c>
      <c r="I20" s="81">
        <f>Budget!AC20</f>
        <v/>
      </c>
      <c r="J20" s="80">
        <f>IF($A20&lt;1887,"n/a",IF(Paths!AC20=1,"War year",IF(I20&lt;=cap_def,"OK","Check")))</f>
        <v/>
      </c>
      <c r="K20" s="63">
        <f>'Debt &amp; cash'!Y20/Economy!O20</f>
        <v/>
      </c>
      <c r="L20" s="80">
        <f>IF('Debt &amp; cash'!Y20&lt;=mkt_capacity*Economy!O20+foreign_capacity,"OK","Check")</f>
        <v/>
      </c>
      <c r="M20" s="80">
        <f>IF($A20&lt;1900,"n/a",IF('Gold &amp; money'!K20&gt;=0,"OK","Check"))</f>
        <v/>
      </c>
      <c r="N20" s="81">
        <f>Japan!AA20</f>
        <v/>
      </c>
      <c r="O20" s="80">
        <f>IF(N20&lt;=1,"OK","Check")</f>
        <v/>
      </c>
      <c r="P20" s="80">
        <f>IF($A20&lt;1922,"n/a",IF(AND(Navy!AE20&gt;=0.95,Navy!AE20&lt;=1.1),"OK","Check"))</f>
        <v/>
      </c>
      <c r="Q20" s="80">
        <f>IF(Navy!Z20=0,"n/a",IF(Resources!K20&gt;=Navy!Z20,"OK","Check"))</f>
        <v/>
      </c>
      <c r="R20" s="80">
        <f>IF(AND(gulf_on=1,$A20=gulf_year),IF(Gulf!AF20=1,"OK","Check"),"n/a")</f>
        <v/>
      </c>
      <c r="S20" s="47">
        <f>COUNTIF(B20:R20,"Check")</f>
        <v/>
      </c>
    </row>
    <row r="21">
      <c r="A21" s="61" t="n">
        <v>1861</v>
      </c>
      <c r="B21" s="80">
        <f>IF(ABS(People!L21-(People!B21+People!C21+People!D21+People!K21))&lt;1,"OK","Check")</f>
        <v/>
      </c>
      <c r="C21" s="80">
        <f>IF(ABS('Debt &amp; cash'!M21-'Debt &amp; cash'!E21)&lt;0.001,"OK","Check")</f>
        <v/>
      </c>
      <c r="D21" s="80">
        <f>IF('Debt &amp; cash'!S21&gt;=-0.001,"OK","Check")</f>
        <v/>
      </c>
      <c r="E21" s="81">
        <f>'Debt &amp; cash'!V21</f>
        <v/>
      </c>
      <c r="F21" s="80">
        <f>IF($A21&lt;1887,"n/a",IF(E21&lt;=cap_debt,"OK","Check"))</f>
        <v/>
      </c>
      <c r="G21" s="81">
        <f>'Debt &amp; cash'!W21</f>
        <v/>
      </c>
      <c r="H21" s="80">
        <f>IF($A21&lt;1887,"n/a",IF(G21&lt;=cap_int,"OK","Check"))</f>
        <v/>
      </c>
      <c r="I21" s="81">
        <f>Budget!AC21</f>
        <v/>
      </c>
      <c r="J21" s="80">
        <f>IF($A21&lt;1887,"n/a",IF(Paths!AC21=1,"War year",IF(I21&lt;=cap_def,"OK","Check")))</f>
        <v/>
      </c>
      <c r="K21" s="63">
        <f>'Debt &amp; cash'!Y21/Economy!O21</f>
        <v/>
      </c>
      <c r="L21" s="80">
        <f>IF('Debt &amp; cash'!Y21&lt;=mkt_capacity*Economy!O21+foreign_capacity,"OK","Check")</f>
        <v/>
      </c>
      <c r="M21" s="80">
        <f>IF($A21&lt;1900,"n/a",IF('Gold &amp; money'!K21&gt;=0,"OK","Check"))</f>
        <v/>
      </c>
      <c r="N21" s="81">
        <f>Japan!AA21</f>
        <v/>
      </c>
      <c r="O21" s="80">
        <f>IF(N21&lt;=1,"OK","Check")</f>
        <v/>
      </c>
      <c r="P21" s="80">
        <f>IF($A21&lt;1922,"n/a",IF(AND(Navy!AE21&gt;=0.95,Navy!AE21&lt;=1.1),"OK","Check"))</f>
        <v/>
      </c>
      <c r="Q21" s="80">
        <f>IF(Navy!Z21=0,"n/a",IF(Resources!K21&gt;=Navy!Z21,"OK","Check"))</f>
        <v/>
      </c>
      <c r="R21" s="80">
        <f>IF(AND(gulf_on=1,$A21=gulf_year),IF(Gulf!AF21=1,"OK","Check"),"n/a")</f>
        <v/>
      </c>
      <c r="S21" s="47">
        <f>COUNTIF(B21:R21,"Check")</f>
        <v/>
      </c>
    </row>
    <row r="22">
      <c r="A22" s="61" t="n">
        <v>1862</v>
      </c>
      <c r="B22" s="80">
        <f>IF(ABS(People!L22-(People!B22+People!C22+People!D22+People!K22))&lt;1,"OK","Check")</f>
        <v/>
      </c>
      <c r="C22" s="80">
        <f>IF(ABS('Debt &amp; cash'!M22-'Debt &amp; cash'!E22)&lt;0.001,"OK","Check")</f>
        <v/>
      </c>
      <c r="D22" s="80">
        <f>IF('Debt &amp; cash'!S22&gt;=-0.001,"OK","Check")</f>
        <v/>
      </c>
      <c r="E22" s="81">
        <f>'Debt &amp; cash'!V22</f>
        <v/>
      </c>
      <c r="F22" s="80">
        <f>IF($A22&lt;1887,"n/a",IF(E22&lt;=cap_debt,"OK","Check"))</f>
        <v/>
      </c>
      <c r="G22" s="81">
        <f>'Debt &amp; cash'!W22</f>
        <v/>
      </c>
      <c r="H22" s="80">
        <f>IF($A22&lt;1887,"n/a",IF(G22&lt;=cap_int,"OK","Check"))</f>
        <v/>
      </c>
      <c r="I22" s="81">
        <f>Budget!AC22</f>
        <v/>
      </c>
      <c r="J22" s="80">
        <f>IF($A22&lt;1887,"n/a",IF(Paths!AC22=1,"War year",IF(I22&lt;=cap_def,"OK","Check")))</f>
        <v/>
      </c>
      <c r="K22" s="63">
        <f>'Debt &amp; cash'!Y22/Economy!O22</f>
        <v/>
      </c>
      <c r="L22" s="80">
        <f>IF('Debt &amp; cash'!Y22&lt;=mkt_capacity*Economy!O22+foreign_capacity,"OK","Check")</f>
        <v/>
      </c>
      <c r="M22" s="80">
        <f>IF($A22&lt;1900,"n/a",IF('Gold &amp; money'!K22&gt;=0,"OK","Check"))</f>
        <v/>
      </c>
      <c r="N22" s="81">
        <f>Japan!AA22</f>
        <v/>
      </c>
      <c r="O22" s="80">
        <f>IF(N22&lt;=1,"OK","Check")</f>
        <v/>
      </c>
      <c r="P22" s="80">
        <f>IF($A22&lt;1922,"n/a",IF(AND(Navy!AE22&gt;=0.95,Navy!AE22&lt;=1.1),"OK","Check"))</f>
        <v/>
      </c>
      <c r="Q22" s="80">
        <f>IF(Navy!Z22=0,"n/a",IF(Resources!K22&gt;=Navy!Z22,"OK","Check"))</f>
        <v/>
      </c>
      <c r="R22" s="80">
        <f>IF(AND(gulf_on=1,$A22=gulf_year),IF(Gulf!AF22=1,"OK","Check"),"n/a")</f>
        <v/>
      </c>
      <c r="S22" s="47">
        <f>COUNTIF(B22:R22,"Check")</f>
        <v/>
      </c>
    </row>
    <row r="23">
      <c r="A23" s="61" t="n">
        <v>1863</v>
      </c>
      <c r="B23" s="80">
        <f>IF(ABS(People!L23-(People!B23+People!C23+People!D23+People!K23))&lt;1,"OK","Check")</f>
        <v/>
      </c>
      <c r="C23" s="80">
        <f>IF(ABS('Debt &amp; cash'!M23-'Debt &amp; cash'!E23)&lt;0.001,"OK","Check")</f>
        <v/>
      </c>
      <c r="D23" s="80">
        <f>IF('Debt &amp; cash'!S23&gt;=-0.001,"OK","Check")</f>
        <v/>
      </c>
      <c r="E23" s="81">
        <f>'Debt &amp; cash'!V23</f>
        <v/>
      </c>
      <c r="F23" s="80">
        <f>IF($A23&lt;1887,"n/a",IF(E23&lt;=cap_debt,"OK","Check"))</f>
        <v/>
      </c>
      <c r="G23" s="81">
        <f>'Debt &amp; cash'!W23</f>
        <v/>
      </c>
      <c r="H23" s="80">
        <f>IF($A23&lt;1887,"n/a",IF(G23&lt;=cap_int,"OK","Check"))</f>
        <v/>
      </c>
      <c r="I23" s="81">
        <f>Budget!AC23</f>
        <v/>
      </c>
      <c r="J23" s="80">
        <f>IF($A23&lt;1887,"n/a",IF(Paths!AC23=1,"War year",IF(I23&lt;=cap_def,"OK","Check")))</f>
        <v/>
      </c>
      <c r="K23" s="63">
        <f>'Debt &amp; cash'!Y23/Economy!O23</f>
        <v/>
      </c>
      <c r="L23" s="80">
        <f>IF('Debt &amp; cash'!Y23&lt;=mkt_capacity*Economy!O23+foreign_capacity,"OK","Check")</f>
        <v/>
      </c>
      <c r="M23" s="80">
        <f>IF($A23&lt;1900,"n/a",IF('Gold &amp; money'!K23&gt;=0,"OK","Check"))</f>
        <v/>
      </c>
      <c r="N23" s="81">
        <f>Japan!AA23</f>
        <v/>
      </c>
      <c r="O23" s="80">
        <f>IF(N23&lt;=1,"OK","Check")</f>
        <v/>
      </c>
      <c r="P23" s="80">
        <f>IF($A23&lt;1922,"n/a",IF(AND(Navy!AE23&gt;=0.95,Navy!AE23&lt;=1.1),"OK","Check"))</f>
        <v/>
      </c>
      <c r="Q23" s="80">
        <f>IF(Navy!Z23=0,"n/a",IF(Resources!K23&gt;=Navy!Z23,"OK","Check"))</f>
        <v/>
      </c>
      <c r="R23" s="80">
        <f>IF(AND(gulf_on=1,$A23=gulf_year),IF(Gulf!AF23=1,"OK","Check"),"n/a")</f>
        <v/>
      </c>
      <c r="S23" s="47">
        <f>COUNTIF(B23:R23,"Check")</f>
        <v/>
      </c>
    </row>
    <row r="24">
      <c r="A24" s="61" t="n">
        <v>1864</v>
      </c>
      <c r="B24" s="80">
        <f>IF(ABS(People!L24-(People!B24+People!C24+People!D24+People!K24))&lt;1,"OK","Check")</f>
        <v/>
      </c>
      <c r="C24" s="80">
        <f>IF(ABS('Debt &amp; cash'!M24-'Debt &amp; cash'!E24)&lt;0.001,"OK","Check")</f>
        <v/>
      </c>
      <c r="D24" s="80">
        <f>IF('Debt &amp; cash'!S24&gt;=-0.001,"OK","Check")</f>
        <v/>
      </c>
      <c r="E24" s="81">
        <f>'Debt &amp; cash'!V24</f>
        <v/>
      </c>
      <c r="F24" s="80">
        <f>IF($A24&lt;1887,"n/a",IF(E24&lt;=cap_debt,"OK","Check"))</f>
        <v/>
      </c>
      <c r="G24" s="81">
        <f>'Debt &amp; cash'!W24</f>
        <v/>
      </c>
      <c r="H24" s="80">
        <f>IF($A24&lt;1887,"n/a",IF(G24&lt;=cap_int,"OK","Check"))</f>
        <v/>
      </c>
      <c r="I24" s="81">
        <f>Budget!AC24</f>
        <v/>
      </c>
      <c r="J24" s="80">
        <f>IF($A24&lt;1887,"n/a",IF(Paths!AC24=1,"War year",IF(I24&lt;=cap_def,"OK","Check")))</f>
        <v/>
      </c>
      <c r="K24" s="63">
        <f>'Debt &amp; cash'!Y24/Economy!O24</f>
        <v/>
      </c>
      <c r="L24" s="80">
        <f>IF('Debt &amp; cash'!Y24&lt;=mkt_capacity*Economy!O24+foreign_capacity,"OK","Check")</f>
        <v/>
      </c>
      <c r="M24" s="80">
        <f>IF($A24&lt;1900,"n/a",IF('Gold &amp; money'!K24&gt;=0,"OK","Check"))</f>
        <v/>
      </c>
      <c r="N24" s="81">
        <f>Japan!AA24</f>
        <v/>
      </c>
      <c r="O24" s="80">
        <f>IF(N24&lt;=1,"OK","Check")</f>
        <v/>
      </c>
      <c r="P24" s="80">
        <f>IF($A24&lt;1922,"n/a",IF(AND(Navy!AE24&gt;=0.95,Navy!AE24&lt;=1.1),"OK","Check"))</f>
        <v/>
      </c>
      <c r="Q24" s="80">
        <f>IF(Navy!Z24=0,"n/a",IF(Resources!K24&gt;=Navy!Z24,"OK","Check"))</f>
        <v/>
      </c>
      <c r="R24" s="80">
        <f>IF(AND(gulf_on=1,$A24=gulf_year),IF(Gulf!AF24=1,"OK","Check"),"n/a")</f>
        <v/>
      </c>
      <c r="S24" s="47">
        <f>COUNTIF(B24:R24,"Check")</f>
        <v/>
      </c>
    </row>
    <row r="25">
      <c r="A25" s="61" t="n">
        <v>1865</v>
      </c>
      <c r="B25" s="80">
        <f>IF(ABS(People!L25-(People!B25+People!C25+People!D25+People!K25))&lt;1,"OK","Check")</f>
        <v/>
      </c>
      <c r="C25" s="80">
        <f>IF(ABS('Debt &amp; cash'!M25-'Debt &amp; cash'!E25)&lt;0.001,"OK","Check")</f>
        <v/>
      </c>
      <c r="D25" s="80">
        <f>IF('Debt &amp; cash'!S25&gt;=-0.001,"OK","Check")</f>
        <v/>
      </c>
      <c r="E25" s="81">
        <f>'Debt &amp; cash'!V25</f>
        <v/>
      </c>
      <c r="F25" s="80">
        <f>IF($A25&lt;1887,"n/a",IF(E25&lt;=cap_debt,"OK","Check"))</f>
        <v/>
      </c>
      <c r="G25" s="81">
        <f>'Debt &amp; cash'!W25</f>
        <v/>
      </c>
      <c r="H25" s="80">
        <f>IF($A25&lt;1887,"n/a",IF(G25&lt;=cap_int,"OK","Check"))</f>
        <v/>
      </c>
      <c r="I25" s="81">
        <f>Budget!AC25</f>
        <v/>
      </c>
      <c r="J25" s="80">
        <f>IF($A25&lt;1887,"n/a",IF(Paths!AC25=1,"War year",IF(I25&lt;=cap_def,"OK","Check")))</f>
        <v/>
      </c>
      <c r="K25" s="63">
        <f>'Debt &amp; cash'!Y25/Economy!O25</f>
        <v/>
      </c>
      <c r="L25" s="80">
        <f>IF('Debt &amp; cash'!Y25&lt;=mkt_capacity*Economy!O25+foreign_capacity,"OK","Check")</f>
        <v/>
      </c>
      <c r="M25" s="80">
        <f>IF($A25&lt;1900,"n/a",IF('Gold &amp; money'!K25&gt;=0,"OK","Check"))</f>
        <v/>
      </c>
      <c r="N25" s="81">
        <f>Japan!AA25</f>
        <v/>
      </c>
      <c r="O25" s="80">
        <f>IF(N25&lt;=1,"OK","Check")</f>
        <v/>
      </c>
      <c r="P25" s="80">
        <f>IF($A25&lt;1922,"n/a",IF(AND(Navy!AE25&gt;=0.95,Navy!AE25&lt;=1.1),"OK","Check"))</f>
        <v/>
      </c>
      <c r="Q25" s="80">
        <f>IF(Navy!Z25=0,"n/a",IF(Resources!K25&gt;=Navy!Z25,"OK","Check"))</f>
        <v/>
      </c>
      <c r="R25" s="80">
        <f>IF(AND(gulf_on=1,$A25=gulf_year),IF(Gulf!AF25=1,"OK","Check"),"n/a")</f>
        <v/>
      </c>
      <c r="S25" s="47">
        <f>COUNTIF(B25:R25,"Check")</f>
        <v/>
      </c>
    </row>
    <row r="26">
      <c r="A26" s="58" t="n">
        <v>1866</v>
      </c>
      <c r="B26" s="80">
        <f>IF(ABS(People!L26-(People!B26+People!C26+People!D26+People!K26))&lt;1,"OK","Check")</f>
        <v/>
      </c>
      <c r="C26" s="80">
        <f>IF(ABS('Debt &amp; cash'!M26-'Debt &amp; cash'!E26)&lt;0.001,"OK","Check")</f>
        <v/>
      </c>
      <c r="D26" s="80">
        <f>IF('Debt &amp; cash'!S26&gt;=-0.001,"OK","Check")</f>
        <v/>
      </c>
      <c r="E26" s="81">
        <f>'Debt &amp; cash'!V26</f>
        <v/>
      </c>
      <c r="F26" s="80">
        <f>IF($A26&lt;1887,"n/a",IF(E26&lt;=cap_debt,"OK","Check"))</f>
        <v/>
      </c>
      <c r="G26" s="81">
        <f>'Debt &amp; cash'!W26</f>
        <v/>
      </c>
      <c r="H26" s="80">
        <f>IF($A26&lt;1887,"n/a",IF(G26&lt;=cap_int,"OK","Check"))</f>
        <v/>
      </c>
      <c r="I26" s="81">
        <f>Budget!AC26</f>
        <v/>
      </c>
      <c r="J26" s="80">
        <f>IF($A26&lt;1887,"n/a",IF(Paths!AC26=1,"War year",IF(I26&lt;=cap_def,"OK","Check")))</f>
        <v/>
      </c>
      <c r="K26" s="63">
        <f>'Debt &amp; cash'!Y26/Economy!O26</f>
        <v/>
      </c>
      <c r="L26" s="80">
        <f>IF('Debt &amp; cash'!Y26&lt;=mkt_capacity*Economy!O26+foreign_capacity,"OK","Check")</f>
        <v/>
      </c>
      <c r="M26" s="80">
        <f>IF($A26&lt;1900,"n/a",IF('Gold &amp; money'!K26&gt;=0,"OK","Check"))</f>
        <v/>
      </c>
      <c r="N26" s="81">
        <f>Japan!AA26</f>
        <v/>
      </c>
      <c r="O26" s="80">
        <f>IF(N26&lt;=1,"OK","Check")</f>
        <v/>
      </c>
      <c r="P26" s="80">
        <f>IF($A26&lt;1922,"n/a",IF(AND(Navy!AE26&gt;=0.95,Navy!AE26&lt;=1.1),"OK","Check"))</f>
        <v/>
      </c>
      <c r="Q26" s="80">
        <f>IF(Navy!Z26=0,"n/a",IF(Resources!K26&gt;=Navy!Z26,"OK","Check"))</f>
        <v/>
      </c>
      <c r="R26" s="80">
        <f>IF(AND(gulf_on=1,$A26=gulf_year),IF(Gulf!AF26=1,"OK","Check"),"n/a")</f>
        <v/>
      </c>
      <c r="S26" s="47">
        <f>COUNTIF(B26:R26,"Check")</f>
        <v/>
      </c>
    </row>
    <row r="27">
      <c r="A27" s="58" t="n">
        <v>1867</v>
      </c>
      <c r="B27" s="80">
        <f>IF(ABS(People!L27-(People!B27+People!C27+People!D27+People!K27))&lt;1,"OK","Check")</f>
        <v/>
      </c>
      <c r="C27" s="80">
        <f>IF(ABS('Debt &amp; cash'!M27-'Debt &amp; cash'!E27)&lt;0.001,"OK","Check")</f>
        <v/>
      </c>
      <c r="D27" s="80">
        <f>IF('Debt &amp; cash'!S27&gt;=-0.001,"OK","Check")</f>
        <v/>
      </c>
      <c r="E27" s="81">
        <f>'Debt &amp; cash'!V27</f>
        <v/>
      </c>
      <c r="F27" s="80">
        <f>IF($A27&lt;1887,"n/a",IF(E27&lt;=cap_debt,"OK","Check"))</f>
        <v/>
      </c>
      <c r="G27" s="81">
        <f>'Debt &amp; cash'!W27</f>
        <v/>
      </c>
      <c r="H27" s="80">
        <f>IF($A27&lt;1887,"n/a",IF(G27&lt;=cap_int,"OK","Check"))</f>
        <v/>
      </c>
      <c r="I27" s="81">
        <f>Budget!AC27</f>
        <v/>
      </c>
      <c r="J27" s="80">
        <f>IF($A27&lt;1887,"n/a",IF(Paths!AC27=1,"War year",IF(I27&lt;=cap_def,"OK","Check")))</f>
        <v/>
      </c>
      <c r="K27" s="63">
        <f>'Debt &amp; cash'!Y27/Economy!O27</f>
        <v/>
      </c>
      <c r="L27" s="80">
        <f>IF('Debt &amp; cash'!Y27&lt;=mkt_capacity*Economy!O27+foreign_capacity,"OK","Check")</f>
        <v/>
      </c>
      <c r="M27" s="80">
        <f>IF($A27&lt;1900,"n/a",IF('Gold &amp; money'!K27&gt;=0,"OK","Check"))</f>
        <v/>
      </c>
      <c r="N27" s="81">
        <f>Japan!AA27</f>
        <v/>
      </c>
      <c r="O27" s="80">
        <f>IF(N27&lt;=1,"OK","Check")</f>
        <v/>
      </c>
      <c r="P27" s="80">
        <f>IF($A27&lt;1922,"n/a",IF(AND(Navy!AE27&gt;=0.95,Navy!AE27&lt;=1.1),"OK","Check"))</f>
        <v/>
      </c>
      <c r="Q27" s="80">
        <f>IF(Navy!Z27=0,"n/a",IF(Resources!K27&gt;=Navy!Z27,"OK","Check"))</f>
        <v/>
      </c>
      <c r="R27" s="80">
        <f>IF(AND(gulf_on=1,$A27=gulf_year),IF(Gulf!AF27=1,"OK","Check"),"n/a")</f>
        <v/>
      </c>
      <c r="S27" s="47">
        <f>COUNTIF(B27:R27,"Check")</f>
        <v/>
      </c>
    </row>
    <row r="28">
      <c r="A28" s="58" t="n">
        <v>1868</v>
      </c>
      <c r="B28" s="80">
        <f>IF(ABS(People!L28-(People!B28+People!C28+People!D28+People!K28))&lt;1,"OK","Check")</f>
        <v/>
      </c>
      <c r="C28" s="80">
        <f>IF(ABS('Debt &amp; cash'!M28-'Debt &amp; cash'!E28)&lt;0.001,"OK","Check")</f>
        <v/>
      </c>
      <c r="D28" s="80">
        <f>IF('Debt &amp; cash'!S28&gt;=-0.001,"OK","Check")</f>
        <v/>
      </c>
      <c r="E28" s="81">
        <f>'Debt &amp; cash'!V28</f>
        <v/>
      </c>
      <c r="F28" s="80">
        <f>IF($A28&lt;1887,"n/a",IF(E28&lt;=cap_debt,"OK","Check"))</f>
        <v/>
      </c>
      <c r="G28" s="81">
        <f>'Debt &amp; cash'!W28</f>
        <v/>
      </c>
      <c r="H28" s="80">
        <f>IF($A28&lt;1887,"n/a",IF(G28&lt;=cap_int,"OK","Check"))</f>
        <v/>
      </c>
      <c r="I28" s="81">
        <f>Budget!AC28</f>
        <v/>
      </c>
      <c r="J28" s="80">
        <f>IF($A28&lt;1887,"n/a",IF(Paths!AC28=1,"War year",IF(I28&lt;=cap_def,"OK","Check")))</f>
        <v/>
      </c>
      <c r="K28" s="63">
        <f>'Debt &amp; cash'!Y28/Economy!O28</f>
        <v/>
      </c>
      <c r="L28" s="80">
        <f>IF('Debt &amp; cash'!Y28&lt;=mkt_capacity*Economy!O28+foreign_capacity,"OK","Check")</f>
        <v/>
      </c>
      <c r="M28" s="80">
        <f>IF($A28&lt;1900,"n/a",IF('Gold &amp; money'!K28&gt;=0,"OK","Check"))</f>
        <v/>
      </c>
      <c r="N28" s="81">
        <f>Japan!AA28</f>
        <v/>
      </c>
      <c r="O28" s="80">
        <f>IF(N28&lt;=1,"OK","Check")</f>
        <v/>
      </c>
      <c r="P28" s="80">
        <f>IF($A28&lt;1922,"n/a",IF(AND(Navy!AE28&gt;=0.95,Navy!AE28&lt;=1.1),"OK","Check"))</f>
        <v/>
      </c>
      <c r="Q28" s="80">
        <f>IF(Navy!Z28=0,"n/a",IF(Resources!K28&gt;=Navy!Z28,"OK","Check"))</f>
        <v/>
      </c>
      <c r="R28" s="80">
        <f>IF(AND(gulf_on=1,$A28=gulf_year),IF(Gulf!AF28=1,"OK","Check"),"n/a")</f>
        <v/>
      </c>
      <c r="S28" s="47">
        <f>COUNTIF(B28:R28,"Check")</f>
        <v/>
      </c>
    </row>
    <row r="29">
      <c r="A29" s="58" t="n">
        <v>1869</v>
      </c>
      <c r="B29" s="80">
        <f>IF(ABS(People!L29-(People!B29+People!C29+People!D29+People!K29))&lt;1,"OK","Check")</f>
        <v/>
      </c>
      <c r="C29" s="80">
        <f>IF(ABS('Debt &amp; cash'!M29-'Debt &amp; cash'!E29)&lt;0.001,"OK","Check")</f>
        <v/>
      </c>
      <c r="D29" s="80">
        <f>IF('Debt &amp; cash'!S29&gt;=-0.001,"OK","Check")</f>
        <v/>
      </c>
      <c r="E29" s="81">
        <f>'Debt &amp; cash'!V29</f>
        <v/>
      </c>
      <c r="F29" s="80">
        <f>IF($A29&lt;1887,"n/a",IF(E29&lt;=cap_debt,"OK","Check"))</f>
        <v/>
      </c>
      <c r="G29" s="81">
        <f>'Debt &amp; cash'!W29</f>
        <v/>
      </c>
      <c r="H29" s="80">
        <f>IF($A29&lt;1887,"n/a",IF(G29&lt;=cap_int,"OK","Check"))</f>
        <v/>
      </c>
      <c r="I29" s="81">
        <f>Budget!AC29</f>
        <v/>
      </c>
      <c r="J29" s="80">
        <f>IF($A29&lt;1887,"n/a",IF(Paths!AC29=1,"War year",IF(I29&lt;=cap_def,"OK","Check")))</f>
        <v/>
      </c>
      <c r="K29" s="63">
        <f>'Debt &amp; cash'!Y29/Economy!O29</f>
        <v/>
      </c>
      <c r="L29" s="80">
        <f>IF('Debt &amp; cash'!Y29&lt;=mkt_capacity*Economy!O29+foreign_capacity,"OK","Check")</f>
        <v/>
      </c>
      <c r="M29" s="80">
        <f>IF($A29&lt;1900,"n/a",IF('Gold &amp; money'!K29&gt;=0,"OK","Check"))</f>
        <v/>
      </c>
      <c r="N29" s="81">
        <f>Japan!AA29</f>
        <v/>
      </c>
      <c r="O29" s="80">
        <f>IF(N29&lt;=1,"OK","Check")</f>
        <v/>
      </c>
      <c r="P29" s="80">
        <f>IF($A29&lt;1922,"n/a",IF(AND(Navy!AE29&gt;=0.95,Navy!AE29&lt;=1.1),"OK","Check"))</f>
        <v/>
      </c>
      <c r="Q29" s="80">
        <f>IF(Navy!Z29=0,"n/a",IF(Resources!K29&gt;=Navy!Z29,"OK","Check"))</f>
        <v/>
      </c>
      <c r="R29" s="80">
        <f>IF(AND(gulf_on=1,$A29=gulf_year),IF(Gulf!AF29=1,"OK","Check"),"n/a")</f>
        <v/>
      </c>
      <c r="S29" s="47">
        <f>COUNTIF(B29:R29,"Check")</f>
        <v/>
      </c>
    </row>
    <row r="30">
      <c r="A30" s="61" t="n">
        <v>1870</v>
      </c>
      <c r="B30" s="80">
        <f>IF(ABS(People!L30-(People!B30+People!C30+People!D30+People!K30))&lt;1,"OK","Check")</f>
        <v/>
      </c>
      <c r="C30" s="80">
        <f>IF(ABS('Debt &amp; cash'!M30-'Debt &amp; cash'!E30)&lt;0.001,"OK","Check")</f>
        <v/>
      </c>
      <c r="D30" s="80">
        <f>IF('Debt &amp; cash'!S30&gt;=-0.001,"OK","Check")</f>
        <v/>
      </c>
      <c r="E30" s="81">
        <f>'Debt &amp; cash'!V30</f>
        <v/>
      </c>
      <c r="F30" s="80">
        <f>IF($A30&lt;1887,"n/a",IF(E30&lt;=cap_debt,"OK","Check"))</f>
        <v/>
      </c>
      <c r="G30" s="81">
        <f>'Debt &amp; cash'!W30</f>
        <v/>
      </c>
      <c r="H30" s="80">
        <f>IF($A30&lt;1887,"n/a",IF(G30&lt;=cap_int,"OK","Check"))</f>
        <v/>
      </c>
      <c r="I30" s="81">
        <f>Budget!AC30</f>
        <v/>
      </c>
      <c r="J30" s="80">
        <f>IF($A30&lt;1887,"n/a",IF(Paths!AC30=1,"War year",IF(I30&lt;=cap_def,"OK","Check")))</f>
        <v/>
      </c>
      <c r="K30" s="63">
        <f>'Debt &amp; cash'!Y30/Economy!O30</f>
        <v/>
      </c>
      <c r="L30" s="80">
        <f>IF('Debt &amp; cash'!Y30&lt;=mkt_capacity*Economy!O30+foreign_capacity,"OK","Check")</f>
        <v/>
      </c>
      <c r="M30" s="80">
        <f>IF($A30&lt;1900,"n/a",IF('Gold &amp; money'!K30&gt;=0,"OK","Check"))</f>
        <v/>
      </c>
      <c r="N30" s="81">
        <f>Japan!AA30</f>
        <v/>
      </c>
      <c r="O30" s="80">
        <f>IF(N30&lt;=1,"OK","Check")</f>
        <v/>
      </c>
      <c r="P30" s="80">
        <f>IF($A30&lt;1922,"n/a",IF(AND(Navy!AE30&gt;=0.95,Navy!AE30&lt;=1.1),"OK","Check"))</f>
        <v/>
      </c>
      <c r="Q30" s="80">
        <f>IF(Navy!Z30=0,"n/a",IF(Resources!K30&gt;=Navy!Z30,"OK","Check"))</f>
        <v/>
      </c>
      <c r="R30" s="80">
        <f>IF(AND(gulf_on=1,$A30=gulf_year),IF(Gulf!AF30=1,"OK","Check"),"n/a")</f>
        <v/>
      </c>
      <c r="S30" s="47">
        <f>COUNTIF(B30:R30,"Check")</f>
        <v/>
      </c>
    </row>
    <row r="31">
      <c r="A31" s="61" t="n">
        <v>1871</v>
      </c>
      <c r="B31" s="80">
        <f>IF(ABS(People!L31-(People!B31+People!C31+People!D31+People!K31))&lt;1,"OK","Check")</f>
        <v/>
      </c>
      <c r="C31" s="80">
        <f>IF(ABS('Debt &amp; cash'!M31-'Debt &amp; cash'!E31)&lt;0.001,"OK","Check")</f>
        <v/>
      </c>
      <c r="D31" s="80">
        <f>IF('Debt &amp; cash'!S31&gt;=-0.001,"OK","Check")</f>
        <v/>
      </c>
      <c r="E31" s="81">
        <f>'Debt &amp; cash'!V31</f>
        <v/>
      </c>
      <c r="F31" s="80">
        <f>IF($A31&lt;1887,"n/a",IF(E31&lt;=cap_debt,"OK","Check"))</f>
        <v/>
      </c>
      <c r="G31" s="81">
        <f>'Debt &amp; cash'!W31</f>
        <v/>
      </c>
      <c r="H31" s="80">
        <f>IF($A31&lt;1887,"n/a",IF(G31&lt;=cap_int,"OK","Check"))</f>
        <v/>
      </c>
      <c r="I31" s="81">
        <f>Budget!AC31</f>
        <v/>
      </c>
      <c r="J31" s="80">
        <f>IF($A31&lt;1887,"n/a",IF(Paths!AC31=1,"War year",IF(I31&lt;=cap_def,"OK","Check")))</f>
        <v/>
      </c>
      <c r="K31" s="63">
        <f>'Debt &amp; cash'!Y31/Economy!O31</f>
        <v/>
      </c>
      <c r="L31" s="80">
        <f>IF('Debt &amp; cash'!Y31&lt;=mkt_capacity*Economy!O31+foreign_capacity,"OK","Check")</f>
        <v/>
      </c>
      <c r="M31" s="80">
        <f>IF($A31&lt;1900,"n/a",IF('Gold &amp; money'!K31&gt;=0,"OK","Check"))</f>
        <v/>
      </c>
      <c r="N31" s="81">
        <f>Japan!AA31</f>
        <v/>
      </c>
      <c r="O31" s="80">
        <f>IF(N31&lt;=1,"OK","Check")</f>
        <v/>
      </c>
      <c r="P31" s="80">
        <f>IF($A31&lt;1922,"n/a",IF(AND(Navy!AE31&gt;=0.95,Navy!AE31&lt;=1.1),"OK","Check"))</f>
        <v/>
      </c>
      <c r="Q31" s="80">
        <f>IF(Navy!Z31=0,"n/a",IF(Resources!K31&gt;=Navy!Z31,"OK","Check"))</f>
        <v/>
      </c>
      <c r="R31" s="80">
        <f>IF(AND(gulf_on=1,$A31=gulf_year),IF(Gulf!AF31=1,"OK","Check"),"n/a")</f>
        <v/>
      </c>
      <c r="S31" s="47">
        <f>COUNTIF(B31:R31,"Check")</f>
        <v/>
      </c>
    </row>
    <row r="32">
      <c r="A32" s="58" t="n">
        <v>1872</v>
      </c>
      <c r="B32" s="80">
        <f>IF(ABS(People!L32-(People!B32+People!C32+People!D32+People!K32))&lt;1,"OK","Check")</f>
        <v/>
      </c>
      <c r="C32" s="80">
        <f>IF(ABS('Debt &amp; cash'!M32-'Debt &amp; cash'!E32)&lt;0.001,"OK","Check")</f>
        <v/>
      </c>
      <c r="D32" s="80">
        <f>IF('Debt &amp; cash'!S32&gt;=-0.001,"OK","Check")</f>
        <v/>
      </c>
      <c r="E32" s="81">
        <f>'Debt &amp; cash'!V32</f>
        <v/>
      </c>
      <c r="F32" s="80">
        <f>IF($A32&lt;1887,"n/a",IF(E32&lt;=cap_debt,"OK","Check"))</f>
        <v/>
      </c>
      <c r="G32" s="81">
        <f>'Debt &amp; cash'!W32</f>
        <v/>
      </c>
      <c r="H32" s="80">
        <f>IF($A32&lt;1887,"n/a",IF(G32&lt;=cap_int,"OK","Check"))</f>
        <v/>
      </c>
      <c r="I32" s="81">
        <f>Budget!AC32</f>
        <v/>
      </c>
      <c r="J32" s="80">
        <f>IF($A32&lt;1887,"n/a",IF(Paths!AC32=1,"War year",IF(I32&lt;=cap_def,"OK","Check")))</f>
        <v/>
      </c>
      <c r="K32" s="63">
        <f>'Debt &amp; cash'!Y32/Economy!O32</f>
        <v/>
      </c>
      <c r="L32" s="80">
        <f>IF('Debt &amp; cash'!Y32&lt;=mkt_capacity*Economy!O32+foreign_capacity,"OK","Check")</f>
        <v/>
      </c>
      <c r="M32" s="80">
        <f>IF($A32&lt;1900,"n/a",IF('Gold &amp; money'!K32&gt;=0,"OK","Check"))</f>
        <v/>
      </c>
      <c r="N32" s="81">
        <f>Japan!AA32</f>
        <v/>
      </c>
      <c r="O32" s="80">
        <f>IF(N32&lt;=1,"OK","Check")</f>
        <v/>
      </c>
      <c r="P32" s="80">
        <f>IF($A32&lt;1922,"n/a",IF(AND(Navy!AE32&gt;=0.95,Navy!AE32&lt;=1.1),"OK","Check"))</f>
        <v/>
      </c>
      <c r="Q32" s="80">
        <f>IF(Navy!Z32=0,"n/a",IF(Resources!K32&gt;=Navy!Z32,"OK","Check"))</f>
        <v/>
      </c>
      <c r="R32" s="80">
        <f>IF(AND(gulf_on=1,$A32=gulf_year),IF(Gulf!AF32=1,"OK","Check"),"n/a")</f>
        <v/>
      </c>
      <c r="S32" s="47">
        <f>COUNTIF(B32:R32,"Check")</f>
        <v/>
      </c>
    </row>
    <row r="33">
      <c r="A33" s="58" t="n">
        <v>1873</v>
      </c>
      <c r="B33" s="80">
        <f>IF(ABS(People!L33-(People!B33+People!C33+People!D33+People!K33))&lt;1,"OK","Check")</f>
        <v/>
      </c>
      <c r="C33" s="80">
        <f>IF(ABS('Debt &amp; cash'!M33-'Debt &amp; cash'!E33)&lt;0.001,"OK","Check")</f>
        <v/>
      </c>
      <c r="D33" s="80">
        <f>IF('Debt &amp; cash'!S33&gt;=-0.001,"OK","Check")</f>
        <v/>
      </c>
      <c r="E33" s="81">
        <f>'Debt &amp; cash'!V33</f>
        <v/>
      </c>
      <c r="F33" s="80">
        <f>IF($A33&lt;1887,"n/a",IF(E33&lt;=cap_debt,"OK","Check"))</f>
        <v/>
      </c>
      <c r="G33" s="81">
        <f>'Debt &amp; cash'!W33</f>
        <v/>
      </c>
      <c r="H33" s="80">
        <f>IF($A33&lt;1887,"n/a",IF(G33&lt;=cap_int,"OK","Check"))</f>
        <v/>
      </c>
      <c r="I33" s="81">
        <f>Budget!AC33</f>
        <v/>
      </c>
      <c r="J33" s="80">
        <f>IF($A33&lt;1887,"n/a",IF(Paths!AC33=1,"War year",IF(I33&lt;=cap_def,"OK","Check")))</f>
        <v/>
      </c>
      <c r="K33" s="63">
        <f>'Debt &amp; cash'!Y33/Economy!O33</f>
        <v/>
      </c>
      <c r="L33" s="80">
        <f>IF('Debt &amp; cash'!Y33&lt;=mkt_capacity*Economy!O33+foreign_capacity,"OK","Check")</f>
        <v/>
      </c>
      <c r="M33" s="80">
        <f>IF($A33&lt;1900,"n/a",IF('Gold &amp; money'!K33&gt;=0,"OK","Check"))</f>
        <v/>
      </c>
      <c r="N33" s="81">
        <f>Japan!AA33</f>
        <v/>
      </c>
      <c r="O33" s="80">
        <f>IF(N33&lt;=1,"OK","Check")</f>
        <v/>
      </c>
      <c r="P33" s="80">
        <f>IF($A33&lt;1922,"n/a",IF(AND(Navy!AE33&gt;=0.95,Navy!AE33&lt;=1.1),"OK","Check"))</f>
        <v/>
      </c>
      <c r="Q33" s="80">
        <f>IF(Navy!Z33=0,"n/a",IF(Resources!K33&gt;=Navy!Z33,"OK","Check"))</f>
        <v/>
      </c>
      <c r="R33" s="80">
        <f>IF(AND(gulf_on=1,$A33=gulf_year),IF(Gulf!AF33=1,"OK","Check"),"n/a")</f>
        <v/>
      </c>
      <c r="S33" s="47">
        <f>COUNTIF(B33:R33,"Check")</f>
        <v/>
      </c>
    </row>
    <row r="34">
      <c r="A34" s="58" t="n">
        <v>1874</v>
      </c>
      <c r="B34" s="80">
        <f>IF(ABS(People!L34-(People!B34+People!C34+People!D34+People!K34))&lt;1,"OK","Check")</f>
        <v/>
      </c>
      <c r="C34" s="80">
        <f>IF(ABS('Debt &amp; cash'!M34-'Debt &amp; cash'!E34)&lt;0.001,"OK","Check")</f>
        <v/>
      </c>
      <c r="D34" s="80">
        <f>IF('Debt &amp; cash'!S34&gt;=-0.001,"OK","Check")</f>
        <v/>
      </c>
      <c r="E34" s="81">
        <f>'Debt &amp; cash'!V34</f>
        <v/>
      </c>
      <c r="F34" s="80">
        <f>IF($A34&lt;1887,"n/a",IF(E34&lt;=cap_debt,"OK","Check"))</f>
        <v/>
      </c>
      <c r="G34" s="81">
        <f>'Debt &amp; cash'!W34</f>
        <v/>
      </c>
      <c r="H34" s="80">
        <f>IF($A34&lt;1887,"n/a",IF(G34&lt;=cap_int,"OK","Check"))</f>
        <v/>
      </c>
      <c r="I34" s="81">
        <f>Budget!AC34</f>
        <v/>
      </c>
      <c r="J34" s="80">
        <f>IF($A34&lt;1887,"n/a",IF(Paths!AC34=1,"War year",IF(I34&lt;=cap_def,"OK","Check")))</f>
        <v/>
      </c>
      <c r="K34" s="63">
        <f>'Debt &amp; cash'!Y34/Economy!O34</f>
        <v/>
      </c>
      <c r="L34" s="80">
        <f>IF('Debt &amp; cash'!Y34&lt;=mkt_capacity*Economy!O34+foreign_capacity,"OK","Check")</f>
        <v/>
      </c>
      <c r="M34" s="80">
        <f>IF($A34&lt;1900,"n/a",IF('Gold &amp; money'!K34&gt;=0,"OK","Check"))</f>
        <v/>
      </c>
      <c r="N34" s="81">
        <f>Japan!AA34</f>
        <v/>
      </c>
      <c r="O34" s="80">
        <f>IF(N34&lt;=1,"OK","Check")</f>
        <v/>
      </c>
      <c r="P34" s="80">
        <f>IF($A34&lt;1922,"n/a",IF(AND(Navy!AE34&gt;=0.95,Navy!AE34&lt;=1.1),"OK","Check"))</f>
        <v/>
      </c>
      <c r="Q34" s="80">
        <f>IF(Navy!Z34=0,"n/a",IF(Resources!K34&gt;=Navy!Z34,"OK","Check"))</f>
        <v/>
      </c>
      <c r="R34" s="80">
        <f>IF(AND(gulf_on=1,$A34=gulf_year),IF(Gulf!AF34=1,"OK","Check"),"n/a")</f>
        <v/>
      </c>
      <c r="S34" s="47">
        <f>COUNTIF(B34:R34,"Check")</f>
        <v/>
      </c>
    </row>
    <row r="35">
      <c r="A35" s="58" t="n">
        <v>1875</v>
      </c>
      <c r="B35" s="80">
        <f>IF(ABS(People!L35-(People!B35+People!C35+People!D35+People!K35))&lt;1,"OK","Check")</f>
        <v/>
      </c>
      <c r="C35" s="80">
        <f>IF(ABS('Debt &amp; cash'!M35-'Debt &amp; cash'!E35)&lt;0.001,"OK","Check")</f>
        <v/>
      </c>
      <c r="D35" s="80">
        <f>IF('Debt &amp; cash'!S35&gt;=-0.001,"OK","Check")</f>
        <v/>
      </c>
      <c r="E35" s="81">
        <f>'Debt &amp; cash'!V35</f>
        <v/>
      </c>
      <c r="F35" s="80">
        <f>IF($A35&lt;1887,"n/a",IF(E35&lt;=cap_debt,"OK","Check"))</f>
        <v/>
      </c>
      <c r="G35" s="81">
        <f>'Debt &amp; cash'!W35</f>
        <v/>
      </c>
      <c r="H35" s="80">
        <f>IF($A35&lt;1887,"n/a",IF(G35&lt;=cap_int,"OK","Check"))</f>
        <v/>
      </c>
      <c r="I35" s="81">
        <f>Budget!AC35</f>
        <v/>
      </c>
      <c r="J35" s="80">
        <f>IF($A35&lt;1887,"n/a",IF(Paths!AC35=1,"War year",IF(I35&lt;=cap_def,"OK","Check")))</f>
        <v/>
      </c>
      <c r="K35" s="63">
        <f>'Debt &amp; cash'!Y35/Economy!O35</f>
        <v/>
      </c>
      <c r="L35" s="80">
        <f>IF('Debt &amp; cash'!Y35&lt;=mkt_capacity*Economy!O35+foreign_capacity,"OK","Check")</f>
        <v/>
      </c>
      <c r="M35" s="80">
        <f>IF($A35&lt;1900,"n/a",IF('Gold &amp; money'!K35&gt;=0,"OK","Check"))</f>
        <v/>
      </c>
      <c r="N35" s="81">
        <f>Japan!AA35</f>
        <v/>
      </c>
      <c r="O35" s="80">
        <f>IF(N35&lt;=1,"OK","Check")</f>
        <v/>
      </c>
      <c r="P35" s="80">
        <f>IF($A35&lt;1922,"n/a",IF(AND(Navy!AE35&gt;=0.95,Navy!AE35&lt;=1.1),"OK","Check"))</f>
        <v/>
      </c>
      <c r="Q35" s="80">
        <f>IF(Navy!Z35=0,"n/a",IF(Resources!K35&gt;=Navy!Z35,"OK","Check"))</f>
        <v/>
      </c>
      <c r="R35" s="80">
        <f>IF(AND(gulf_on=1,$A35=gulf_year),IF(Gulf!AF35=1,"OK","Check"),"n/a")</f>
        <v/>
      </c>
      <c r="S35" s="47">
        <f>COUNTIF(B35:R35,"Check")</f>
        <v/>
      </c>
    </row>
    <row r="36">
      <c r="A36" s="58" t="n">
        <v>1876</v>
      </c>
      <c r="B36" s="80">
        <f>IF(ABS(People!L36-(People!B36+People!C36+People!D36+People!K36))&lt;1,"OK","Check")</f>
        <v/>
      </c>
      <c r="C36" s="80">
        <f>IF(ABS('Debt &amp; cash'!M36-'Debt &amp; cash'!E36)&lt;0.001,"OK","Check")</f>
        <v/>
      </c>
      <c r="D36" s="80">
        <f>IF('Debt &amp; cash'!S36&gt;=-0.001,"OK","Check")</f>
        <v/>
      </c>
      <c r="E36" s="81">
        <f>'Debt &amp; cash'!V36</f>
        <v/>
      </c>
      <c r="F36" s="80">
        <f>IF($A36&lt;1887,"n/a",IF(E36&lt;=cap_debt,"OK","Check"))</f>
        <v/>
      </c>
      <c r="G36" s="81">
        <f>'Debt &amp; cash'!W36</f>
        <v/>
      </c>
      <c r="H36" s="80">
        <f>IF($A36&lt;1887,"n/a",IF(G36&lt;=cap_int,"OK","Check"))</f>
        <v/>
      </c>
      <c r="I36" s="81">
        <f>Budget!AC36</f>
        <v/>
      </c>
      <c r="J36" s="80">
        <f>IF($A36&lt;1887,"n/a",IF(Paths!AC36=1,"War year",IF(I36&lt;=cap_def,"OK","Check")))</f>
        <v/>
      </c>
      <c r="K36" s="63">
        <f>'Debt &amp; cash'!Y36/Economy!O36</f>
        <v/>
      </c>
      <c r="L36" s="80">
        <f>IF('Debt &amp; cash'!Y36&lt;=mkt_capacity*Economy!O36+foreign_capacity,"OK","Check")</f>
        <v/>
      </c>
      <c r="M36" s="80">
        <f>IF($A36&lt;1900,"n/a",IF('Gold &amp; money'!K36&gt;=0,"OK","Check"))</f>
        <v/>
      </c>
      <c r="N36" s="81">
        <f>Japan!AA36</f>
        <v/>
      </c>
      <c r="O36" s="80">
        <f>IF(N36&lt;=1,"OK","Check")</f>
        <v/>
      </c>
      <c r="P36" s="80">
        <f>IF($A36&lt;1922,"n/a",IF(AND(Navy!AE36&gt;=0.95,Navy!AE36&lt;=1.1),"OK","Check"))</f>
        <v/>
      </c>
      <c r="Q36" s="80">
        <f>IF(Navy!Z36=0,"n/a",IF(Resources!K36&gt;=Navy!Z36,"OK","Check"))</f>
        <v/>
      </c>
      <c r="R36" s="80">
        <f>IF(AND(gulf_on=1,$A36=gulf_year),IF(Gulf!AF36=1,"OK","Check"),"n/a")</f>
        <v/>
      </c>
      <c r="S36" s="47">
        <f>COUNTIF(B36:R36,"Check")</f>
        <v/>
      </c>
    </row>
    <row r="37">
      <c r="A37" s="58" t="n">
        <v>1877</v>
      </c>
      <c r="B37" s="80">
        <f>IF(ABS(People!L37-(People!B37+People!C37+People!D37+People!K37))&lt;1,"OK","Check")</f>
        <v/>
      </c>
      <c r="C37" s="80">
        <f>IF(ABS('Debt &amp; cash'!M37-'Debt &amp; cash'!E37)&lt;0.001,"OK","Check")</f>
        <v/>
      </c>
      <c r="D37" s="80">
        <f>IF('Debt &amp; cash'!S37&gt;=-0.001,"OK","Check")</f>
        <v/>
      </c>
      <c r="E37" s="81">
        <f>'Debt &amp; cash'!V37</f>
        <v/>
      </c>
      <c r="F37" s="80">
        <f>IF($A37&lt;1887,"n/a",IF(E37&lt;=cap_debt,"OK","Check"))</f>
        <v/>
      </c>
      <c r="G37" s="81">
        <f>'Debt &amp; cash'!W37</f>
        <v/>
      </c>
      <c r="H37" s="80">
        <f>IF($A37&lt;1887,"n/a",IF(G37&lt;=cap_int,"OK","Check"))</f>
        <v/>
      </c>
      <c r="I37" s="81">
        <f>Budget!AC37</f>
        <v/>
      </c>
      <c r="J37" s="80">
        <f>IF($A37&lt;1887,"n/a",IF(Paths!AC37=1,"War year",IF(I37&lt;=cap_def,"OK","Check")))</f>
        <v/>
      </c>
      <c r="K37" s="63">
        <f>'Debt &amp; cash'!Y37/Economy!O37</f>
        <v/>
      </c>
      <c r="L37" s="80">
        <f>IF('Debt &amp; cash'!Y37&lt;=mkt_capacity*Economy!O37+foreign_capacity,"OK","Check")</f>
        <v/>
      </c>
      <c r="M37" s="80">
        <f>IF($A37&lt;1900,"n/a",IF('Gold &amp; money'!K37&gt;=0,"OK","Check"))</f>
        <v/>
      </c>
      <c r="N37" s="81">
        <f>Japan!AA37</f>
        <v/>
      </c>
      <c r="O37" s="80">
        <f>IF(N37&lt;=1,"OK","Check")</f>
        <v/>
      </c>
      <c r="P37" s="80">
        <f>IF($A37&lt;1922,"n/a",IF(AND(Navy!AE37&gt;=0.95,Navy!AE37&lt;=1.1),"OK","Check"))</f>
        <v/>
      </c>
      <c r="Q37" s="80">
        <f>IF(Navy!Z37=0,"n/a",IF(Resources!K37&gt;=Navy!Z37,"OK","Check"))</f>
        <v/>
      </c>
      <c r="R37" s="80">
        <f>IF(AND(gulf_on=1,$A37=gulf_year),IF(Gulf!AF37=1,"OK","Check"),"n/a")</f>
        <v/>
      </c>
      <c r="S37" s="47">
        <f>COUNTIF(B37:R37,"Check")</f>
        <v/>
      </c>
    </row>
    <row r="38">
      <c r="A38" s="58" t="n">
        <v>1878</v>
      </c>
      <c r="B38" s="80">
        <f>IF(ABS(People!L38-(People!B38+People!C38+People!D38+People!K38))&lt;1,"OK","Check")</f>
        <v/>
      </c>
      <c r="C38" s="80">
        <f>IF(ABS('Debt &amp; cash'!M38-'Debt &amp; cash'!E38)&lt;0.001,"OK","Check")</f>
        <v/>
      </c>
      <c r="D38" s="80">
        <f>IF('Debt &amp; cash'!S38&gt;=-0.001,"OK","Check")</f>
        <v/>
      </c>
      <c r="E38" s="81">
        <f>'Debt &amp; cash'!V38</f>
        <v/>
      </c>
      <c r="F38" s="80">
        <f>IF($A38&lt;1887,"n/a",IF(E38&lt;=cap_debt,"OK","Check"))</f>
        <v/>
      </c>
      <c r="G38" s="81">
        <f>'Debt &amp; cash'!W38</f>
        <v/>
      </c>
      <c r="H38" s="80">
        <f>IF($A38&lt;1887,"n/a",IF(G38&lt;=cap_int,"OK","Check"))</f>
        <v/>
      </c>
      <c r="I38" s="81">
        <f>Budget!AC38</f>
        <v/>
      </c>
      <c r="J38" s="80">
        <f>IF($A38&lt;1887,"n/a",IF(Paths!AC38=1,"War year",IF(I38&lt;=cap_def,"OK","Check")))</f>
        <v/>
      </c>
      <c r="K38" s="63">
        <f>'Debt &amp; cash'!Y38/Economy!O38</f>
        <v/>
      </c>
      <c r="L38" s="80">
        <f>IF('Debt &amp; cash'!Y38&lt;=mkt_capacity*Economy!O38+foreign_capacity,"OK","Check")</f>
        <v/>
      </c>
      <c r="M38" s="80">
        <f>IF($A38&lt;1900,"n/a",IF('Gold &amp; money'!K38&gt;=0,"OK","Check"))</f>
        <v/>
      </c>
      <c r="N38" s="81">
        <f>Japan!AA38</f>
        <v/>
      </c>
      <c r="O38" s="80">
        <f>IF(N38&lt;=1,"OK","Check")</f>
        <v/>
      </c>
      <c r="P38" s="80">
        <f>IF($A38&lt;1922,"n/a",IF(AND(Navy!AE38&gt;=0.95,Navy!AE38&lt;=1.1),"OK","Check"))</f>
        <v/>
      </c>
      <c r="Q38" s="80">
        <f>IF(Navy!Z38=0,"n/a",IF(Resources!K38&gt;=Navy!Z38,"OK","Check"))</f>
        <v/>
      </c>
      <c r="R38" s="80">
        <f>IF(AND(gulf_on=1,$A38=gulf_year),IF(Gulf!AF38=1,"OK","Check"),"n/a")</f>
        <v/>
      </c>
      <c r="S38" s="47">
        <f>COUNTIF(B38:R38,"Check")</f>
        <v/>
      </c>
    </row>
    <row r="39">
      <c r="A39" s="58" t="n">
        <v>1879</v>
      </c>
      <c r="B39" s="80">
        <f>IF(ABS(People!L39-(People!B39+People!C39+People!D39+People!K39))&lt;1,"OK","Check")</f>
        <v/>
      </c>
      <c r="C39" s="80">
        <f>IF(ABS('Debt &amp; cash'!M39-'Debt &amp; cash'!E39)&lt;0.001,"OK","Check")</f>
        <v/>
      </c>
      <c r="D39" s="80">
        <f>IF('Debt &amp; cash'!S39&gt;=-0.001,"OK","Check")</f>
        <v/>
      </c>
      <c r="E39" s="81">
        <f>'Debt &amp; cash'!V39</f>
        <v/>
      </c>
      <c r="F39" s="80">
        <f>IF($A39&lt;1887,"n/a",IF(E39&lt;=cap_debt,"OK","Check"))</f>
        <v/>
      </c>
      <c r="G39" s="81">
        <f>'Debt &amp; cash'!W39</f>
        <v/>
      </c>
      <c r="H39" s="80">
        <f>IF($A39&lt;1887,"n/a",IF(G39&lt;=cap_int,"OK","Check"))</f>
        <v/>
      </c>
      <c r="I39" s="81">
        <f>Budget!AC39</f>
        <v/>
      </c>
      <c r="J39" s="80">
        <f>IF($A39&lt;1887,"n/a",IF(Paths!AC39=1,"War year",IF(I39&lt;=cap_def,"OK","Check")))</f>
        <v/>
      </c>
      <c r="K39" s="63">
        <f>'Debt &amp; cash'!Y39/Economy!O39</f>
        <v/>
      </c>
      <c r="L39" s="80">
        <f>IF('Debt &amp; cash'!Y39&lt;=mkt_capacity*Economy!O39+foreign_capacity,"OK","Check")</f>
        <v/>
      </c>
      <c r="M39" s="80">
        <f>IF($A39&lt;1900,"n/a",IF('Gold &amp; money'!K39&gt;=0,"OK","Check"))</f>
        <v/>
      </c>
      <c r="N39" s="81">
        <f>Japan!AA39</f>
        <v/>
      </c>
      <c r="O39" s="80">
        <f>IF(N39&lt;=1,"OK","Check")</f>
        <v/>
      </c>
      <c r="P39" s="80">
        <f>IF($A39&lt;1922,"n/a",IF(AND(Navy!AE39&gt;=0.95,Navy!AE39&lt;=1.1),"OK","Check"))</f>
        <v/>
      </c>
      <c r="Q39" s="80">
        <f>IF(Navy!Z39=0,"n/a",IF(Resources!K39&gt;=Navy!Z39,"OK","Check"))</f>
        <v/>
      </c>
      <c r="R39" s="80">
        <f>IF(AND(gulf_on=1,$A39=gulf_year),IF(Gulf!AF39=1,"OK","Check"),"n/a")</f>
        <v/>
      </c>
      <c r="S39" s="47">
        <f>COUNTIF(B39:R39,"Check")</f>
        <v/>
      </c>
    </row>
    <row r="40">
      <c r="A40" s="58" t="n">
        <v>1880</v>
      </c>
      <c r="B40" s="80">
        <f>IF(ABS(People!L40-(People!B40+People!C40+People!D40+People!K40))&lt;1,"OK","Check")</f>
        <v/>
      </c>
      <c r="C40" s="80">
        <f>IF(ABS('Debt &amp; cash'!M40-'Debt &amp; cash'!E40)&lt;0.001,"OK","Check")</f>
        <v/>
      </c>
      <c r="D40" s="80">
        <f>IF('Debt &amp; cash'!S40&gt;=-0.001,"OK","Check")</f>
        <v/>
      </c>
      <c r="E40" s="81">
        <f>'Debt &amp; cash'!V40</f>
        <v/>
      </c>
      <c r="F40" s="80">
        <f>IF($A40&lt;1887,"n/a",IF(E40&lt;=cap_debt,"OK","Check"))</f>
        <v/>
      </c>
      <c r="G40" s="81">
        <f>'Debt &amp; cash'!W40</f>
        <v/>
      </c>
      <c r="H40" s="80">
        <f>IF($A40&lt;1887,"n/a",IF(G40&lt;=cap_int,"OK","Check"))</f>
        <v/>
      </c>
      <c r="I40" s="81">
        <f>Budget!AC40</f>
        <v/>
      </c>
      <c r="J40" s="80">
        <f>IF($A40&lt;1887,"n/a",IF(Paths!AC40=1,"War year",IF(I40&lt;=cap_def,"OK","Check")))</f>
        <v/>
      </c>
      <c r="K40" s="63">
        <f>'Debt &amp; cash'!Y40/Economy!O40</f>
        <v/>
      </c>
      <c r="L40" s="80">
        <f>IF('Debt &amp; cash'!Y40&lt;=mkt_capacity*Economy!O40+foreign_capacity,"OK","Check")</f>
        <v/>
      </c>
      <c r="M40" s="80">
        <f>IF($A40&lt;1900,"n/a",IF('Gold &amp; money'!K40&gt;=0,"OK","Check"))</f>
        <v/>
      </c>
      <c r="N40" s="81">
        <f>Japan!AA40</f>
        <v/>
      </c>
      <c r="O40" s="80">
        <f>IF(N40&lt;=1,"OK","Check")</f>
        <v/>
      </c>
      <c r="P40" s="80">
        <f>IF($A40&lt;1922,"n/a",IF(AND(Navy!AE40&gt;=0.95,Navy!AE40&lt;=1.1),"OK","Check"))</f>
        <v/>
      </c>
      <c r="Q40" s="80">
        <f>IF(Navy!Z40=0,"n/a",IF(Resources!K40&gt;=Navy!Z40,"OK","Check"))</f>
        <v/>
      </c>
      <c r="R40" s="80">
        <f>IF(AND(gulf_on=1,$A40=gulf_year),IF(Gulf!AF40=1,"OK","Check"),"n/a")</f>
        <v/>
      </c>
      <c r="S40" s="47">
        <f>COUNTIF(B40:R40,"Check")</f>
        <v/>
      </c>
    </row>
    <row r="41">
      <c r="A41" s="58" t="n">
        <v>1881</v>
      </c>
      <c r="B41" s="80">
        <f>IF(ABS(People!L41-(People!B41+People!C41+People!D41+People!K41))&lt;1,"OK","Check")</f>
        <v/>
      </c>
      <c r="C41" s="80">
        <f>IF(ABS('Debt &amp; cash'!M41-'Debt &amp; cash'!E41)&lt;0.001,"OK","Check")</f>
        <v/>
      </c>
      <c r="D41" s="80">
        <f>IF('Debt &amp; cash'!S41&gt;=-0.001,"OK","Check")</f>
        <v/>
      </c>
      <c r="E41" s="81">
        <f>'Debt &amp; cash'!V41</f>
        <v/>
      </c>
      <c r="F41" s="80">
        <f>IF($A41&lt;1887,"n/a",IF(E41&lt;=cap_debt,"OK","Check"))</f>
        <v/>
      </c>
      <c r="G41" s="81">
        <f>'Debt &amp; cash'!W41</f>
        <v/>
      </c>
      <c r="H41" s="80">
        <f>IF($A41&lt;1887,"n/a",IF(G41&lt;=cap_int,"OK","Check"))</f>
        <v/>
      </c>
      <c r="I41" s="81">
        <f>Budget!AC41</f>
        <v/>
      </c>
      <c r="J41" s="80">
        <f>IF($A41&lt;1887,"n/a",IF(Paths!AC41=1,"War year",IF(I41&lt;=cap_def,"OK","Check")))</f>
        <v/>
      </c>
      <c r="K41" s="63">
        <f>'Debt &amp; cash'!Y41/Economy!O41</f>
        <v/>
      </c>
      <c r="L41" s="80">
        <f>IF('Debt &amp; cash'!Y41&lt;=mkt_capacity*Economy!O41+foreign_capacity,"OK","Check")</f>
        <v/>
      </c>
      <c r="M41" s="80">
        <f>IF($A41&lt;1900,"n/a",IF('Gold &amp; money'!K41&gt;=0,"OK","Check"))</f>
        <v/>
      </c>
      <c r="N41" s="81">
        <f>Japan!AA41</f>
        <v/>
      </c>
      <c r="O41" s="80">
        <f>IF(N41&lt;=1,"OK","Check")</f>
        <v/>
      </c>
      <c r="P41" s="80">
        <f>IF($A41&lt;1922,"n/a",IF(AND(Navy!AE41&gt;=0.95,Navy!AE41&lt;=1.1),"OK","Check"))</f>
        <v/>
      </c>
      <c r="Q41" s="80">
        <f>IF(Navy!Z41=0,"n/a",IF(Resources!K41&gt;=Navy!Z41,"OK","Check"))</f>
        <v/>
      </c>
      <c r="R41" s="80">
        <f>IF(AND(gulf_on=1,$A41=gulf_year),IF(Gulf!AF41=1,"OK","Check"),"n/a")</f>
        <v/>
      </c>
      <c r="S41" s="47">
        <f>COUNTIF(B41:R41,"Check")</f>
        <v/>
      </c>
    </row>
    <row r="42">
      <c r="A42" s="58" t="n">
        <v>1882</v>
      </c>
      <c r="B42" s="80">
        <f>IF(ABS(People!L42-(People!B42+People!C42+People!D42+People!K42))&lt;1,"OK","Check")</f>
        <v/>
      </c>
      <c r="C42" s="80">
        <f>IF(ABS('Debt &amp; cash'!M42-'Debt &amp; cash'!E42)&lt;0.001,"OK","Check")</f>
        <v/>
      </c>
      <c r="D42" s="80">
        <f>IF('Debt &amp; cash'!S42&gt;=-0.001,"OK","Check")</f>
        <v/>
      </c>
      <c r="E42" s="81">
        <f>'Debt &amp; cash'!V42</f>
        <v/>
      </c>
      <c r="F42" s="80">
        <f>IF($A42&lt;1887,"n/a",IF(E42&lt;=cap_debt,"OK","Check"))</f>
        <v/>
      </c>
      <c r="G42" s="81">
        <f>'Debt &amp; cash'!W42</f>
        <v/>
      </c>
      <c r="H42" s="80">
        <f>IF($A42&lt;1887,"n/a",IF(G42&lt;=cap_int,"OK","Check"))</f>
        <v/>
      </c>
      <c r="I42" s="81">
        <f>Budget!AC42</f>
        <v/>
      </c>
      <c r="J42" s="80">
        <f>IF($A42&lt;1887,"n/a",IF(Paths!AC42=1,"War year",IF(I42&lt;=cap_def,"OK","Check")))</f>
        <v/>
      </c>
      <c r="K42" s="63">
        <f>'Debt &amp; cash'!Y42/Economy!O42</f>
        <v/>
      </c>
      <c r="L42" s="80">
        <f>IF('Debt &amp; cash'!Y42&lt;=mkt_capacity*Economy!O42+foreign_capacity,"OK","Check")</f>
        <v/>
      </c>
      <c r="M42" s="80">
        <f>IF($A42&lt;1900,"n/a",IF('Gold &amp; money'!K42&gt;=0,"OK","Check"))</f>
        <v/>
      </c>
      <c r="N42" s="81">
        <f>Japan!AA42</f>
        <v/>
      </c>
      <c r="O42" s="80">
        <f>IF(N42&lt;=1,"OK","Check")</f>
        <v/>
      </c>
      <c r="P42" s="80">
        <f>IF($A42&lt;1922,"n/a",IF(AND(Navy!AE42&gt;=0.95,Navy!AE42&lt;=1.1),"OK","Check"))</f>
        <v/>
      </c>
      <c r="Q42" s="80">
        <f>IF(Navy!Z42=0,"n/a",IF(Resources!K42&gt;=Navy!Z42,"OK","Check"))</f>
        <v/>
      </c>
      <c r="R42" s="80">
        <f>IF(AND(gulf_on=1,$A42=gulf_year),IF(Gulf!AF42=1,"OK","Check"),"n/a")</f>
        <v/>
      </c>
      <c r="S42" s="47">
        <f>COUNTIF(B42:R42,"Check")</f>
        <v/>
      </c>
    </row>
    <row r="43">
      <c r="A43" s="58" t="n">
        <v>1883</v>
      </c>
      <c r="B43" s="80">
        <f>IF(ABS(People!L43-(People!B43+People!C43+People!D43+People!K43))&lt;1,"OK","Check")</f>
        <v/>
      </c>
      <c r="C43" s="80">
        <f>IF(ABS('Debt &amp; cash'!M43-'Debt &amp; cash'!E43)&lt;0.001,"OK","Check")</f>
        <v/>
      </c>
      <c r="D43" s="80">
        <f>IF('Debt &amp; cash'!S43&gt;=-0.001,"OK","Check")</f>
        <v/>
      </c>
      <c r="E43" s="81">
        <f>'Debt &amp; cash'!V43</f>
        <v/>
      </c>
      <c r="F43" s="80">
        <f>IF($A43&lt;1887,"n/a",IF(E43&lt;=cap_debt,"OK","Check"))</f>
        <v/>
      </c>
      <c r="G43" s="81">
        <f>'Debt &amp; cash'!W43</f>
        <v/>
      </c>
      <c r="H43" s="80">
        <f>IF($A43&lt;1887,"n/a",IF(G43&lt;=cap_int,"OK","Check"))</f>
        <v/>
      </c>
      <c r="I43" s="81">
        <f>Budget!AC43</f>
        <v/>
      </c>
      <c r="J43" s="80">
        <f>IF($A43&lt;1887,"n/a",IF(Paths!AC43=1,"War year",IF(I43&lt;=cap_def,"OK","Check")))</f>
        <v/>
      </c>
      <c r="K43" s="63">
        <f>'Debt &amp; cash'!Y43/Economy!O43</f>
        <v/>
      </c>
      <c r="L43" s="80">
        <f>IF('Debt &amp; cash'!Y43&lt;=mkt_capacity*Economy!O43+foreign_capacity,"OK","Check")</f>
        <v/>
      </c>
      <c r="M43" s="80">
        <f>IF($A43&lt;1900,"n/a",IF('Gold &amp; money'!K43&gt;=0,"OK","Check"))</f>
        <v/>
      </c>
      <c r="N43" s="81">
        <f>Japan!AA43</f>
        <v/>
      </c>
      <c r="O43" s="80">
        <f>IF(N43&lt;=1,"OK","Check")</f>
        <v/>
      </c>
      <c r="P43" s="80">
        <f>IF($A43&lt;1922,"n/a",IF(AND(Navy!AE43&gt;=0.95,Navy!AE43&lt;=1.1),"OK","Check"))</f>
        <v/>
      </c>
      <c r="Q43" s="80">
        <f>IF(Navy!Z43=0,"n/a",IF(Resources!K43&gt;=Navy!Z43,"OK","Check"))</f>
        <v/>
      </c>
      <c r="R43" s="80">
        <f>IF(AND(gulf_on=1,$A43=gulf_year),IF(Gulf!AF43=1,"OK","Check"),"n/a")</f>
        <v/>
      </c>
      <c r="S43" s="47">
        <f>COUNTIF(B43:R43,"Check")</f>
        <v/>
      </c>
    </row>
    <row r="44">
      <c r="A44" s="58" t="n">
        <v>1884</v>
      </c>
      <c r="B44" s="80">
        <f>IF(ABS(People!L44-(People!B44+People!C44+People!D44+People!K44))&lt;1,"OK","Check")</f>
        <v/>
      </c>
      <c r="C44" s="80">
        <f>IF(ABS('Debt &amp; cash'!M44-'Debt &amp; cash'!E44)&lt;0.001,"OK","Check")</f>
        <v/>
      </c>
      <c r="D44" s="80">
        <f>IF('Debt &amp; cash'!S44&gt;=-0.001,"OK","Check")</f>
        <v/>
      </c>
      <c r="E44" s="81">
        <f>'Debt &amp; cash'!V44</f>
        <v/>
      </c>
      <c r="F44" s="80">
        <f>IF($A44&lt;1887,"n/a",IF(E44&lt;=cap_debt,"OK","Check"))</f>
        <v/>
      </c>
      <c r="G44" s="81">
        <f>'Debt &amp; cash'!W44</f>
        <v/>
      </c>
      <c r="H44" s="80">
        <f>IF($A44&lt;1887,"n/a",IF(G44&lt;=cap_int,"OK","Check"))</f>
        <v/>
      </c>
      <c r="I44" s="81">
        <f>Budget!AC44</f>
        <v/>
      </c>
      <c r="J44" s="80">
        <f>IF($A44&lt;1887,"n/a",IF(Paths!AC44=1,"War year",IF(I44&lt;=cap_def,"OK","Check")))</f>
        <v/>
      </c>
      <c r="K44" s="63">
        <f>'Debt &amp; cash'!Y44/Economy!O44</f>
        <v/>
      </c>
      <c r="L44" s="80">
        <f>IF('Debt &amp; cash'!Y44&lt;=mkt_capacity*Economy!O44+foreign_capacity,"OK","Check")</f>
        <v/>
      </c>
      <c r="M44" s="80">
        <f>IF($A44&lt;1900,"n/a",IF('Gold &amp; money'!K44&gt;=0,"OK","Check"))</f>
        <v/>
      </c>
      <c r="N44" s="81">
        <f>Japan!AA44</f>
        <v/>
      </c>
      <c r="O44" s="80">
        <f>IF(N44&lt;=1,"OK","Check")</f>
        <v/>
      </c>
      <c r="P44" s="80">
        <f>IF($A44&lt;1922,"n/a",IF(AND(Navy!AE44&gt;=0.95,Navy!AE44&lt;=1.1),"OK","Check"))</f>
        <v/>
      </c>
      <c r="Q44" s="80">
        <f>IF(Navy!Z44=0,"n/a",IF(Resources!K44&gt;=Navy!Z44,"OK","Check"))</f>
        <v/>
      </c>
      <c r="R44" s="80">
        <f>IF(AND(gulf_on=1,$A44=gulf_year),IF(Gulf!AF44=1,"OK","Check"),"n/a")</f>
        <v/>
      </c>
      <c r="S44" s="47">
        <f>COUNTIF(B44:R44,"Check")</f>
        <v/>
      </c>
    </row>
    <row r="45">
      <c r="A45" s="58" t="n">
        <v>1885</v>
      </c>
      <c r="B45" s="80">
        <f>IF(ABS(People!L45-(People!B45+People!C45+People!D45+People!K45))&lt;1,"OK","Check")</f>
        <v/>
      </c>
      <c r="C45" s="80">
        <f>IF(ABS('Debt &amp; cash'!M45-'Debt &amp; cash'!E45)&lt;0.001,"OK","Check")</f>
        <v/>
      </c>
      <c r="D45" s="80">
        <f>IF('Debt &amp; cash'!S45&gt;=-0.001,"OK","Check")</f>
        <v/>
      </c>
      <c r="E45" s="81">
        <f>'Debt &amp; cash'!V45</f>
        <v/>
      </c>
      <c r="F45" s="80">
        <f>IF($A45&lt;1887,"n/a",IF(E45&lt;=cap_debt,"OK","Check"))</f>
        <v/>
      </c>
      <c r="G45" s="81">
        <f>'Debt &amp; cash'!W45</f>
        <v/>
      </c>
      <c r="H45" s="80">
        <f>IF($A45&lt;1887,"n/a",IF(G45&lt;=cap_int,"OK","Check"))</f>
        <v/>
      </c>
      <c r="I45" s="81">
        <f>Budget!AC45</f>
        <v/>
      </c>
      <c r="J45" s="80">
        <f>IF($A45&lt;1887,"n/a",IF(Paths!AC45=1,"War year",IF(I45&lt;=cap_def,"OK","Check")))</f>
        <v/>
      </c>
      <c r="K45" s="63">
        <f>'Debt &amp; cash'!Y45/Economy!O45</f>
        <v/>
      </c>
      <c r="L45" s="80">
        <f>IF('Debt &amp; cash'!Y45&lt;=mkt_capacity*Economy!O45+foreign_capacity,"OK","Check")</f>
        <v/>
      </c>
      <c r="M45" s="80">
        <f>IF($A45&lt;1900,"n/a",IF('Gold &amp; money'!K45&gt;=0,"OK","Check"))</f>
        <v/>
      </c>
      <c r="N45" s="81">
        <f>Japan!AA45</f>
        <v/>
      </c>
      <c r="O45" s="80">
        <f>IF(N45&lt;=1,"OK","Check")</f>
        <v/>
      </c>
      <c r="P45" s="80">
        <f>IF($A45&lt;1922,"n/a",IF(AND(Navy!AE45&gt;=0.95,Navy!AE45&lt;=1.1),"OK","Check"))</f>
        <v/>
      </c>
      <c r="Q45" s="80">
        <f>IF(Navy!Z45=0,"n/a",IF(Resources!K45&gt;=Navy!Z45,"OK","Check"))</f>
        <v/>
      </c>
      <c r="R45" s="80">
        <f>IF(AND(gulf_on=1,$A45=gulf_year),IF(Gulf!AF45=1,"OK","Check"),"n/a")</f>
        <v/>
      </c>
      <c r="S45" s="47">
        <f>COUNTIF(B45:R45,"Check")</f>
        <v/>
      </c>
    </row>
    <row r="46">
      <c r="A46" s="58" t="n">
        <v>1886</v>
      </c>
      <c r="B46" s="80">
        <f>IF(ABS(People!L46-(People!B46+People!C46+People!D46+People!K46))&lt;1,"OK","Check")</f>
        <v/>
      </c>
      <c r="C46" s="80">
        <f>IF(ABS('Debt &amp; cash'!M46-'Debt &amp; cash'!E46)&lt;0.001,"OK","Check")</f>
        <v/>
      </c>
      <c r="D46" s="80">
        <f>IF('Debt &amp; cash'!S46&gt;=-0.001,"OK","Check")</f>
        <v/>
      </c>
      <c r="E46" s="81">
        <f>'Debt &amp; cash'!V46</f>
        <v/>
      </c>
      <c r="F46" s="80">
        <f>IF($A46&lt;1887,"n/a",IF(E46&lt;=cap_debt,"OK","Check"))</f>
        <v/>
      </c>
      <c r="G46" s="81">
        <f>'Debt &amp; cash'!W46</f>
        <v/>
      </c>
      <c r="H46" s="80">
        <f>IF($A46&lt;1887,"n/a",IF(G46&lt;=cap_int,"OK","Check"))</f>
        <v/>
      </c>
      <c r="I46" s="81">
        <f>Budget!AC46</f>
        <v/>
      </c>
      <c r="J46" s="80">
        <f>IF($A46&lt;1887,"n/a",IF(Paths!AC46=1,"War year",IF(I46&lt;=cap_def,"OK","Check")))</f>
        <v/>
      </c>
      <c r="K46" s="63">
        <f>'Debt &amp; cash'!Y46/Economy!O46</f>
        <v/>
      </c>
      <c r="L46" s="80">
        <f>IF('Debt &amp; cash'!Y46&lt;=mkt_capacity*Economy!O46+foreign_capacity,"OK","Check")</f>
        <v/>
      </c>
      <c r="M46" s="80">
        <f>IF($A46&lt;1900,"n/a",IF('Gold &amp; money'!K46&gt;=0,"OK","Check"))</f>
        <v/>
      </c>
      <c r="N46" s="81">
        <f>Japan!AA46</f>
        <v/>
      </c>
      <c r="O46" s="80">
        <f>IF(N46&lt;=1,"OK","Check")</f>
        <v/>
      </c>
      <c r="P46" s="80">
        <f>IF($A46&lt;1922,"n/a",IF(AND(Navy!AE46&gt;=0.95,Navy!AE46&lt;=1.1),"OK","Check"))</f>
        <v/>
      </c>
      <c r="Q46" s="80">
        <f>IF(Navy!Z46=0,"n/a",IF(Resources!K46&gt;=Navy!Z46,"OK","Check"))</f>
        <v/>
      </c>
      <c r="R46" s="80">
        <f>IF(AND(gulf_on=1,$A46=gulf_year),IF(Gulf!AF46=1,"OK","Check"),"n/a")</f>
        <v/>
      </c>
      <c r="S46" s="47">
        <f>COUNTIF(B46:R46,"Check")</f>
        <v/>
      </c>
    </row>
    <row r="47">
      <c r="A47" s="58" t="n">
        <v>1887</v>
      </c>
      <c r="B47" s="80">
        <f>IF(ABS(People!L47-(People!B47+People!C47+People!D47+People!K47))&lt;1,"OK","Check")</f>
        <v/>
      </c>
      <c r="C47" s="80">
        <f>IF(ABS('Debt &amp; cash'!M47-'Debt &amp; cash'!E47)&lt;0.001,"OK","Check")</f>
        <v/>
      </c>
      <c r="D47" s="80">
        <f>IF('Debt &amp; cash'!S47&gt;=-0.001,"OK","Check")</f>
        <v/>
      </c>
      <c r="E47" s="81">
        <f>'Debt &amp; cash'!V47</f>
        <v/>
      </c>
      <c r="F47" s="80">
        <f>IF($A47&lt;1887,"n/a",IF(E47&lt;=cap_debt,"OK","Check"))</f>
        <v/>
      </c>
      <c r="G47" s="81">
        <f>'Debt &amp; cash'!W47</f>
        <v/>
      </c>
      <c r="H47" s="80">
        <f>IF($A47&lt;1887,"n/a",IF(G47&lt;=cap_int,"OK","Check"))</f>
        <v/>
      </c>
      <c r="I47" s="81">
        <f>Budget!AC47</f>
        <v/>
      </c>
      <c r="J47" s="80">
        <f>IF($A47&lt;1887,"n/a",IF(Paths!AC47=1,"War year",IF(I47&lt;=cap_def,"OK","Check")))</f>
        <v/>
      </c>
      <c r="K47" s="63">
        <f>'Debt &amp; cash'!Y47/Economy!O47</f>
        <v/>
      </c>
      <c r="L47" s="80">
        <f>IF('Debt &amp; cash'!Y47&lt;=mkt_capacity*Economy!O47+foreign_capacity,"OK","Check")</f>
        <v/>
      </c>
      <c r="M47" s="80">
        <f>IF($A47&lt;1900,"n/a",IF('Gold &amp; money'!K47&gt;=0,"OK","Check"))</f>
        <v/>
      </c>
      <c r="N47" s="81">
        <f>Japan!AA47</f>
        <v/>
      </c>
      <c r="O47" s="80">
        <f>IF(N47&lt;=1,"OK","Check")</f>
        <v/>
      </c>
      <c r="P47" s="80">
        <f>IF($A47&lt;1922,"n/a",IF(AND(Navy!AE47&gt;=0.95,Navy!AE47&lt;=1.1),"OK","Check"))</f>
        <v/>
      </c>
      <c r="Q47" s="80">
        <f>IF(Navy!Z47=0,"n/a",IF(Resources!K47&gt;=Navy!Z47,"OK","Check"))</f>
        <v/>
      </c>
      <c r="R47" s="80">
        <f>IF(AND(gulf_on=1,$A47=gulf_year),IF(Gulf!AF47=1,"OK","Check"),"n/a")</f>
        <v/>
      </c>
      <c r="S47" s="47">
        <f>COUNTIF(B47:R47,"Check")</f>
        <v/>
      </c>
    </row>
    <row r="48">
      <c r="A48" s="58" t="n">
        <v>1888</v>
      </c>
      <c r="B48" s="80">
        <f>IF(ABS(People!L48-(People!B48+People!C48+People!D48+People!K48))&lt;1,"OK","Check")</f>
        <v/>
      </c>
      <c r="C48" s="80">
        <f>IF(ABS('Debt &amp; cash'!M48-'Debt &amp; cash'!E48)&lt;0.001,"OK","Check")</f>
        <v/>
      </c>
      <c r="D48" s="80">
        <f>IF('Debt &amp; cash'!S48&gt;=-0.001,"OK","Check")</f>
        <v/>
      </c>
      <c r="E48" s="81">
        <f>'Debt &amp; cash'!V48</f>
        <v/>
      </c>
      <c r="F48" s="80">
        <f>IF($A48&lt;1887,"n/a",IF(E48&lt;=cap_debt,"OK","Check"))</f>
        <v/>
      </c>
      <c r="G48" s="81">
        <f>'Debt &amp; cash'!W48</f>
        <v/>
      </c>
      <c r="H48" s="80">
        <f>IF($A48&lt;1887,"n/a",IF(G48&lt;=cap_int,"OK","Check"))</f>
        <v/>
      </c>
      <c r="I48" s="81">
        <f>Budget!AC48</f>
        <v/>
      </c>
      <c r="J48" s="80">
        <f>IF($A48&lt;1887,"n/a",IF(Paths!AC48=1,"War year",IF(I48&lt;=cap_def,"OK","Check")))</f>
        <v/>
      </c>
      <c r="K48" s="63">
        <f>'Debt &amp; cash'!Y48/Economy!O48</f>
        <v/>
      </c>
      <c r="L48" s="80">
        <f>IF('Debt &amp; cash'!Y48&lt;=mkt_capacity*Economy!O48+foreign_capacity,"OK","Check")</f>
        <v/>
      </c>
      <c r="M48" s="80">
        <f>IF($A48&lt;1900,"n/a",IF('Gold &amp; money'!K48&gt;=0,"OK","Check"))</f>
        <v/>
      </c>
      <c r="N48" s="81">
        <f>Japan!AA48</f>
        <v/>
      </c>
      <c r="O48" s="80">
        <f>IF(N48&lt;=1,"OK","Check")</f>
        <v/>
      </c>
      <c r="P48" s="80">
        <f>IF($A48&lt;1922,"n/a",IF(AND(Navy!AE48&gt;=0.95,Navy!AE48&lt;=1.1),"OK","Check"))</f>
        <v/>
      </c>
      <c r="Q48" s="80">
        <f>IF(Navy!Z48=0,"n/a",IF(Resources!K48&gt;=Navy!Z48,"OK","Check"))</f>
        <v/>
      </c>
      <c r="R48" s="80">
        <f>IF(AND(gulf_on=1,$A48=gulf_year),IF(Gulf!AF48=1,"OK","Check"),"n/a")</f>
        <v/>
      </c>
      <c r="S48" s="47">
        <f>COUNTIF(B48:R48,"Check")</f>
        <v/>
      </c>
    </row>
    <row r="49">
      <c r="A49" s="58" t="n">
        <v>1889</v>
      </c>
      <c r="B49" s="80">
        <f>IF(ABS(People!L49-(People!B49+People!C49+People!D49+People!K49))&lt;1,"OK","Check")</f>
        <v/>
      </c>
      <c r="C49" s="80">
        <f>IF(ABS('Debt &amp; cash'!M49-'Debt &amp; cash'!E49)&lt;0.001,"OK","Check")</f>
        <v/>
      </c>
      <c r="D49" s="80">
        <f>IF('Debt &amp; cash'!S49&gt;=-0.001,"OK","Check")</f>
        <v/>
      </c>
      <c r="E49" s="81">
        <f>'Debt &amp; cash'!V49</f>
        <v/>
      </c>
      <c r="F49" s="80">
        <f>IF($A49&lt;1887,"n/a",IF(E49&lt;=cap_debt,"OK","Check"))</f>
        <v/>
      </c>
      <c r="G49" s="81">
        <f>'Debt &amp; cash'!W49</f>
        <v/>
      </c>
      <c r="H49" s="80">
        <f>IF($A49&lt;1887,"n/a",IF(G49&lt;=cap_int,"OK","Check"))</f>
        <v/>
      </c>
      <c r="I49" s="81">
        <f>Budget!AC49</f>
        <v/>
      </c>
      <c r="J49" s="80">
        <f>IF($A49&lt;1887,"n/a",IF(Paths!AC49=1,"War year",IF(I49&lt;=cap_def,"OK","Check")))</f>
        <v/>
      </c>
      <c r="K49" s="63">
        <f>'Debt &amp; cash'!Y49/Economy!O49</f>
        <v/>
      </c>
      <c r="L49" s="80">
        <f>IF('Debt &amp; cash'!Y49&lt;=mkt_capacity*Economy!O49+foreign_capacity,"OK","Check")</f>
        <v/>
      </c>
      <c r="M49" s="80">
        <f>IF($A49&lt;1900,"n/a",IF('Gold &amp; money'!K49&gt;=0,"OK","Check"))</f>
        <v/>
      </c>
      <c r="N49" s="81">
        <f>Japan!AA49</f>
        <v/>
      </c>
      <c r="O49" s="80">
        <f>IF(N49&lt;=1,"OK","Check")</f>
        <v/>
      </c>
      <c r="P49" s="80">
        <f>IF($A49&lt;1922,"n/a",IF(AND(Navy!AE49&gt;=0.95,Navy!AE49&lt;=1.1),"OK","Check"))</f>
        <v/>
      </c>
      <c r="Q49" s="80">
        <f>IF(Navy!Z49=0,"n/a",IF(Resources!K49&gt;=Navy!Z49,"OK","Check"))</f>
        <v/>
      </c>
      <c r="R49" s="80">
        <f>IF(AND(gulf_on=1,$A49=gulf_year),IF(Gulf!AF49=1,"OK","Check"),"n/a")</f>
        <v/>
      </c>
      <c r="S49" s="47">
        <f>COUNTIF(B49:R49,"Check")</f>
        <v/>
      </c>
    </row>
    <row r="50">
      <c r="A50" s="58" t="n">
        <v>1890</v>
      </c>
      <c r="B50" s="80">
        <f>IF(ABS(People!L50-(People!B50+People!C50+People!D50+People!K50))&lt;1,"OK","Check")</f>
        <v/>
      </c>
      <c r="C50" s="80">
        <f>IF(ABS('Debt &amp; cash'!M50-'Debt &amp; cash'!E50)&lt;0.001,"OK","Check")</f>
        <v/>
      </c>
      <c r="D50" s="80">
        <f>IF('Debt &amp; cash'!S50&gt;=-0.001,"OK","Check")</f>
        <v/>
      </c>
      <c r="E50" s="81">
        <f>'Debt &amp; cash'!V50</f>
        <v/>
      </c>
      <c r="F50" s="80">
        <f>IF($A50&lt;1887,"n/a",IF(E50&lt;=cap_debt,"OK","Check"))</f>
        <v/>
      </c>
      <c r="G50" s="81">
        <f>'Debt &amp; cash'!W50</f>
        <v/>
      </c>
      <c r="H50" s="80">
        <f>IF($A50&lt;1887,"n/a",IF(G50&lt;=cap_int,"OK","Check"))</f>
        <v/>
      </c>
      <c r="I50" s="81">
        <f>Budget!AC50</f>
        <v/>
      </c>
      <c r="J50" s="80">
        <f>IF($A50&lt;1887,"n/a",IF(Paths!AC50=1,"War year",IF(I50&lt;=cap_def,"OK","Check")))</f>
        <v/>
      </c>
      <c r="K50" s="63">
        <f>'Debt &amp; cash'!Y50/Economy!O50</f>
        <v/>
      </c>
      <c r="L50" s="80">
        <f>IF('Debt &amp; cash'!Y50&lt;=mkt_capacity*Economy!O50+foreign_capacity,"OK","Check")</f>
        <v/>
      </c>
      <c r="M50" s="80">
        <f>IF($A50&lt;1900,"n/a",IF('Gold &amp; money'!K50&gt;=0,"OK","Check"))</f>
        <v/>
      </c>
      <c r="N50" s="81">
        <f>Japan!AA50</f>
        <v/>
      </c>
      <c r="O50" s="80">
        <f>IF(N50&lt;=1,"OK","Check")</f>
        <v/>
      </c>
      <c r="P50" s="80">
        <f>IF($A50&lt;1922,"n/a",IF(AND(Navy!AE50&gt;=0.95,Navy!AE50&lt;=1.1),"OK","Check"))</f>
        <v/>
      </c>
      <c r="Q50" s="80">
        <f>IF(Navy!Z50=0,"n/a",IF(Resources!K50&gt;=Navy!Z50,"OK","Check"))</f>
        <v/>
      </c>
      <c r="R50" s="80">
        <f>IF(AND(gulf_on=1,$A50=gulf_year),IF(Gulf!AF50=1,"OK","Check"),"n/a")</f>
        <v/>
      </c>
      <c r="S50" s="47">
        <f>COUNTIF(B50:R50,"Check")</f>
        <v/>
      </c>
    </row>
    <row r="51">
      <c r="A51" s="58" t="n">
        <v>1891</v>
      </c>
      <c r="B51" s="80">
        <f>IF(ABS(People!L51-(People!B51+People!C51+People!D51+People!K51))&lt;1,"OK","Check")</f>
        <v/>
      </c>
      <c r="C51" s="80">
        <f>IF(ABS('Debt &amp; cash'!M51-'Debt &amp; cash'!E51)&lt;0.001,"OK","Check")</f>
        <v/>
      </c>
      <c r="D51" s="80">
        <f>IF('Debt &amp; cash'!S51&gt;=-0.001,"OK","Check")</f>
        <v/>
      </c>
      <c r="E51" s="81">
        <f>'Debt &amp; cash'!V51</f>
        <v/>
      </c>
      <c r="F51" s="80">
        <f>IF($A51&lt;1887,"n/a",IF(E51&lt;=cap_debt,"OK","Check"))</f>
        <v/>
      </c>
      <c r="G51" s="81">
        <f>'Debt &amp; cash'!W51</f>
        <v/>
      </c>
      <c r="H51" s="80">
        <f>IF($A51&lt;1887,"n/a",IF(G51&lt;=cap_int,"OK","Check"))</f>
        <v/>
      </c>
      <c r="I51" s="81">
        <f>Budget!AC51</f>
        <v/>
      </c>
      <c r="J51" s="80">
        <f>IF($A51&lt;1887,"n/a",IF(Paths!AC51=1,"War year",IF(I51&lt;=cap_def,"OK","Check")))</f>
        <v/>
      </c>
      <c r="K51" s="63">
        <f>'Debt &amp; cash'!Y51/Economy!O51</f>
        <v/>
      </c>
      <c r="L51" s="80">
        <f>IF('Debt &amp; cash'!Y51&lt;=mkt_capacity*Economy!O51+foreign_capacity,"OK","Check")</f>
        <v/>
      </c>
      <c r="M51" s="80">
        <f>IF($A51&lt;1900,"n/a",IF('Gold &amp; money'!K51&gt;=0,"OK","Check"))</f>
        <v/>
      </c>
      <c r="N51" s="81">
        <f>Japan!AA51</f>
        <v/>
      </c>
      <c r="O51" s="80">
        <f>IF(N51&lt;=1,"OK","Check")</f>
        <v/>
      </c>
      <c r="P51" s="80">
        <f>IF($A51&lt;1922,"n/a",IF(AND(Navy!AE51&gt;=0.95,Navy!AE51&lt;=1.1),"OK","Check"))</f>
        <v/>
      </c>
      <c r="Q51" s="80">
        <f>IF(Navy!Z51=0,"n/a",IF(Resources!K51&gt;=Navy!Z51,"OK","Check"))</f>
        <v/>
      </c>
      <c r="R51" s="80">
        <f>IF(AND(gulf_on=1,$A51=gulf_year),IF(Gulf!AF51=1,"OK","Check"),"n/a")</f>
        <v/>
      </c>
      <c r="S51" s="47">
        <f>COUNTIF(B51:R51,"Check")</f>
        <v/>
      </c>
    </row>
    <row r="52">
      <c r="A52" s="58" t="n">
        <v>1892</v>
      </c>
      <c r="B52" s="80">
        <f>IF(ABS(People!L52-(People!B52+People!C52+People!D52+People!K52))&lt;1,"OK","Check")</f>
        <v/>
      </c>
      <c r="C52" s="80">
        <f>IF(ABS('Debt &amp; cash'!M52-'Debt &amp; cash'!E52)&lt;0.001,"OK","Check")</f>
        <v/>
      </c>
      <c r="D52" s="80">
        <f>IF('Debt &amp; cash'!S52&gt;=-0.001,"OK","Check")</f>
        <v/>
      </c>
      <c r="E52" s="81">
        <f>'Debt &amp; cash'!V52</f>
        <v/>
      </c>
      <c r="F52" s="80">
        <f>IF($A52&lt;1887,"n/a",IF(E52&lt;=cap_debt,"OK","Check"))</f>
        <v/>
      </c>
      <c r="G52" s="81">
        <f>'Debt &amp; cash'!W52</f>
        <v/>
      </c>
      <c r="H52" s="80">
        <f>IF($A52&lt;1887,"n/a",IF(G52&lt;=cap_int,"OK","Check"))</f>
        <v/>
      </c>
      <c r="I52" s="81">
        <f>Budget!AC52</f>
        <v/>
      </c>
      <c r="J52" s="80">
        <f>IF($A52&lt;1887,"n/a",IF(Paths!AC52=1,"War year",IF(I52&lt;=cap_def,"OK","Check")))</f>
        <v/>
      </c>
      <c r="K52" s="63">
        <f>'Debt &amp; cash'!Y52/Economy!O52</f>
        <v/>
      </c>
      <c r="L52" s="80">
        <f>IF('Debt &amp; cash'!Y52&lt;=mkt_capacity*Economy!O52+foreign_capacity,"OK","Check")</f>
        <v/>
      </c>
      <c r="M52" s="80">
        <f>IF($A52&lt;1900,"n/a",IF('Gold &amp; money'!K52&gt;=0,"OK","Check"))</f>
        <v/>
      </c>
      <c r="N52" s="81">
        <f>Japan!AA52</f>
        <v/>
      </c>
      <c r="O52" s="80">
        <f>IF(N52&lt;=1,"OK","Check")</f>
        <v/>
      </c>
      <c r="P52" s="80">
        <f>IF($A52&lt;1922,"n/a",IF(AND(Navy!AE52&gt;=0.95,Navy!AE52&lt;=1.1),"OK","Check"))</f>
        <v/>
      </c>
      <c r="Q52" s="80">
        <f>IF(Navy!Z52=0,"n/a",IF(Resources!K52&gt;=Navy!Z52,"OK","Check"))</f>
        <v/>
      </c>
      <c r="R52" s="80">
        <f>IF(AND(gulf_on=1,$A52=gulf_year),IF(Gulf!AF52=1,"OK","Check"),"n/a")</f>
        <v/>
      </c>
      <c r="S52" s="47">
        <f>COUNTIF(B52:R52,"Check")</f>
        <v/>
      </c>
    </row>
    <row r="53">
      <c r="A53" s="58" t="n">
        <v>1893</v>
      </c>
      <c r="B53" s="80">
        <f>IF(ABS(People!L53-(People!B53+People!C53+People!D53+People!K53))&lt;1,"OK","Check")</f>
        <v/>
      </c>
      <c r="C53" s="80">
        <f>IF(ABS('Debt &amp; cash'!M53-'Debt &amp; cash'!E53)&lt;0.001,"OK","Check")</f>
        <v/>
      </c>
      <c r="D53" s="80">
        <f>IF('Debt &amp; cash'!S53&gt;=-0.001,"OK","Check")</f>
        <v/>
      </c>
      <c r="E53" s="81">
        <f>'Debt &amp; cash'!V53</f>
        <v/>
      </c>
      <c r="F53" s="80">
        <f>IF($A53&lt;1887,"n/a",IF(E53&lt;=cap_debt,"OK","Check"))</f>
        <v/>
      </c>
      <c r="G53" s="81">
        <f>'Debt &amp; cash'!W53</f>
        <v/>
      </c>
      <c r="H53" s="80">
        <f>IF($A53&lt;1887,"n/a",IF(G53&lt;=cap_int,"OK","Check"))</f>
        <v/>
      </c>
      <c r="I53" s="81">
        <f>Budget!AC53</f>
        <v/>
      </c>
      <c r="J53" s="80">
        <f>IF($A53&lt;1887,"n/a",IF(Paths!AC53=1,"War year",IF(I53&lt;=cap_def,"OK","Check")))</f>
        <v/>
      </c>
      <c r="K53" s="63">
        <f>'Debt &amp; cash'!Y53/Economy!O53</f>
        <v/>
      </c>
      <c r="L53" s="80">
        <f>IF('Debt &amp; cash'!Y53&lt;=mkt_capacity*Economy!O53+foreign_capacity,"OK","Check")</f>
        <v/>
      </c>
      <c r="M53" s="80">
        <f>IF($A53&lt;1900,"n/a",IF('Gold &amp; money'!K53&gt;=0,"OK","Check"))</f>
        <v/>
      </c>
      <c r="N53" s="81">
        <f>Japan!AA53</f>
        <v/>
      </c>
      <c r="O53" s="80">
        <f>IF(N53&lt;=1,"OK","Check")</f>
        <v/>
      </c>
      <c r="P53" s="80">
        <f>IF($A53&lt;1922,"n/a",IF(AND(Navy!AE53&gt;=0.95,Navy!AE53&lt;=1.1),"OK","Check"))</f>
        <v/>
      </c>
      <c r="Q53" s="80">
        <f>IF(Navy!Z53=0,"n/a",IF(Resources!K53&gt;=Navy!Z53,"OK","Check"))</f>
        <v/>
      </c>
      <c r="R53" s="80">
        <f>IF(AND(gulf_on=1,$A53=gulf_year),IF(Gulf!AF53=1,"OK","Check"),"n/a")</f>
        <v/>
      </c>
      <c r="S53" s="47">
        <f>COUNTIF(B53:R53,"Check")</f>
        <v/>
      </c>
    </row>
    <row r="54">
      <c r="A54" s="58" t="n">
        <v>1894</v>
      </c>
      <c r="B54" s="80">
        <f>IF(ABS(People!L54-(People!B54+People!C54+People!D54+People!K54))&lt;1,"OK","Check")</f>
        <v/>
      </c>
      <c r="C54" s="80">
        <f>IF(ABS('Debt &amp; cash'!M54-'Debt &amp; cash'!E54)&lt;0.001,"OK","Check")</f>
        <v/>
      </c>
      <c r="D54" s="80">
        <f>IF('Debt &amp; cash'!S54&gt;=-0.001,"OK","Check")</f>
        <v/>
      </c>
      <c r="E54" s="81">
        <f>'Debt &amp; cash'!V54</f>
        <v/>
      </c>
      <c r="F54" s="80">
        <f>IF($A54&lt;1887,"n/a",IF(E54&lt;=cap_debt,"OK","Check"))</f>
        <v/>
      </c>
      <c r="G54" s="81">
        <f>'Debt &amp; cash'!W54</f>
        <v/>
      </c>
      <c r="H54" s="80">
        <f>IF($A54&lt;1887,"n/a",IF(G54&lt;=cap_int,"OK","Check"))</f>
        <v/>
      </c>
      <c r="I54" s="81">
        <f>Budget!AC54</f>
        <v/>
      </c>
      <c r="J54" s="80">
        <f>IF($A54&lt;1887,"n/a",IF(Paths!AC54=1,"War year",IF(I54&lt;=cap_def,"OK","Check")))</f>
        <v/>
      </c>
      <c r="K54" s="63">
        <f>'Debt &amp; cash'!Y54/Economy!O54</f>
        <v/>
      </c>
      <c r="L54" s="80">
        <f>IF('Debt &amp; cash'!Y54&lt;=mkt_capacity*Economy!O54+foreign_capacity,"OK","Check")</f>
        <v/>
      </c>
      <c r="M54" s="80">
        <f>IF($A54&lt;1900,"n/a",IF('Gold &amp; money'!K54&gt;=0,"OK","Check"))</f>
        <v/>
      </c>
      <c r="N54" s="81">
        <f>Japan!AA54</f>
        <v/>
      </c>
      <c r="O54" s="80">
        <f>IF(N54&lt;=1,"OK","Check")</f>
        <v/>
      </c>
      <c r="P54" s="80">
        <f>IF($A54&lt;1922,"n/a",IF(AND(Navy!AE54&gt;=0.95,Navy!AE54&lt;=1.1),"OK","Check"))</f>
        <v/>
      </c>
      <c r="Q54" s="80">
        <f>IF(Navy!Z54=0,"n/a",IF(Resources!K54&gt;=Navy!Z54,"OK","Check"))</f>
        <v/>
      </c>
      <c r="R54" s="80">
        <f>IF(AND(gulf_on=1,$A54=gulf_year),IF(Gulf!AF54=1,"OK","Check"),"n/a")</f>
        <v/>
      </c>
      <c r="S54" s="47">
        <f>COUNTIF(B54:R54,"Check")</f>
        <v/>
      </c>
    </row>
    <row r="55">
      <c r="A55" s="58" t="n">
        <v>1895</v>
      </c>
      <c r="B55" s="80">
        <f>IF(ABS(People!L55-(People!B55+People!C55+People!D55+People!K55))&lt;1,"OK","Check")</f>
        <v/>
      </c>
      <c r="C55" s="80">
        <f>IF(ABS('Debt &amp; cash'!M55-'Debt &amp; cash'!E55)&lt;0.001,"OK","Check")</f>
        <v/>
      </c>
      <c r="D55" s="80">
        <f>IF('Debt &amp; cash'!S55&gt;=-0.001,"OK","Check")</f>
        <v/>
      </c>
      <c r="E55" s="81">
        <f>'Debt &amp; cash'!V55</f>
        <v/>
      </c>
      <c r="F55" s="80">
        <f>IF($A55&lt;1887,"n/a",IF(E55&lt;=cap_debt,"OK","Check"))</f>
        <v/>
      </c>
      <c r="G55" s="81">
        <f>'Debt &amp; cash'!W55</f>
        <v/>
      </c>
      <c r="H55" s="80">
        <f>IF($A55&lt;1887,"n/a",IF(G55&lt;=cap_int,"OK","Check"))</f>
        <v/>
      </c>
      <c r="I55" s="81">
        <f>Budget!AC55</f>
        <v/>
      </c>
      <c r="J55" s="80">
        <f>IF($A55&lt;1887,"n/a",IF(Paths!AC55=1,"War year",IF(I55&lt;=cap_def,"OK","Check")))</f>
        <v/>
      </c>
      <c r="K55" s="63">
        <f>'Debt &amp; cash'!Y55/Economy!O55</f>
        <v/>
      </c>
      <c r="L55" s="80">
        <f>IF('Debt &amp; cash'!Y55&lt;=mkt_capacity*Economy!O55+foreign_capacity,"OK","Check")</f>
        <v/>
      </c>
      <c r="M55" s="80">
        <f>IF($A55&lt;1900,"n/a",IF('Gold &amp; money'!K55&gt;=0,"OK","Check"))</f>
        <v/>
      </c>
      <c r="N55" s="81">
        <f>Japan!AA55</f>
        <v/>
      </c>
      <c r="O55" s="80">
        <f>IF(N55&lt;=1,"OK","Check")</f>
        <v/>
      </c>
      <c r="P55" s="80">
        <f>IF($A55&lt;1922,"n/a",IF(AND(Navy!AE55&gt;=0.95,Navy!AE55&lt;=1.1),"OK","Check"))</f>
        <v/>
      </c>
      <c r="Q55" s="80">
        <f>IF(Navy!Z55=0,"n/a",IF(Resources!K55&gt;=Navy!Z55,"OK","Check"))</f>
        <v/>
      </c>
      <c r="R55" s="80">
        <f>IF(AND(gulf_on=1,$A55=gulf_year),IF(Gulf!AF55=1,"OK","Check"),"n/a")</f>
        <v/>
      </c>
      <c r="S55" s="47">
        <f>COUNTIF(B55:R55,"Check")</f>
        <v/>
      </c>
    </row>
    <row r="56">
      <c r="A56" s="58" t="n">
        <v>1896</v>
      </c>
      <c r="B56" s="80">
        <f>IF(ABS(People!L56-(People!B56+People!C56+People!D56+People!K56))&lt;1,"OK","Check")</f>
        <v/>
      </c>
      <c r="C56" s="80">
        <f>IF(ABS('Debt &amp; cash'!M56-'Debt &amp; cash'!E56)&lt;0.001,"OK","Check")</f>
        <v/>
      </c>
      <c r="D56" s="80">
        <f>IF('Debt &amp; cash'!S56&gt;=-0.001,"OK","Check")</f>
        <v/>
      </c>
      <c r="E56" s="81">
        <f>'Debt &amp; cash'!V56</f>
        <v/>
      </c>
      <c r="F56" s="80">
        <f>IF($A56&lt;1887,"n/a",IF(E56&lt;=cap_debt,"OK","Check"))</f>
        <v/>
      </c>
      <c r="G56" s="81">
        <f>'Debt &amp; cash'!W56</f>
        <v/>
      </c>
      <c r="H56" s="80">
        <f>IF($A56&lt;1887,"n/a",IF(G56&lt;=cap_int,"OK","Check"))</f>
        <v/>
      </c>
      <c r="I56" s="81">
        <f>Budget!AC56</f>
        <v/>
      </c>
      <c r="J56" s="80">
        <f>IF($A56&lt;1887,"n/a",IF(Paths!AC56=1,"War year",IF(I56&lt;=cap_def,"OK","Check")))</f>
        <v/>
      </c>
      <c r="K56" s="63">
        <f>'Debt &amp; cash'!Y56/Economy!O56</f>
        <v/>
      </c>
      <c r="L56" s="80">
        <f>IF('Debt &amp; cash'!Y56&lt;=mkt_capacity*Economy!O56+foreign_capacity,"OK","Check")</f>
        <v/>
      </c>
      <c r="M56" s="80">
        <f>IF($A56&lt;1900,"n/a",IF('Gold &amp; money'!K56&gt;=0,"OK","Check"))</f>
        <v/>
      </c>
      <c r="N56" s="81">
        <f>Japan!AA56</f>
        <v/>
      </c>
      <c r="O56" s="80">
        <f>IF(N56&lt;=1,"OK","Check")</f>
        <v/>
      </c>
      <c r="P56" s="80">
        <f>IF($A56&lt;1922,"n/a",IF(AND(Navy!AE56&gt;=0.95,Navy!AE56&lt;=1.1),"OK","Check"))</f>
        <v/>
      </c>
      <c r="Q56" s="80">
        <f>IF(Navy!Z56=0,"n/a",IF(Resources!K56&gt;=Navy!Z56,"OK","Check"))</f>
        <v/>
      </c>
      <c r="R56" s="80">
        <f>IF(AND(gulf_on=1,$A56=gulf_year),IF(Gulf!AF56=1,"OK","Check"),"n/a")</f>
        <v/>
      </c>
      <c r="S56" s="47">
        <f>COUNTIF(B56:R56,"Check")</f>
        <v/>
      </c>
    </row>
    <row r="57">
      <c r="A57" s="58" t="n">
        <v>1897</v>
      </c>
      <c r="B57" s="80">
        <f>IF(ABS(People!L57-(People!B57+People!C57+People!D57+People!K57))&lt;1,"OK","Check")</f>
        <v/>
      </c>
      <c r="C57" s="80">
        <f>IF(ABS('Debt &amp; cash'!M57-'Debt &amp; cash'!E57)&lt;0.001,"OK","Check")</f>
        <v/>
      </c>
      <c r="D57" s="80">
        <f>IF('Debt &amp; cash'!S57&gt;=-0.001,"OK","Check")</f>
        <v/>
      </c>
      <c r="E57" s="81">
        <f>'Debt &amp; cash'!V57</f>
        <v/>
      </c>
      <c r="F57" s="80">
        <f>IF($A57&lt;1887,"n/a",IF(E57&lt;=cap_debt,"OK","Check"))</f>
        <v/>
      </c>
      <c r="G57" s="81">
        <f>'Debt &amp; cash'!W57</f>
        <v/>
      </c>
      <c r="H57" s="80">
        <f>IF($A57&lt;1887,"n/a",IF(G57&lt;=cap_int,"OK","Check"))</f>
        <v/>
      </c>
      <c r="I57" s="81">
        <f>Budget!AC57</f>
        <v/>
      </c>
      <c r="J57" s="80">
        <f>IF($A57&lt;1887,"n/a",IF(Paths!AC57=1,"War year",IF(I57&lt;=cap_def,"OK","Check")))</f>
        <v/>
      </c>
      <c r="K57" s="63">
        <f>'Debt &amp; cash'!Y57/Economy!O57</f>
        <v/>
      </c>
      <c r="L57" s="80">
        <f>IF('Debt &amp; cash'!Y57&lt;=mkt_capacity*Economy!O57+foreign_capacity,"OK","Check")</f>
        <v/>
      </c>
      <c r="M57" s="80">
        <f>IF($A57&lt;1900,"n/a",IF('Gold &amp; money'!K57&gt;=0,"OK","Check"))</f>
        <v/>
      </c>
      <c r="N57" s="81">
        <f>Japan!AA57</f>
        <v/>
      </c>
      <c r="O57" s="80">
        <f>IF(N57&lt;=1,"OK","Check")</f>
        <v/>
      </c>
      <c r="P57" s="80">
        <f>IF($A57&lt;1922,"n/a",IF(AND(Navy!AE57&gt;=0.95,Navy!AE57&lt;=1.1),"OK","Check"))</f>
        <v/>
      </c>
      <c r="Q57" s="80">
        <f>IF(Navy!Z57=0,"n/a",IF(Resources!K57&gt;=Navy!Z57,"OK","Check"))</f>
        <v/>
      </c>
      <c r="R57" s="80">
        <f>IF(AND(gulf_on=1,$A57=gulf_year),IF(Gulf!AF57=1,"OK","Check"),"n/a")</f>
        <v/>
      </c>
      <c r="S57" s="47">
        <f>COUNTIF(B57:R57,"Check")</f>
        <v/>
      </c>
    </row>
    <row r="58">
      <c r="A58" s="58" t="n">
        <v>1898</v>
      </c>
      <c r="B58" s="80">
        <f>IF(ABS(People!L58-(People!B58+People!C58+People!D58+People!K58))&lt;1,"OK","Check")</f>
        <v/>
      </c>
      <c r="C58" s="80">
        <f>IF(ABS('Debt &amp; cash'!M58-'Debt &amp; cash'!E58)&lt;0.001,"OK","Check")</f>
        <v/>
      </c>
      <c r="D58" s="80">
        <f>IF('Debt &amp; cash'!S58&gt;=-0.001,"OK","Check")</f>
        <v/>
      </c>
      <c r="E58" s="81">
        <f>'Debt &amp; cash'!V58</f>
        <v/>
      </c>
      <c r="F58" s="80">
        <f>IF($A58&lt;1887,"n/a",IF(E58&lt;=cap_debt,"OK","Check"))</f>
        <v/>
      </c>
      <c r="G58" s="81">
        <f>'Debt &amp; cash'!W58</f>
        <v/>
      </c>
      <c r="H58" s="80">
        <f>IF($A58&lt;1887,"n/a",IF(G58&lt;=cap_int,"OK","Check"))</f>
        <v/>
      </c>
      <c r="I58" s="81">
        <f>Budget!AC58</f>
        <v/>
      </c>
      <c r="J58" s="80">
        <f>IF($A58&lt;1887,"n/a",IF(Paths!AC58=1,"War year",IF(I58&lt;=cap_def,"OK","Check")))</f>
        <v/>
      </c>
      <c r="K58" s="63">
        <f>'Debt &amp; cash'!Y58/Economy!O58</f>
        <v/>
      </c>
      <c r="L58" s="80">
        <f>IF('Debt &amp; cash'!Y58&lt;=mkt_capacity*Economy!O58+foreign_capacity,"OK","Check")</f>
        <v/>
      </c>
      <c r="M58" s="80">
        <f>IF($A58&lt;1900,"n/a",IF('Gold &amp; money'!K58&gt;=0,"OK","Check"))</f>
        <v/>
      </c>
      <c r="N58" s="81">
        <f>Japan!AA58</f>
        <v/>
      </c>
      <c r="O58" s="80">
        <f>IF(N58&lt;=1,"OK","Check")</f>
        <v/>
      </c>
      <c r="P58" s="80">
        <f>IF($A58&lt;1922,"n/a",IF(AND(Navy!AE58&gt;=0.95,Navy!AE58&lt;=1.1),"OK","Check"))</f>
        <v/>
      </c>
      <c r="Q58" s="80">
        <f>IF(Navy!Z58=0,"n/a",IF(Resources!K58&gt;=Navy!Z58,"OK","Check"))</f>
        <v/>
      </c>
      <c r="R58" s="80">
        <f>IF(AND(gulf_on=1,$A58=gulf_year),IF(Gulf!AF58=1,"OK","Check"),"n/a")</f>
        <v/>
      </c>
      <c r="S58" s="47">
        <f>COUNTIF(B58:R58,"Check")</f>
        <v/>
      </c>
    </row>
    <row r="59">
      <c r="A59" s="58" t="n">
        <v>1899</v>
      </c>
      <c r="B59" s="80">
        <f>IF(ABS(People!L59-(People!B59+People!C59+People!D59+People!K59))&lt;1,"OK","Check")</f>
        <v/>
      </c>
      <c r="C59" s="80">
        <f>IF(ABS('Debt &amp; cash'!M59-'Debt &amp; cash'!E59)&lt;0.001,"OK","Check")</f>
        <v/>
      </c>
      <c r="D59" s="80">
        <f>IF('Debt &amp; cash'!S59&gt;=-0.001,"OK","Check")</f>
        <v/>
      </c>
      <c r="E59" s="81">
        <f>'Debt &amp; cash'!V59</f>
        <v/>
      </c>
      <c r="F59" s="80">
        <f>IF($A59&lt;1887,"n/a",IF(E59&lt;=cap_debt,"OK","Check"))</f>
        <v/>
      </c>
      <c r="G59" s="81">
        <f>'Debt &amp; cash'!W59</f>
        <v/>
      </c>
      <c r="H59" s="80">
        <f>IF($A59&lt;1887,"n/a",IF(G59&lt;=cap_int,"OK","Check"))</f>
        <v/>
      </c>
      <c r="I59" s="81">
        <f>Budget!AC59</f>
        <v/>
      </c>
      <c r="J59" s="80">
        <f>IF($A59&lt;1887,"n/a",IF(Paths!AC59=1,"War year",IF(I59&lt;=cap_def,"OK","Check")))</f>
        <v/>
      </c>
      <c r="K59" s="63">
        <f>'Debt &amp; cash'!Y59/Economy!O59</f>
        <v/>
      </c>
      <c r="L59" s="80">
        <f>IF('Debt &amp; cash'!Y59&lt;=mkt_capacity*Economy!O59+foreign_capacity,"OK","Check")</f>
        <v/>
      </c>
      <c r="M59" s="80">
        <f>IF($A59&lt;1900,"n/a",IF('Gold &amp; money'!K59&gt;=0,"OK","Check"))</f>
        <v/>
      </c>
      <c r="N59" s="81">
        <f>Japan!AA59</f>
        <v/>
      </c>
      <c r="O59" s="80">
        <f>IF(N59&lt;=1,"OK","Check")</f>
        <v/>
      </c>
      <c r="P59" s="80">
        <f>IF($A59&lt;1922,"n/a",IF(AND(Navy!AE59&gt;=0.95,Navy!AE59&lt;=1.1),"OK","Check"))</f>
        <v/>
      </c>
      <c r="Q59" s="80">
        <f>IF(Navy!Z59=0,"n/a",IF(Resources!K59&gt;=Navy!Z59,"OK","Check"))</f>
        <v/>
      </c>
      <c r="R59" s="80">
        <f>IF(AND(gulf_on=1,$A59=gulf_year),IF(Gulf!AF59=1,"OK","Check"),"n/a")</f>
        <v/>
      </c>
      <c r="S59" s="47">
        <f>COUNTIF(B59:R59,"Check")</f>
        <v/>
      </c>
    </row>
    <row r="60">
      <c r="A60" s="58" t="n">
        <v>1900</v>
      </c>
      <c r="B60" s="80">
        <f>IF(ABS(People!L60-(People!B60+People!C60+People!D60+People!K60))&lt;1,"OK","Check")</f>
        <v/>
      </c>
      <c r="C60" s="80">
        <f>IF(ABS('Debt &amp; cash'!M60-'Debt &amp; cash'!E60)&lt;0.001,"OK","Check")</f>
        <v/>
      </c>
      <c r="D60" s="80">
        <f>IF('Debt &amp; cash'!S60&gt;=-0.001,"OK","Check")</f>
        <v/>
      </c>
      <c r="E60" s="81">
        <f>'Debt &amp; cash'!V60</f>
        <v/>
      </c>
      <c r="F60" s="80">
        <f>IF($A60&lt;1887,"n/a",IF(E60&lt;=cap_debt,"OK","Check"))</f>
        <v/>
      </c>
      <c r="G60" s="81">
        <f>'Debt &amp; cash'!W60</f>
        <v/>
      </c>
      <c r="H60" s="80">
        <f>IF($A60&lt;1887,"n/a",IF(G60&lt;=cap_int,"OK","Check"))</f>
        <v/>
      </c>
      <c r="I60" s="81">
        <f>Budget!AC60</f>
        <v/>
      </c>
      <c r="J60" s="80">
        <f>IF($A60&lt;1887,"n/a",IF(Paths!AC60=1,"War year",IF(I60&lt;=cap_def,"OK","Check")))</f>
        <v/>
      </c>
      <c r="K60" s="63">
        <f>'Debt &amp; cash'!Y60/Economy!O60</f>
        <v/>
      </c>
      <c r="L60" s="80">
        <f>IF('Debt &amp; cash'!Y60&lt;=mkt_capacity*Economy!O60+foreign_capacity,"OK","Check")</f>
        <v/>
      </c>
      <c r="M60" s="80">
        <f>IF($A60&lt;1900,"n/a",IF('Gold &amp; money'!K60&gt;=0,"OK","Check"))</f>
        <v/>
      </c>
      <c r="N60" s="81">
        <f>Japan!AA60</f>
        <v/>
      </c>
      <c r="O60" s="80">
        <f>IF(N60&lt;=1,"OK","Check")</f>
        <v/>
      </c>
      <c r="P60" s="80">
        <f>IF($A60&lt;1922,"n/a",IF(AND(Navy!AE60&gt;=0.95,Navy!AE60&lt;=1.1),"OK","Check"))</f>
        <v/>
      </c>
      <c r="Q60" s="80">
        <f>IF(Navy!Z60=0,"n/a",IF(Resources!K60&gt;=Navy!Z60,"OK","Check"))</f>
        <v/>
      </c>
      <c r="R60" s="80">
        <f>IF(AND(gulf_on=1,$A60=gulf_year),IF(Gulf!AF60=1,"OK","Check"),"n/a")</f>
        <v/>
      </c>
      <c r="S60" s="47">
        <f>COUNTIF(B60:R60,"Check")</f>
        <v/>
      </c>
    </row>
    <row r="61">
      <c r="A61" s="58" t="n">
        <v>1901</v>
      </c>
      <c r="B61" s="80">
        <f>IF(ABS(People!L61-(People!B61+People!C61+People!D61+People!K61))&lt;1,"OK","Check")</f>
        <v/>
      </c>
      <c r="C61" s="80">
        <f>IF(ABS('Debt &amp; cash'!M61-'Debt &amp; cash'!E61)&lt;0.001,"OK","Check")</f>
        <v/>
      </c>
      <c r="D61" s="80">
        <f>IF('Debt &amp; cash'!S61&gt;=-0.001,"OK","Check")</f>
        <v/>
      </c>
      <c r="E61" s="81">
        <f>'Debt &amp; cash'!V61</f>
        <v/>
      </c>
      <c r="F61" s="80">
        <f>IF($A61&lt;1887,"n/a",IF(E61&lt;=cap_debt,"OK","Check"))</f>
        <v/>
      </c>
      <c r="G61" s="81">
        <f>'Debt &amp; cash'!W61</f>
        <v/>
      </c>
      <c r="H61" s="80">
        <f>IF($A61&lt;1887,"n/a",IF(G61&lt;=cap_int,"OK","Check"))</f>
        <v/>
      </c>
      <c r="I61" s="81">
        <f>Budget!AC61</f>
        <v/>
      </c>
      <c r="J61" s="80">
        <f>IF($A61&lt;1887,"n/a",IF(Paths!AC61=1,"War year",IF(I61&lt;=cap_def,"OK","Check")))</f>
        <v/>
      </c>
      <c r="K61" s="63">
        <f>'Debt &amp; cash'!Y61/Economy!O61</f>
        <v/>
      </c>
      <c r="L61" s="80">
        <f>IF('Debt &amp; cash'!Y61&lt;=mkt_capacity*Economy!O61+foreign_capacity,"OK","Check")</f>
        <v/>
      </c>
      <c r="M61" s="80">
        <f>IF($A61&lt;1900,"n/a",IF('Gold &amp; money'!K61&gt;=0,"OK","Check"))</f>
        <v/>
      </c>
      <c r="N61" s="81">
        <f>Japan!AA61</f>
        <v/>
      </c>
      <c r="O61" s="80">
        <f>IF(N61&lt;=1,"OK","Check")</f>
        <v/>
      </c>
      <c r="P61" s="80">
        <f>IF($A61&lt;1922,"n/a",IF(AND(Navy!AE61&gt;=0.95,Navy!AE61&lt;=1.1),"OK","Check"))</f>
        <v/>
      </c>
      <c r="Q61" s="80">
        <f>IF(Navy!Z61=0,"n/a",IF(Resources!K61&gt;=Navy!Z61,"OK","Check"))</f>
        <v/>
      </c>
      <c r="R61" s="80">
        <f>IF(AND(gulf_on=1,$A61=gulf_year),IF(Gulf!AF61=1,"OK","Check"),"n/a")</f>
        <v/>
      </c>
      <c r="S61" s="47">
        <f>COUNTIF(B61:R61,"Check")</f>
        <v/>
      </c>
    </row>
    <row r="62">
      <c r="A62" s="58" t="n">
        <v>1902</v>
      </c>
      <c r="B62" s="80">
        <f>IF(ABS(People!L62-(People!B62+People!C62+People!D62+People!K62))&lt;1,"OK","Check")</f>
        <v/>
      </c>
      <c r="C62" s="80">
        <f>IF(ABS('Debt &amp; cash'!M62-'Debt &amp; cash'!E62)&lt;0.001,"OK","Check")</f>
        <v/>
      </c>
      <c r="D62" s="80">
        <f>IF('Debt &amp; cash'!S62&gt;=-0.001,"OK","Check")</f>
        <v/>
      </c>
      <c r="E62" s="81">
        <f>'Debt &amp; cash'!V62</f>
        <v/>
      </c>
      <c r="F62" s="80">
        <f>IF($A62&lt;1887,"n/a",IF(E62&lt;=cap_debt,"OK","Check"))</f>
        <v/>
      </c>
      <c r="G62" s="81">
        <f>'Debt &amp; cash'!W62</f>
        <v/>
      </c>
      <c r="H62" s="80">
        <f>IF($A62&lt;1887,"n/a",IF(G62&lt;=cap_int,"OK","Check"))</f>
        <v/>
      </c>
      <c r="I62" s="81">
        <f>Budget!AC62</f>
        <v/>
      </c>
      <c r="J62" s="80">
        <f>IF($A62&lt;1887,"n/a",IF(Paths!AC62=1,"War year",IF(I62&lt;=cap_def,"OK","Check")))</f>
        <v/>
      </c>
      <c r="K62" s="63">
        <f>'Debt &amp; cash'!Y62/Economy!O62</f>
        <v/>
      </c>
      <c r="L62" s="80">
        <f>IF('Debt &amp; cash'!Y62&lt;=mkt_capacity*Economy!O62+foreign_capacity,"OK","Check")</f>
        <v/>
      </c>
      <c r="M62" s="80">
        <f>IF($A62&lt;1900,"n/a",IF('Gold &amp; money'!K62&gt;=0,"OK","Check"))</f>
        <v/>
      </c>
      <c r="N62" s="81">
        <f>Japan!AA62</f>
        <v/>
      </c>
      <c r="O62" s="80">
        <f>IF(N62&lt;=1,"OK","Check")</f>
        <v/>
      </c>
      <c r="P62" s="80">
        <f>IF($A62&lt;1922,"n/a",IF(AND(Navy!AE62&gt;=0.95,Navy!AE62&lt;=1.1),"OK","Check"))</f>
        <v/>
      </c>
      <c r="Q62" s="80">
        <f>IF(Navy!Z62=0,"n/a",IF(Resources!K62&gt;=Navy!Z62,"OK","Check"))</f>
        <v/>
      </c>
      <c r="R62" s="80">
        <f>IF(AND(gulf_on=1,$A62=gulf_year),IF(Gulf!AF62=1,"OK","Check"),"n/a")</f>
        <v/>
      </c>
      <c r="S62" s="47">
        <f>COUNTIF(B62:R62,"Check")</f>
        <v/>
      </c>
    </row>
    <row r="63">
      <c r="A63" s="58" t="n">
        <v>1903</v>
      </c>
      <c r="B63" s="80">
        <f>IF(ABS(People!L63-(People!B63+People!C63+People!D63+People!K63))&lt;1,"OK","Check")</f>
        <v/>
      </c>
      <c r="C63" s="80">
        <f>IF(ABS('Debt &amp; cash'!M63-'Debt &amp; cash'!E63)&lt;0.001,"OK","Check")</f>
        <v/>
      </c>
      <c r="D63" s="80">
        <f>IF('Debt &amp; cash'!S63&gt;=-0.001,"OK","Check")</f>
        <v/>
      </c>
      <c r="E63" s="81">
        <f>'Debt &amp; cash'!V63</f>
        <v/>
      </c>
      <c r="F63" s="80">
        <f>IF($A63&lt;1887,"n/a",IF(E63&lt;=cap_debt,"OK","Check"))</f>
        <v/>
      </c>
      <c r="G63" s="81">
        <f>'Debt &amp; cash'!W63</f>
        <v/>
      </c>
      <c r="H63" s="80">
        <f>IF($A63&lt;1887,"n/a",IF(G63&lt;=cap_int,"OK","Check"))</f>
        <v/>
      </c>
      <c r="I63" s="81">
        <f>Budget!AC63</f>
        <v/>
      </c>
      <c r="J63" s="80">
        <f>IF($A63&lt;1887,"n/a",IF(Paths!AC63=1,"War year",IF(I63&lt;=cap_def,"OK","Check")))</f>
        <v/>
      </c>
      <c r="K63" s="63">
        <f>'Debt &amp; cash'!Y63/Economy!O63</f>
        <v/>
      </c>
      <c r="L63" s="80">
        <f>IF('Debt &amp; cash'!Y63&lt;=mkt_capacity*Economy!O63+foreign_capacity,"OK","Check")</f>
        <v/>
      </c>
      <c r="M63" s="80">
        <f>IF($A63&lt;1900,"n/a",IF('Gold &amp; money'!K63&gt;=0,"OK","Check"))</f>
        <v/>
      </c>
      <c r="N63" s="81">
        <f>Japan!AA63</f>
        <v/>
      </c>
      <c r="O63" s="80">
        <f>IF(N63&lt;=1,"OK","Check")</f>
        <v/>
      </c>
      <c r="P63" s="80">
        <f>IF($A63&lt;1922,"n/a",IF(AND(Navy!AE63&gt;=0.95,Navy!AE63&lt;=1.1),"OK","Check"))</f>
        <v/>
      </c>
      <c r="Q63" s="80">
        <f>IF(Navy!Z63=0,"n/a",IF(Resources!K63&gt;=Navy!Z63,"OK","Check"))</f>
        <v/>
      </c>
      <c r="R63" s="80">
        <f>IF(AND(gulf_on=1,$A63=gulf_year),IF(Gulf!AF63=1,"OK","Check"),"n/a")</f>
        <v/>
      </c>
      <c r="S63" s="47">
        <f>COUNTIF(B63:R63,"Check")</f>
        <v/>
      </c>
    </row>
    <row r="64">
      <c r="A64" s="58" t="n">
        <v>1904</v>
      </c>
      <c r="B64" s="80">
        <f>IF(ABS(People!L64-(People!B64+People!C64+People!D64+People!K64))&lt;1,"OK","Check")</f>
        <v/>
      </c>
      <c r="C64" s="80">
        <f>IF(ABS('Debt &amp; cash'!M64-'Debt &amp; cash'!E64)&lt;0.001,"OK","Check")</f>
        <v/>
      </c>
      <c r="D64" s="80">
        <f>IF('Debt &amp; cash'!S64&gt;=-0.001,"OK","Check")</f>
        <v/>
      </c>
      <c r="E64" s="81">
        <f>'Debt &amp; cash'!V64</f>
        <v/>
      </c>
      <c r="F64" s="80">
        <f>IF($A64&lt;1887,"n/a",IF(E64&lt;=cap_debt,"OK","Check"))</f>
        <v/>
      </c>
      <c r="G64" s="81">
        <f>'Debt &amp; cash'!W64</f>
        <v/>
      </c>
      <c r="H64" s="80">
        <f>IF($A64&lt;1887,"n/a",IF(G64&lt;=cap_int,"OK","Check"))</f>
        <v/>
      </c>
      <c r="I64" s="81">
        <f>Budget!AC64</f>
        <v/>
      </c>
      <c r="J64" s="80">
        <f>IF($A64&lt;1887,"n/a",IF(Paths!AC64=1,"War year",IF(I64&lt;=cap_def,"OK","Check")))</f>
        <v/>
      </c>
      <c r="K64" s="63">
        <f>'Debt &amp; cash'!Y64/Economy!O64</f>
        <v/>
      </c>
      <c r="L64" s="80">
        <f>IF('Debt &amp; cash'!Y64&lt;=mkt_capacity*Economy!O64+foreign_capacity,"OK","Check")</f>
        <v/>
      </c>
      <c r="M64" s="80">
        <f>IF($A64&lt;1900,"n/a",IF('Gold &amp; money'!K64&gt;=0,"OK","Check"))</f>
        <v/>
      </c>
      <c r="N64" s="81">
        <f>Japan!AA64</f>
        <v/>
      </c>
      <c r="O64" s="80">
        <f>IF(N64&lt;=1,"OK","Check")</f>
        <v/>
      </c>
      <c r="P64" s="80">
        <f>IF($A64&lt;1922,"n/a",IF(AND(Navy!AE64&gt;=0.95,Navy!AE64&lt;=1.1),"OK","Check"))</f>
        <v/>
      </c>
      <c r="Q64" s="80">
        <f>IF(Navy!Z64=0,"n/a",IF(Resources!K64&gt;=Navy!Z64,"OK","Check"))</f>
        <v/>
      </c>
      <c r="R64" s="80">
        <f>IF(AND(gulf_on=1,$A64=gulf_year),IF(Gulf!AF64=1,"OK","Check"),"n/a")</f>
        <v/>
      </c>
      <c r="S64" s="47">
        <f>COUNTIF(B64:R64,"Check")</f>
        <v/>
      </c>
    </row>
    <row r="65">
      <c r="A65" s="58" t="n">
        <v>1905</v>
      </c>
      <c r="B65" s="80">
        <f>IF(ABS(People!L65-(People!B65+People!C65+People!D65+People!K65))&lt;1,"OK","Check")</f>
        <v/>
      </c>
      <c r="C65" s="80">
        <f>IF(ABS('Debt &amp; cash'!M65-'Debt &amp; cash'!E65)&lt;0.001,"OK","Check")</f>
        <v/>
      </c>
      <c r="D65" s="80">
        <f>IF('Debt &amp; cash'!S65&gt;=-0.001,"OK","Check")</f>
        <v/>
      </c>
      <c r="E65" s="81">
        <f>'Debt &amp; cash'!V65</f>
        <v/>
      </c>
      <c r="F65" s="80">
        <f>IF($A65&lt;1887,"n/a",IF(E65&lt;=cap_debt,"OK","Check"))</f>
        <v/>
      </c>
      <c r="G65" s="81">
        <f>'Debt &amp; cash'!W65</f>
        <v/>
      </c>
      <c r="H65" s="80">
        <f>IF($A65&lt;1887,"n/a",IF(G65&lt;=cap_int,"OK","Check"))</f>
        <v/>
      </c>
      <c r="I65" s="81">
        <f>Budget!AC65</f>
        <v/>
      </c>
      <c r="J65" s="80">
        <f>IF($A65&lt;1887,"n/a",IF(Paths!AC65=1,"War year",IF(I65&lt;=cap_def,"OK","Check")))</f>
        <v/>
      </c>
      <c r="K65" s="63">
        <f>'Debt &amp; cash'!Y65/Economy!O65</f>
        <v/>
      </c>
      <c r="L65" s="80">
        <f>IF('Debt &amp; cash'!Y65&lt;=mkt_capacity*Economy!O65+foreign_capacity,"OK","Check")</f>
        <v/>
      </c>
      <c r="M65" s="80">
        <f>IF($A65&lt;1900,"n/a",IF('Gold &amp; money'!K65&gt;=0,"OK","Check"))</f>
        <v/>
      </c>
      <c r="N65" s="81">
        <f>Japan!AA65</f>
        <v/>
      </c>
      <c r="O65" s="80">
        <f>IF(N65&lt;=1,"OK","Check")</f>
        <v/>
      </c>
      <c r="P65" s="80">
        <f>IF($A65&lt;1922,"n/a",IF(AND(Navy!AE65&gt;=0.95,Navy!AE65&lt;=1.1),"OK","Check"))</f>
        <v/>
      </c>
      <c r="Q65" s="80">
        <f>IF(Navy!Z65=0,"n/a",IF(Resources!K65&gt;=Navy!Z65,"OK","Check"))</f>
        <v/>
      </c>
      <c r="R65" s="80">
        <f>IF(AND(gulf_on=1,$A65=gulf_year),IF(Gulf!AF65=1,"OK","Check"),"n/a")</f>
        <v/>
      </c>
      <c r="S65" s="47">
        <f>COUNTIF(B65:R65,"Check")</f>
        <v/>
      </c>
    </row>
    <row r="66">
      <c r="A66" s="58" t="n">
        <v>1906</v>
      </c>
      <c r="B66" s="80">
        <f>IF(ABS(People!L66-(People!B66+People!C66+People!D66+People!K66))&lt;1,"OK","Check")</f>
        <v/>
      </c>
      <c r="C66" s="80">
        <f>IF(ABS('Debt &amp; cash'!M66-'Debt &amp; cash'!E66)&lt;0.001,"OK","Check")</f>
        <v/>
      </c>
      <c r="D66" s="80">
        <f>IF('Debt &amp; cash'!S66&gt;=-0.001,"OK","Check")</f>
        <v/>
      </c>
      <c r="E66" s="81">
        <f>'Debt &amp; cash'!V66</f>
        <v/>
      </c>
      <c r="F66" s="80">
        <f>IF($A66&lt;1887,"n/a",IF(E66&lt;=cap_debt,"OK","Check"))</f>
        <v/>
      </c>
      <c r="G66" s="81">
        <f>'Debt &amp; cash'!W66</f>
        <v/>
      </c>
      <c r="H66" s="80">
        <f>IF($A66&lt;1887,"n/a",IF(G66&lt;=cap_int,"OK","Check"))</f>
        <v/>
      </c>
      <c r="I66" s="81">
        <f>Budget!AC66</f>
        <v/>
      </c>
      <c r="J66" s="80">
        <f>IF($A66&lt;1887,"n/a",IF(Paths!AC66=1,"War year",IF(I66&lt;=cap_def,"OK","Check")))</f>
        <v/>
      </c>
      <c r="K66" s="63">
        <f>'Debt &amp; cash'!Y66/Economy!O66</f>
        <v/>
      </c>
      <c r="L66" s="80">
        <f>IF('Debt &amp; cash'!Y66&lt;=mkt_capacity*Economy!O66+foreign_capacity,"OK","Check")</f>
        <v/>
      </c>
      <c r="M66" s="80">
        <f>IF($A66&lt;1900,"n/a",IF('Gold &amp; money'!K66&gt;=0,"OK","Check"))</f>
        <v/>
      </c>
      <c r="N66" s="81">
        <f>Japan!AA66</f>
        <v/>
      </c>
      <c r="O66" s="80">
        <f>IF(N66&lt;=1,"OK","Check")</f>
        <v/>
      </c>
      <c r="P66" s="80">
        <f>IF($A66&lt;1922,"n/a",IF(AND(Navy!AE66&gt;=0.95,Navy!AE66&lt;=1.1),"OK","Check"))</f>
        <v/>
      </c>
      <c r="Q66" s="80">
        <f>IF(Navy!Z66=0,"n/a",IF(Resources!K66&gt;=Navy!Z66,"OK","Check"))</f>
        <v/>
      </c>
      <c r="R66" s="80">
        <f>IF(AND(gulf_on=1,$A66=gulf_year),IF(Gulf!AF66=1,"OK","Check"),"n/a")</f>
        <v/>
      </c>
      <c r="S66" s="47">
        <f>COUNTIF(B66:R66,"Check")</f>
        <v/>
      </c>
    </row>
    <row r="67">
      <c r="A67" s="58" t="n">
        <v>1907</v>
      </c>
      <c r="B67" s="80">
        <f>IF(ABS(People!L67-(People!B67+People!C67+People!D67+People!K67))&lt;1,"OK","Check")</f>
        <v/>
      </c>
      <c r="C67" s="80">
        <f>IF(ABS('Debt &amp; cash'!M67-'Debt &amp; cash'!E67)&lt;0.001,"OK","Check")</f>
        <v/>
      </c>
      <c r="D67" s="80">
        <f>IF('Debt &amp; cash'!S67&gt;=-0.001,"OK","Check")</f>
        <v/>
      </c>
      <c r="E67" s="81">
        <f>'Debt &amp; cash'!V67</f>
        <v/>
      </c>
      <c r="F67" s="80">
        <f>IF($A67&lt;1887,"n/a",IF(E67&lt;=cap_debt,"OK","Check"))</f>
        <v/>
      </c>
      <c r="G67" s="81">
        <f>'Debt &amp; cash'!W67</f>
        <v/>
      </c>
      <c r="H67" s="80">
        <f>IF($A67&lt;1887,"n/a",IF(G67&lt;=cap_int,"OK","Check"))</f>
        <v/>
      </c>
      <c r="I67" s="81">
        <f>Budget!AC67</f>
        <v/>
      </c>
      <c r="J67" s="80">
        <f>IF($A67&lt;1887,"n/a",IF(Paths!AC67=1,"War year",IF(I67&lt;=cap_def,"OK","Check")))</f>
        <v/>
      </c>
      <c r="K67" s="63">
        <f>'Debt &amp; cash'!Y67/Economy!O67</f>
        <v/>
      </c>
      <c r="L67" s="80">
        <f>IF('Debt &amp; cash'!Y67&lt;=mkt_capacity*Economy!O67+foreign_capacity,"OK","Check")</f>
        <v/>
      </c>
      <c r="M67" s="80">
        <f>IF($A67&lt;1900,"n/a",IF('Gold &amp; money'!K67&gt;=0,"OK","Check"))</f>
        <v/>
      </c>
      <c r="N67" s="81">
        <f>Japan!AA67</f>
        <v/>
      </c>
      <c r="O67" s="80">
        <f>IF(N67&lt;=1,"OK","Check")</f>
        <v/>
      </c>
      <c r="P67" s="80">
        <f>IF($A67&lt;1922,"n/a",IF(AND(Navy!AE67&gt;=0.95,Navy!AE67&lt;=1.1),"OK","Check"))</f>
        <v/>
      </c>
      <c r="Q67" s="80">
        <f>IF(Navy!Z67=0,"n/a",IF(Resources!K67&gt;=Navy!Z67,"OK","Check"))</f>
        <v/>
      </c>
      <c r="R67" s="80">
        <f>IF(AND(gulf_on=1,$A67=gulf_year),IF(Gulf!AF67=1,"OK","Check"),"n/a")</f>
        <v/>
      </c>
      <c r="S67" s="47">
        <f>COUNTIF(B67:R67,"Check")</f>
        <v/>
      </c>
    </row>
    <row r="68">
      <c r="A68" s="58" t="n">
        <v>1908</v>
      </c>
      <c r="B68" s="80">
        <f>IF(ABS(People!L68-(People!B68+People!C68+People!D68+People!K68))&lt;1,"OK","Check")</f>
        <v/>
      </c>
      <c r="C68" s="80">
        <f>IF(ABS('Debt &amp; cash'!M68-'Debt &amp; cash'!E68)&lt;0.001,"OK","Check")</f>
        <v/>
      </c>
      <c r="D68" s="80">
        <f>IF('Debt &amp; cash'!S68&gt;=-0.001,"OK","Check")</f>
        <v/>
      </c>
      <c r="E68" s="81">
        <f>'Debt &amp; cash'!V68</f>
        <v/>
      </c>
      <c r="F68" s="80">
        <f>IF($A68&lt;1887,"n/a",IF(E68&lt;=cap_debt,"OK","Check"))</f>
        <v/>
      </c>
      <c r="G68" s="81">
        <f>'Debt &amp; cash'!W68</f>
        <v/>
      </c>
      <c r="H68" s="80">
        <f>IF($A68&lt;1887,"n/a",IF(G68&lt;=cap_int,"OK","Check"))</f>
        <v/>
      </c>
      <c r="I68" s="81">
        <f>Budget!AC68</f>
        <v/>
      </c>
      <c r="J68" s="80">
        <f>IF($A68&lt;1887,"n/a",IF(Paths!AC68=1,"War year",IF(I68&lt;=cap_def,"OK","Check")))</f>
        <v/>
      </c>
      <c r="K68" s="63">
        <f>'Debt &amp; cash'!Y68/Economy!O68</f>
        <v/>
      </c>
      <c r="L68" s="80">
        <f>IF('Debt &amp; cash'!Y68&lt;=mkt_capacity*Economy!O68+foreign_capacity,"OK","Check")</f>
        <v/>
      </c>
      <c r="M68" s="80">
        <f>IF($A68&lt;1900,"n/a",IF('Gold &amp; money'!K68&gt;=0,"OK","Check"))</f>
        <v/>
      </c>
      <c r="N68" s="81">
        <f>Japan!AA68</f>
        <v/>
      </c>
      <c r="O68" s="80">
        <f>IF(N68&lt;=1,"OK","Check")</f>
        <v/>
      </c>
      <c r="P68" s="80">
        <f>IF($A68&lt;1922,"n/a",IF(AND(Navy!AE68&gt;=0.95,Navy!AE68&lt;=1.1),"OK","Check"))</f>
        <v/>
      </c>
      <c r="Q68" s="80">
        <f>IF(Navy!Z68=0,"n/a",IF(Resources!K68&gt;=Navy!Z68,"OK","Check"))</f>
        <v/>
      </c>
      <c r="R68" s="80">
        <f>IF(AND(gulf_on=1,$A68=gulf_year),IF(Gulf!AF68=1,"OK","Check"),"n/a")</f>
        <v/>
      </c>
      <c r="S68" s="47">
        <f>COUNTIF(B68:R68,"Check")</f>
        <v/>
      </c>
    </row>
    <row r="69">
      <c r="A69" s="58" t="n">
        <v>1909</v>
      </c>
      <c r="B69" s="80">
        <f>IF(ABS(People!L69-(People!B69+People!C69+People!D69+People!K69))&lt;1,"OK","Check")</f>
        <v/>
      </c>
      <c r="C69" s="80">
        <f>IF(ABS('Debt &amp; cash'!M69-'Debt &amp; cash'!E69)&lt;0.001,"OK","Check")</f>
        <v/>
      </c>
      <c r="D69" s="80">
        <f>IF('Debt &amp; cash'!S69&gt;=-0.001,"OK","Check")</f>
        <v/>
      </c>
      <c r="E69" s="81">
        <f>'Debt &amp; cash'!V69</f>
        <v/>
      </c>
      <c r="F69" s="80">
        <f>IF($A69&lt;1887,"n/a",IF(E69&lt;=cap_debt,"OK","Check"))</f>
        <v/>
      </c>
      <c r="G69" s="81">
        <f>'Debt &amp; cash'!W69</f>
        <v/>
      </c>
      <c r="H69" s="80">
        <f>IF($A69&lt;1887,"n/a",IF(G69&lt;=cap_int,"OK","Check"))</f>
        <v/>
      </c>
      <c r="I69" s="81">
        <f>Budget!AC69</f>
        <v/>
      </c>
      <c r="J69" s="80">
        <f>IF($A69&lt;1887,"n/a",IF(Paths!AC69=1,"War year",IF(I69&lt;=cap_def,"OK","Check")))</f>
        <v/>
      </c>
      <c r="K69" s="63">
        <f>'Debt &amp; cash'!Y69/Economy!O69</f>
        <v/>
      </c>
      <c r="L69" s="80">
        <f>IF('Debt &amp; cash'!Y69&lt;=mkt_capacity*Economy!O69+foreign_capacity,"OK","Check")</f>
        <v/>
      </c>
      <c r="M69" s="80">
        <f>IF($A69&lt;1900,"n/a",IF('Gold &amp; money'!K69&gt;=0,"OK","Check"))</f>
        <v/>
      </c>
      <c r="N69" s="81">
        <f>Japan!AA69</f>
        <v/>
      </c>
      <c r="O69" s="80">
        <f>IF(N69&lt;=1,"OK","Check")</f>
        <v/>
      </c>
      <c r="P69" s="80">
        <f>IF($A69&lt;1922,"n/a",IF(AND(Navy!AE69&gt;=0.95,Navy!AE69&lt;=1.1),"OK","Check"))</f>
        <v/>
      </c>
      <c r="Q69" s="80">
        <f>IF(Navy!Z69=0,"n/a",IF(Resources!K69&gt;=Navy!Z69,"OK","Check"))</f>
        <v/>
      </c>
      <c r="R69" s="80">
        <f>IF(AND(gulf_on=1,$A69=gulf_year),IF(Gulf!AF69=1,"OK","Check"),"n/a")</f>
        <v/>
      </c>
      <c r="S69" s="47">
        <f>COUNTIF(B69:R69,"Check")</f>
        <v/>
      </c>
    </row>
    <row r="70">
      <c r="A70" s="58" t="n">
        <v>1910</v>
      </c>
      <c r="B70" s="80">
        <f>IF(ABS(People!L70-(People!B70+People!C70+People!D70+People!K70))&lt;1,"OK","Check")</f>
        <v/>
      </c>
      <c r="C70" s="80">
        <f>IF(ABS('Debt &amp; cash'!M70-'Debt &amp; cash'!E70)&lt;0.001,"OK","Check")</f>
        <v/>
      </c>
      <c r="D70" s="80">
        <f>IF('Debt &amp; cash'!S70&gt;=-0.001,"OK","Check")</f>
        <v/>
      </c>
      <c r="E70" s="81">
        <f>'Debt &amp; cash'!V70</f>
        <v/>
      </c>
      <c r="F70" s="80">
        <f>IF($A70&lt;1887,"n/a",IF(E70&lt;=cap_debt,"OK","Check"))</f>
        <v/>
      </c>
      <c r="G70" s="81">
        <f>'Debt &amp; cash'!W70</f>
        <v/>
      </c>
      <c r="H70" s="80">
        <f>IF($A70&lt;1887,"n/a",IF(G70&lt;=cap_int,"OK","Check"))</f>
        <v/>
      </c>
      <c r="I70" s="81">
        <f>Budget!AC70</f>
        <v/>
      </c>
      <c r="J70" s="80">
        <f>IF($A70&lt;1887,"n/a",IF(Paths!AC70=1,"War year",IF(I70&lt;=cap_def,"OK","Check")))</f>
        <v/>
      </c>
      <c r="K70" s="63">
        <f>'Debt &amp; cash'!Y70/Economy!O70</f>
        <v/>
      </c>
      <c r="L70" s="80">
        <f>IF('Debt &amp; cash'!Y70&lt;=mkt_capacity*Economy!O70+foreign_capacity,"OK","Check")</f>
        <v/>
      </c>
      <c r="M70" s="80">
        <f>IF($A70&lt;1900,"n/a",IF('Gold &amp; money'!K70&gt;=0,"OK","Check"))</f>
        <v/>
      </c>
      <c r="N70" s="81">
        <f>Japan!AA70</f>
        <v/>
      </c>
      <c r="O70" s="80">
        <f>IF(N70&lt;=1,"OK","Check")</f>
        <v/>
      </c>
      <c r="P70" s="80">
        <f>IF($A70&lt;1922,"n/a",IF(AND(Navy!AE70&gt;=0.95,Navy!AE70&lt;=1.1),"OK","Check"))</f>
        <v/>
      </c>
      <c r="Q70" s="80">
        <f>IF(Navy!Z70=0,"n/a",IF(Resources!K70&gt;=Navy!Z70,"OK","Check"))</f>
        <v/>
      </c>
      <c r="R70" s="80">
        <f>IF(AND(gulf_on=1,$A70=gulf_year),IF(Gulf!AF70=1,"OK","Check"),"n/a")</f>
        <v/>
      </c>
      <c r="S70" s="47">
        <f>COUNTIF(B70:R70,"Check")</f>
        <v/>
      </c>
    </row>
    <row r="71">
      <c r="A71" s="58" t="n">
        <v>1911</v>
      </c>
      <c r="B71" s="80">
        <f>IF(ABS(People!L71-(People!B71+People!C71+People!D71+People!K71))&lt;1,"OK","Check")</f>
        <v/>
      </c>
      <c r="C71" s="80">
        <f>IF(ABS('Debt &amp; cash'!M71-'Debt &amp; cash'!E71)&lt;0.001,"OK","Check")</f>
        <v/>
      </c>
      <c r="D71" s="80">
        <f>IF('Debt &amp; cash'!S71&gt;=-0.001,"OK","Check")</f>
        <v/>
      </c>
      <c r="E71" s="81">
        <f>'Debt &amp; cash'!V71</f>
        <v/>
      </c>
      <c r="F71" s="80">
        <f>IF($A71&lt;1887,"n/a",IF(E71&lt;=cap_debt,"OK","Check"))</f>
        <v/>
      </c>
      <c r="G71" s="81">
        <f>'Debt &amp; cash'!W71</f>
        <v/>
      </c>
      <c r="H71" s="80">
        <f>IF($A71&lt;1887,"n/a",IF(G71&lt;=cap_int,"OK","Check"))</f>
        <v/>
      </c>
      <c r="I71" s="81">
        <f>Budget!AC71</f>
        <v/>
      </c>
      <c r="J71" s="80">
        <f>IF($A71&lt;1887,"n/a",IF(Paths!AC71=1,"War year",IF(I71&lt;=cap_def,"OK","Check")))</f>
        <v/>
      </c>
      <c r="K71" s="63">
        <f>'Debt &amp; cash'!Y71/Economy!O71</f>
        <v/>
      </c>
      <c r="L71" s="80">
        <f>IF('Debt &amp; cash'!Y71&lt;=mkt_capacity*Economy!O71+foreign_capacity,"OK","Check")</f>
        <v/>
      </c>
      <c r="M71" s="80">
        <f>IF($A71&lt;1900,"n/a",IF('Gold &amp; money'!K71&gt;=0,"OK","Check"))</f>
        <v/>
      </c>
      <c r="N71" s="81">
        <f>Japan!AA71</f>
        <v/>
      </c>
      <c r="O71" s="80">
        <f>IF(N71&lt;=1,"OK","Check")</f>
        <v/>
      </c>
      <c r="P71" s="80">
        <f>IF($A71&lt;1922,"n/a",IF(AND(Navy!AE71&gt;=0.95,Navy!AE71&lt;=1.1),"OK","Check"))</f>
        <v/>
      </c>
      <c r="Q71" s="80">
        <f>IF(Navy!Z71=0,"n/a",IF(Resources!K71&gt;=Navy!Z71,"OK","Check"))</f>
        <v/>
      </c>
      <c r="R71" s="80">
        <f>IF(AND(gulf_on=1,$A71=gulf_year),IF(Gulf!AF71=1,"OK","Check"),"n/a")</f>
        <v/>
      </c>
      <c r="S71" s="47">
        <f>COUNTIF(B71:R71,"Check")</f>
        <v/>
      </c>
    </row>
    <row r="72">
      <c r="A72" s="58" t="n">
        <v>1912</v>
      </c>
      <c r="B72" s="80">
        <f>IF(ABS(People!L72-(People!B72+People!C72+People!D72+People!K72))&lt;1,"OK","Check")</f>
        <v/>
      </c>
      <c r="C72" s="80">
        <f>IF(ABS('Debt &amp; cash'!M72-'Debt &amp; cash'!E72)&lt;0.001,"OK","Check")</f>
        <v/>
      </c>
      <c r="D72" s="80">
        <f>IF('Debt &amp; cash'!S72&gt;=-0.001,"OK","Check")</f>
        <v/>
      </c>
      <c r="E72" s="81">
        <f>'Debt &amp; cash'!V72</f>
        <v/>
      </c>
      <c r="F72" s="80">
        <f>IF($A72&lt;1887,"n/a",IF(E72&lt;=cap_debt,"OK","Check"))</f>
        <v/>
      </c>
      <c r="G72" s="81">
        <f>'Debt &amp; cash'!W72</f>
        <v/>
      </c>
      <c r="H72" s="80">
        <f>IF($A72&lt;1887,"n/a",IF(G72&lt;=cap_int,"OK","Check"))</f>
        <v/>
      </c>
      <c r="I72" s="81">
        <f>Budget!AC72</f>
        <v/>
      </c>
      <c r="J72" s="80">
        <f>IF($A72&lt;1887,"n/a",IF(Paths!AC72=1,"War year",IF(I72&lt;=cap_def,"OK","Check")))</f>
        <v/>
      </c>
      <c r="K72" s="63">
        <f>'Debt &amp; cash'!Y72/Economy!O72</f>
        <v/>
      </c>
      <c r="L72" s="80">
        <f>IF('Debt &amp; cash'!Y72&lt;=mkt_capacity*Economy!O72+foreign_capacity,"OK","Check")</f>
        <v/>
      </c>
      <c r="M72" s="80">
        <f>IF($A72&lt;1900,"n/a",IF('Gold &amp; money'!K72&gt;=0,"OK","Check"))</f>
        <v/>
      </c>
      <c r="N72" s="81">
        <f>Japan!AA72</f>
        <v/>
      </c>
      <c r="O72" s="80">
        <f>IF(N72&lt;=1,"OK","Check")</f>
        <v/>
      </c>
      <c r="P72" s="80">
        <f>IF($A72&lt;1922,"n/a",IF(AND(Navy!AE72&gt;=0.95,Navy!AE72&lt;=1.1),"OK","Check"))</f>
        <v/>
      </c>
      <c r="Q72" s="80">
        <f>IF(Navy!Z72=0,"n/a",IF(Resources!K72&gt;=Navy!Z72,"OK","Check"))</f>
        <v/>
      </c>
      <c r="R72" s="80">
        <f>IF(AND(gulf_on=1,$A72=gulf_year),IF(Gulf!AF72=1,"OK","Check"),"n/a")</f>
        <v/>
      </c>
      <c r="S72" s="47">
        <f>COUNTIF(B72:R72,"Check")</f>
        <v/>
      </c>
    </row>
    <row r="73">
      <c r="A73" s="58" t="n">
        <v>1913</v>
      </c>
      <c r="B73" s="80">
        <f>IF(ABS(People!L73-(People!B73+People!C73+People!D73+People!K73))&lt;1,"OK","Check")</f>
        <v/>
      </c>
      <c r="C73" s="80">
        <f>IF(ABS('Debt &amp; cash'!M73-'Debt &amp; cash'!E73)&lt;0.001,"OK","Check")</f>
        <v/>
      </c>
      <c r="D73" s="80">
        <f>IF('Debt &amp; cash'!S73&gt;=-0.001,"OK","Check")</f>
        <v/>
      </c>
      <c r="E73" s="81">
        <f>'Debt &amp; cash'!V73</f>
        <v/>
      </c>
      <c r="F73" s="80">
        <f>IF($A73&lt;1887,"n/a",IF(E73&lt;=cap_debt,"OK","Check"))</f>
        <v/>
      </c>
      <c r="G73" s="81">
        <f>'Debt &amp; cash'!W73</f>
        <v/>
      </c>
      <c r="H73" s="80">
        <f>IF($A73&lt;1887,"n/a",IF(G73&lt;=cap_int,"OK","Check"))</f>
        <v/>
      </c>
      <c r="I73" s="81">
        <f>Budget!AC73</f>
        <v/>
      </c>
      <c r="J73" s="80">
        <f>IF($A73&lt;1887,"n/a",IF(Paths!AC73=1,"War year",IF(I73&lt;=cap_def,"OK","Check")))</f>
        <v/>
      </c>
      <c r="K73" s="63">
        <f>'Debt &amp; cash'!Y73/Economy!O73</f>
        <v/>
      </c>
      <c r="L73" s="80">
        <f>IF('Debt &amp; cash'!Y73&lt;=mkt_capacity*Economy!O73+foreign_capacity,"OK","Check")</f>
        <v/>
      </c>
      <c r="M73" s="80">
        <f>IF($A73&lt;1900,"n/a",IF('Gold &amp; money'!K73&gt;=0,"OK","Check"))</f>
        <v/>
      </c>
      <c r="N73" s="81">
        <f>Japan!AA73</f>
        <v/>
      </c>
      <c r="O73" s="80">
        <f>IF(N73&lt;=1,"OK","Check")</f>
        <v/>
      </c>
      <c r="P73" s="80">
        <f>IF($A73&lt;1922,"n/a",IF(AND(Navy!AE73&gt;=0.95,Navy!AE73&lt;=1.1),"OK","Check"))</f>
        <v/>
      </c>
      <c r="Q73" s="80">
        <f>IF(Navy!Z73=0,"n/a",IF(Resources!K73&gt;=Navy!Z73,"OK","Check"))</f>
        <v/>
      </c>
      <c r="R73" s="80">
        <f>IF(AND(gulf_on=1,$A73=gulf_year),IF(Gulf!AF73=1,"OK","Check"),"n/a")</f>
        <v/>
      </c>
      <c r="S73" s="47">
        <f>COUNTIF(B73:R73,"Check")</f>
        <v/>
      </c>
    </row>
    <row r="74">
      <c r="A74" s="61" t="n">
        <v>1914</v>
      </c>
      <c r="B74" s="80">
        <f>IF(ABS(People!L74-(People!B74+People!C74+People!D74+People!K74))&lt;1,"OK","Check")</f>
        <v/>
      </c>
      <c r="C74" s="80">
        <f>IF(ABS('Debt &amp; cash'!M74-'Debt &amp; cash'!E74)&lt;0.001,"OK","Check")</f>
        <v/>
      </c>
      <c r="D74" s="80">
        <f>IF('Debt &amp; cash'!S74&gt;=-0.001,"OK","Check")</f>
        <v/>
      </c>
      <c r="E74" s="81">
        <f>'Debt &amp; cash'!V74</f>
        <v/>
      </c>
      <c r="F74" s="80">
        <f>IF($A74&lt;1887,"n/a",IF(E74&lt;=cap_debt,"OK","Check"))</f>
        <v/>
      </c>
      <c r="G74" s="81">
        <f>'Debt &amp; cash'!W74</f>
        <v/>
      </c>
      <c r="H74" s="80">
        <f>IF($A74&lt;1887,"n/a",IF(G74&lt;=cap_int,"OK","Check"))</f>
        <v/>
      </c>
      <c r="I74" s="81">
        <f>Budget!AC74</f>
        <v/>
      </c>
      <c r="J74" s="80">
        <f>IF($A74&lt;1887,"n/a",IF(Paths!AC74=1,"War year",IF(I74&lt;=cap_def,"OK","Check")))</f>
        <v/>
      </c>
      <c r="K74" s="63">
        <f>'Debt &amp; cash'!Y74/Economy!O74</f>
        <v/>
      </c>
      <c r="L74" s="80">
        <f>IF('Debt &amp; cash'!Y74&lt;=mkt_capacity*Economy!O74+foreign_capacity,"OK","Check")</f>
        <v/>
      </c>
      <c r="M74" s="80">
        <f>IF($A74&lt;1900,"n/a",IF('Gold &amp; money'!K74&gt;=0,"OK","Check"))</f>
        <v/>
      </c>
      <c r="N74" s="81">
        <f>Japan!AA74</f>
        <v/>
      </c>
      <c r="O74" s="80">
        <f>IF(N74&lt;=1,"OK","Check")</f>
        <v/>
      </c>
      <c r="P74" s="80">
        <f>IF($A74&lt;1922,"n/a",IF(AND(Navy!AE74&gt;=0.95,Navy!AE74&lt;=1.1),"OK","Check"))</f>
        <v/>
      </c>
      <c r="Q74" s="80">
        <f>IF(Navy!Z74=0,"n/a",IF(Resources!K74&gt;=Navy!Z74,"OK","Check"))</f>
        <v/>
      </c>
      <c r="R74" s="80">
        <f>IF(AND(gulf_on=1,$A74=gulf_year),IF(Gulf!AF74=1,"OK","Check"),"n/a")</f>
        <v/>
      </c>
      <c r="S74" s="47">
        <f>COUNTIF(B74:R74,"Check")</f>
        <v/>
      </c>
    </row>
    <row r="75">
      <c r="A75" s="61" t="n">
        <v>1915</v>
      </c>
      <c r="B75" s="80">
        <f>IF(ABS(People!L75-(People!B75+People!C75+People!D75+People!K75))&lt;1,"OK","Check")</f>
        <v/>
      </c>
      <c r="C75" s="80">
        <f>IF(ABS('Debt &amp; cash'!M75-'Debt &amp; cash'!E75)&lt;0.001,"OK","Check")</f>
        <v/>
      </c>
      <c r="D75" s="80">
        <f>IF('Debt &amp; cash'!S75&gt;=-0.001,"OK","Check")</f>
        <v/>
      </c>
      <c r="E75" s="81">
        <f>'Debt &amp; cash'!V75</f>
        <v/>
      </c>
      <c r="F75" s="80">
        <f>IF($A75&lt;1887,"n/a",IF(E75&lt;=cap_debt,"OK","Check"))</f>
        <v/>
      </c>
      <c r="G75" s="81">
        <f>'Debt &amp; cash'!W75</f>
        <v/>
      </c>
      <c r="H75" s="80">
        <f>IF($A75&lt;1887,"n/a",IF(G75&lt;=cap_int,"OK","Check"))</f>
        <v/>
      </c>
      <c r="I75" s="81">
        <f>Budget!AC75</f>
        <v/>
      </c>
      <c r="J75" s="80">
        <f>IF($A75&lt;1887,"n/a",IF(Paths!AC75=1,"War year",IF(I75&lt;=cap_def,"OK","Check")))</f>
        <v/>
      </c>
      <c r="K75" s="63">
        <f>'Debt &amp; cash'!Y75/Economy!O75</f>
        <v/>
      </c>
      <c r="L75" s="80">
        <f>IF('Debt &amp; cash'!Y75&lt;=mkt_capacity*Economy!O75+foreign_capacity,"OK","Check")</f>
        <v/>
      </c>
      <c r="M75" s="80">
        <f>IF($A75&lt;1900,"n/a",IF('Gold &amp; money'!K75&gt;=0,"OK","Check"))</f>
        <v/>
      </c>
      <c r="N75" s="81">
        <f>Japan!AA75</f>
        <v/>
      </c>
      <c r="O75" s="80">
        <f>IF(N75&lt;=1,"OK","Check")</f>
        <v/>
      </c>
      <c r="P75" s="80">
        <f>IF($A75&lt;1922,"n/a",IF(AND(Navy!AE75&gt;=0.95,Navy!AE75&lt;=1.1),"OK","Check"))</f>
        <v/>
      </c>
      <c r="Q75" s="80">
        <f>IF(Navy!Z75=0,"n/a",IF(Resources!K75&gt;=Navy!Z75,"OK","Check"))</f>
        <v/>
      </c>
      <c r="R75" s="80">
        <f>IF(AND(gulf_on=1,$A75=gulf_year),IF(Gulf!AF75=1,"OK","Check"),"n/a")</f>
        <v/>
      </c>
      <c r="S75" s="47">
        <f>COUNTIF(B75:R75,"Check")</f>
        <v/>
      </c>
    </row>
    <row r="76">
      <c r="A76" s="61" t="n">
        <v>1916</v>
      </c>
      <c r="B76" s="80">
        <f>IF(ABS(People!L76-(People!B76+People!C76+People!D76+People!K76))&lt;1,"OK","Check")</f>
        <v/>
      </c>
      <c r="C76" s="80">
        <f>IF(ABS('Debt &amp; cash'!M76-'Debt &amp; cash'!E76)&lt;0.001,"OK","Check")</f>
        <v/>
      </c>
      <c r="D76" s="80">
        <f>IF('Debt &amp; cash'!S76&gt;=-0.001,"OK","Check")</f>
        <v/>
      </c>
      <c r="E76" s="81">
        <f>'Debt &amp; cash'!V76</f>
        <v/>
      </c>
      <c r="F76" s="80">
        <f>IF($A76&lt;1887,"n/a",IF(E76&lt;=cap_debt,"OK","Check"))</f>
        <v/>
      </c>
      <c r="G76" s="81">
        <f>'Debt &amp; cash'!W76</f>
        <v/>
      </c>
      <c r="H76" s="80">
        <f>IF($A76&lt;1887,"n/a",IF(G76&lt;=cap_int,"OK","Check"))</f>
        <v/>
      </c>
      <c r="I76" s="81">
        <f>Budget!AC76</f>
        <v/>
      </c>
      <c r="J76" s="80">
        <f>IF($A76&lt;1887,"n/a",IF(Paths!AC76=1,"War year",IF(I76&lt;=cap_def,"OK","Check")))</f>
        <v/>
      </c>
      <c r="K76" s="63">
        <f>'Debt &amp; cash'!Y76/Economy!O76</f>
        <v/>
      </c>
      <c r="L76" s="80">
        <f>IF('Debt &amp; cash'!Y76&lt;=mkt_capacity*Economy!O76+foreign_capacity,"OK","Check")</f>
        <v/>
      </c>
      <c r="M76" s="80">
        <f>IF($A76&lt;1900,"n/a",IF('Gold &amp; money'!K76&gt;=0,"OK","Check"))</f>
        <v/>
      </c>
      <c r="N76" s="81">
        <f>Japan!AA76</f>
        <v/>
      </c>
      <c r="O76" s="80">
        <f>IF(N76&lt;=1,"OK","Check")</f>
        <v/>
      </c>
      <c r="P76" s="80">
        <f>IF($A76&lt;1922,"n/a",IF(AND(Navy!AE76&gt;=0.95,Navy!AE76&lt;=1.1),"OK","Check"))</f>
        <v/>
      </c>
      <c r="Q76" s="80">
        <f>IF(Navy!Z76=0,"n/a",IF(Resources!K76&gt;=Navy!Z76,"OK","Check"))</f>
        <v/>
      </c>
      <c r="R76" s="80">
        <f>IF(AND(gulf_on=1,$A76=gulf_year),IF(Gulf!AF76=1,"OK","Check"),"n/a")</f>
        <v/>
      </c>
      <c r="S76" s="47">
        <f>COUNTIF(B76:R76,"Check")</f>
        <v/>
      </c>
    </row>
    <row r="77">
      <c r="A77" s="61" t="n">
        <v>1917</v>
      </c>
      <c r="B77" s="80">
        <f>IF(ABS(People!L77-(People!B77+People!C77+People!D77+People!K77))&lt;1,"OK","Check")</f>
        <v/>
      </c>
      <c r="C77" s="80">
        <f>IF(ABS('Debt &amp; cash'!M77-'Debt &amp; cash'!E77)&lt;0.001,"OK","Check")</f>
        <v/>
      </c>
      <c r="D77" s="80">
        <f>IF('Debt &amp; cash'!S77&gt;=-0.001,"OK","Check")</f>
        <v/>
      </c>
      <c r="E77" s="81">
        <f>'Debt &amp; cash'!V77</f>
        <v/>
      </c>
      <c r="F77" s="80">
        <f>IF($A77&lt;1887,"n/a",IF(E77&lt;=cap_debt,"OK","Check"))</f>
        <v/>
      </c>
      <c r="G77" s="81">
        <f>'Debt &amp; cash'!W77</f>
        <v/>
      </c>
      <c r="H77" s="80">
        <f>IF($A77&lt;1887,"n/a",IF(G77&lt;=cap_int,"OK","Check"))</f>
        <v/>
      </c>
      <c r="I77" s="81">
        <f>Budget!AC77</f>
        <v/>
      </c>
      <c r="J77" s="80">
        <f>IF($A77&lt;1887,"n/a",IF(Paths!AC77=1,"War year",IF(I77&lt;=cap_def,"OK","Check")))</f>
        <v/>
      </c>
      <c r="K77" s="63">
        <f>'Debt &amp; cash'!Y77/Economy!O77</f>
        <v/>
      </c>
      <c r="L77" s="80">
        <f>IF('Debt &amp; cash'!Y77&lt;=mkt_capacity*Economy!O77+foreign_capacity,"OK","Check")</f>
        <v/>
      </c>
      <c r="M77" s="80">
        <f>IF($A77&lt;1900,"n/a",IF('Gold &amp; money'!K77&gt;=0,"OK","Check"))</f>
        <v/>
      </c>
      <c r="N77" s="81">
        <f>Japan!AA77</f>
        <v/>
      </c>
      <c r="O77" s="80">
        <f>IF(N77&lt;=1,"OK","Check")</f>
        <v/>
      </c>
      <c r="P77" s="80">
        <f>IF($A77&lt;1922,"n/a",IF(AND(Navy!AE77&gt;=0.95,Navy!AE77&lt;=1.1),"OK","Check"))</f>
        <v/>
      </c>
      <c r="Q77" s="80">
        <f>IF(Navy!Z77=0,"n/a",IF(Resources!K77&gt;=Navy!Z77,"OK","Check"))</f>
        <v/>
      </c>
      <c r="R77" s="80">
        <f>IF(AND(gulf_on=1,$A77=gulf_year),IF(Gulf!AF77=1,"OK","Check"),"n/a")</f>
        <v/>
      </c>
      <c r="S77" s="47">
        <f>COUNTIF(B77:R77,"Check")</f>
        <v/>
      </c>
    </row>
    <row r="78">
      <c r="A78" s="61" t="n">
        <v>1918</v>
      </c>
      <c r="B78" s="80">
        <f>IF(ABS(People!L78-(People!B78+People!C78+People!D78+People!K78))&lt;1,"OK","Check")</f>
        <v/>
      </c>
      <c r="C78" s="80">
        <f>IF(ABS('Debt &amp; cash'!M78-'Debt &amp; cash'!E78)&lt;0.001,"OK","Check")</f>
        <v/>
      </c>
      <c r="D78" s="80">
        <f>IF('Debt &amp; cash'!S78&gt;=-0.001,"OK","Check")</f>
        <v/>
      </c>
      <c r="E78" s="81">
        <f>'Debt &amp; cash'!V78</f>
        <v/>
      </c>
      <c r="F78" s="80">
        <f>IF($A78&lt;1887,"n/a",IF(E78&lt;=cap_debt,"OK","Check"))</f>
        <v/>
      </c>
      <c r="G78" s="81">
        <f>'Debt &amp; cash'!W78</f>
        <v/>
      </c>
      <c r="H78" s="80">
        <f>IF($A78&lt;1887,"n/a",IF(G78&lt;=cap_int,"OK","Check"))</f>
        <v/>
      </c>
      <c r="I78" s="81">
        <f>Budget!AC78</f>
        <v/>
      </c>
      <c r="J78" s="80">
        <f>IF($A78&lt;1887,"n/a",IF(Paths!AC78=1,"War year",IF(I78&lt;=cap_def,"OK","Check")))</f>
        <v/>
      </c>
      <c r="K78" s="63">
        <f>'Debt &amp; cash'!Y78/Economy!O78</f>
        <v/>
      </c>
      <c r="L78" s="80">
        <f>IF('Debt &amp; cash'!Y78&lt;=mkt_capacity*Economy!O78+foreign_capacity,"OK","Check")</f>
        <v/>
      </c>
      <c r="M78" s="80">
        <f>IF($A78&lt;1900,"n/a",IF('Gold &amp; money'!K78&gt;=0,"OK","Check"))</f>
        <v/>
      </c>
      <c r="N78" s="81">
        <f>Japan!AA78</f>
        <v/>
      </c>
      <c r="O78" s="80">
        <f>IF(N78&lt;=1,"OK","Check")</f>
        <v/>
      </c>
      <c r="P78" s="80">
        <f>IF($A78&lt;1922,"n/a",IF(AND(Navy!AE78&gt;=0.95,Navy!AE78&lt;=1.1),"OK","Check"))</f>
        <v/>
      </c>
      <c r="Q78" s="80">
        <f>IF(Navy!Z78=0,"n/a",IF(Resources!K78&gt;=Navy!Z78,"OK","Check"))</f>
        <v/>
      </c>
      <c r="R78" s="80">
        <f>IF(AND(gulf_on=1,$A78=gulf_year),IF(Gulf!AF78=1,"OK","Check"),"n/a")</f>
        <v/>
      </c>
      <c r="S78" s="47">
        <f>COUNTIF(B78:R78,"Check")</f>
        <v/>
      </c>
    </row>
    <row r="79">
      <c r="A79" s="61" t="n">
        <v>1919</v>
      </c>
      <c r="B79" s="80">
        <f>IF(ABS(People!L79-(People!B79+People!C79+People!D79+People!K79))&lt;1,"OK","Check")</f>
        <v/>
      </c>
      <c r="C79" s="80">
        <f>IF(ABS('Debt &amp; cash'!M79-'Debt &amp; cash'!E79)&lt;0.001,"OK","Check")</f>
        <v/>
      </c>
      <c r="D79" s="80">
        <f>IF('Debt &amp; cash'!S79&gt;=-0.001,"OK","Check")</f>
        <v/>
      </c>
      <c r="E79" s="81">
        <f>'Debt &amp; cash'!V79</f>
        <v/>
      </c>
      <c r="F79" s="80">
        <f>IF($A79&lt;1887,"n/a",IF(E79&lt;=cap_debt,"OK","Check"))</f>
        <v/>
      </c>
      <c r="G79" s="81">
        <f>'Debt &amp; cash'!W79</f>
        <v/>
      </c>
      <c r="H79" s="80">
        <f>IF($A79&lt;1887,"n/a",IF(G79&lt;=cap_int,"OK","Check"))</f>
        <v/>
      </c>
      <c r="I79" s="81">
        <f>Budget!AC79</f>
        <v/>
      </c>
      <c r="J79" s="80">
        <f>IF($A79&lt;1887,"n/a",IF(Paths!AC79=1,"War year",IF(I79&lt;=cap_def,"OK","Check")))</f>
        <v/>
      </c>
      <c r="K79" s="63">
        <f>'Debt &amp; cash'!Y79/Economy!O79</f>
        <v/>
      </c>
      <c r="L79" s="80">
        <f>IF('Debt &amp; cash'!Y79&lt;=mkt_capacity*Economy!O79+foreign_capacity,"OK","Check")</f>
        <v/>
      </c>
      <c r="M79" s="80">
        <f>IF($A79&lt;1900,"n/a",IF('Gold &amp; money'!K79&gt;=0,"OK","Check"))</f>
        <v/>
      </c>
      <c r="N79" s="81">
        <f>Japan!AA79</f>
        <v/>
      </c>
      <c r="O79" s="80">
        <f>IF(N79&lt;=1,"OK","Check")</f>
        <v/>
      </c>
      <c r="P79" s="80">
        <f>IF($A79&lt;1922,"n/a",IF(AND(Navy!AE79&gt;=0.95,Navy!AE79&lt;=1.1),"OK","Check"))</f>
        <v/>
      </c>
      <c r="Q79" s="80">
        <f>IF(Navy!Z79=0,"n/a",IF(Resources!K79&gt;=Navy!Z79,"OK","Check"))</f>
        <v/>
      </c>
      <c r="R79" s="80">
        <f>IF(AND(gulf_on=1,$A79=gulf_year),IF(Gulf!AF79=1,"OK","Check"),"n/a")</f>
        <v/>
      </c>
      <c r="S79" s="47">
        <f>COUNTIF(B79:R79,"Check")</f>
        <v/>
      </c>
    </row>
    <row r="80">
      <c r="A80" s="61" t="n">
        <v>1920</v>
      </c>
      <c r="B80" s="80">
        <f>IF(ABS(People!L80-(People!B80+People!C80+People!D80+People!K80))&lt;1,"OK","Check")</f>
        <v/>
      </c>
      <c r="C80" s="80">
        <f>IF(ABS('Debt &amp; cash'!M80-'Debt &amp; cash'!E80)&lt;0.001,"OK","Check")</f>
        <v/>
      </c>
      <c r="D80" s="80">
        <f>IF('Debt &amp; cash'!S80&gt;=-0.001,"OK","Check")</f>
        <v/>
      </c>
      <c r="E80" s="81">
        <f>'Debt &amp; cash'!V80</f>
        <v/>
      </c>
      <c r="F80" s="80">
        <f>IF($A80&lt;1887,"n/a",IF(E80&lt;=cap_debt,"OK","Check"))</f>
        <v/>
      </c>
      <c r="G80" s="81">
        <f>'Debt &amp; cash'!W80</f>
        <v/>
      </c>
      <c r="H80" s="80">
        <f>IF($A80&lt;1887,"n/a",IF(G80&lt;=cap_int,"OK","Check"))</f>
        <v/>
      </c>
      <c r="I80" s="81">
        <f>Budget!AC80</f>
        <v/>
      </c>
      <c r="J80" s="80">
        <f>IF($A80&lt;1887,"n/a",IF(Paths!AC80=1,"War year",IF(I80&lt;=cap_def,"OK","Check")))</f>
        <v/>
      </c>
      <c r="K80" s="63">
        <f>'Debt &amp; cash'!Y80/Economy!O80</f>
        <v/>
      </c>
      <c r="L80" s="80">
        <f>IF('Debt &amp; cash'!Y80&lt;=mkt_capacity*Economy!O80+foreign_capacity,"OK","Check")</f>
        <v/>
      </c>
      <c r="M80" s="80">
        <f>IF($A80&lt;1900,"n/a",IF('Gold &amp; money'!K80&gt;=0,"OK","Check"))</f>
        <v/>
      </c>
      <c r="N80" s="81">
        <f>Japan!AA80</f>
        <v/>
      </c>
      <c r="O80" s="80">
        <f>IF(N80&lt;=1,"OK","Check")</f>
        <v/>
      </c>
      <c r="P80" s="80">
        <f>IF($A80&lt;1922,"n/a",IF(AND(Navy!AE80&gt;=0.95,Navy!AE80&lt;=1.1),"OK","Check"))</f>
        <v/>
      </c>
      <c r="Q80" s="80">
        <f>IF(Navy!Z80=0,"n/a",IF(Resources!K80&gt;=Navy!Z80,"OK","Check"))</f>
        <v/>
      </c>
      <c r="R80" s="80">
        <f>IF(AND(gulf_on=1,$A80=gulf_year),IF(Gulf!AF80=1,"OK","Check"),"n/a")</f>
        <v/>
      </c>
      <c r="S80" s="47">
        <f>COUNTIF(B80:R80,"Check")</f>
        <v/>
      </c>
    </row>
    <row r="81">
      <c r="A81" s="61" t="n">
        <v>1921</v>
      </c>
      <c r="B81" s="80">
        <f>IF(ABS(People!L81-(People!B81+People!C81+People!D81+People!K81))&lt;1,"OK","Check")</f>
        <v/>
      </c>
      <c r="C81" s="80">
        <f>IF(ABS('Debt &amp; cash'!M81-'Debt &amp; cash'!E81)&lt;0.001,"OK","Check")</f>
        <v/>
      </c>
      <c r="D81" s="80">
        <f>IF('Debt &amp; cash'!S81&gt;=-0.001,"OK","Check")</f>
        <v/>
      </c>
      <c r="E81" s="81">
        <f>'Debt &amp; cash'!V81</f>
        <v/>
      </c>
      <c r="F81" s="80">
        <f>IF($A81&lt;1887,"n/a",IF(E81&lt;=cap_debt,"OK","Check"))</f>
        <v/>
      </c>
      <c r="G81" s="81">
        <f>'Debt &amp; cash'!W81</f>
        <v/>
      </c>
      <c r="H81" s="80">
        <f>IF($A81&lt;1887,"n/a",IF(G81&lt;=cap_int,"OK","Check"))</f>
        <v/>
      </c>
      <c r="I81" s="81">
        <f>Budget!AC81</f>
        <v/>
      </c>
      <c r="J81" s="80">
        <f>IF($A81&lt;1887,"n/a",IF(Paths!AC81=1,"War year",IF(I81&lt;=cap_def,"OK","Check")))</f>
        <v/>
      </c>
      <c r="K81" s="63">
        <f>'Debt &amp; cash'!Y81/Economy!O81</f>
        <v/>
      </c>
      <c r="L81" s="80">
        <f>IF('Debt &amp; cash'!Y81&lt;=mkt_capacity*Economy!O81+foreign_capacity,"OK","Check")</f>
        <v/>
      </c>
      <c r="M81" s="80">
        <f>IF($A81&lt;1900,"n/a",IF('Gold &amp; money'!K81&gt;=0,"OK","Check"))</f>
        <v/>
      </c>
      <c r="N81" s="81">
        <f>Japan!AA81</f>
        <v/>
      </c>
      <c r="O81" s="80">
        <f>IF(N81&lt;=1,"OK","Check")</f>
        <v/>
      </c>
      <c r="P81" s="80">
        <f>IF($A81&lt;1922,"n/a",IF(AND(Navy!AE81&gt;=0.95,Navy!AE81&lt;=1.1),"OK","Check"))</f>
        <v/>
      </c>
      <c r="Q81" s="80">
        <f>IF(Navy!Z81=0,"n/a",IF(Resources!K81&gt;=Navy!Z81,"OK","Check"))</f>
        <v/>
      </c>
      <c r="R81" s="80">
        <f>IF(AND(gulf_on=1,$A81=gulf_year),IF(Gulf!AF81=1,"OK","Check"),"n/a")</f>
        <v/>
      </c>
      <c r="S81" s="47">
        <f>COUNTIF(B81:R81,"Check")</f>
        <v/>
      </c>
    </row>
    <row r="82">
      <c r="A82" s="61" t="n">
        <v>1922</v>
      </c>
      <c r="B82" s="80">
        <f>IF(ABS(People!L82-(People!B82+People!C82+People!D82+People!K82))&lt;1,"OK","Check")</f>
        <v/>
      </c>
      <c r="C82" s="80">
        <f>IF(ABS('Debt &amp; cash'!M82-'Debt &amp; cash'!E82)&lt;0.001,"OK","Check")</f>
        <v/>
      </c>
      <c r="D82" s="80">
        <f>IF('Debt &amp; cash'!S82&gt;=-0.001,"OK","Check")</f>
        <v/>
      </c>
      <c r="E82" s="81">
        <f>'Debt &amp; cash'!V82</f>
        <v/>
      </c>
      <c r="F82" s="80">
        <f>IF($A82&lt;1887,"n/a",IF(E82&lt;=cap_debt,"OK","Check"))</f>
        <v/>
      </c>
      <c r="G82" s="81">
        <f>'Debt &amp; cash'!W82</f>
        <v/>
      </c>
      <c r="H82" s="80">
        <f>IF($A82&lt;1887,"n/a",IF(G82&lt;=cap_int,"OK","Check"))</f>
        <v/>
      </c>
      <c r="I82" s="81">
        <f>Budget!AC82</f>
        <v/>
      </c>
      <c r="J82" s="80">
        <f>IF($A82&lt;1887,"n/a",IF(Paths!AC82=1,"War year",IF(I82&lt;=cap_def,"OK","Check")))</f>
        <v/>
      </c>
      <c r="K82" s="63">
        <f>'Debt &amp; cash'!Y82/Economy!O82</f>
        <v/>
      </c>
      <c r="L82" s="80">
        <f>IF('Debt &amp; cash'!Y82&lt;=mkt_capacity*Economy!O82+foreign_capacity,"OK","Check")</f>
        <v/>
      </c>
      <c r="M82" s="80">
        <f>IF($A82&lt;1900,"n/a",IF('Gold &amp; money'!K82&gt;=0,"OK","Check"))</f>
        <v/>
      </c>
      <c r="N82" s="81">
        <f>Japan!AA82</f>
        <v/>
      </c>
      <c r="O82" s="80">
        <f>IF(N82&lt;=1,"OK","Check")</f>
        <v/>
      </c>
      <c r="P82" s="80">
        <f>IF($A82&lt;1922,"n/a",IF(AND(Navy!AE82&gt;=0.95,Navy!AE82&lt;=1.1),"OK","Check"))</f>
        <v/>
      </c>
      <c r="Q82" s="80">
        <f>IF(Navy!Z82=0,"n/a",IF(Resources!K82&gt;=Navy!Z82,"OK","Check"))</f>
        <v/>
      </c>
      <c r="R82" s="80">
        <f>IF(AND(gulf_on=1,$A82=gulf_year),IF(Gulf!AF82=1,"OK","Check"),"n/a")</f>
        <v/>
      </c>
      <c r="S82" s="47">
        <f>COUNTIF(B82:R82,"Check")</f>
        <v/>
      </c>
    </row>
    <row r="83">
      <c r="A83" s="58" t="n">
        <v>1923</v>
      </c>
      <c r="B83" s="80">
        <f>IF(ABS(People!L83-(People!B83+People!C83+People!D83+People!K83))&lt;1,"OK","Check")</f>
        <v/>
      </c>
      <c r="C83" s="80">
        <f>IF(ABS('Debt &amp; cash'!M83-'Debt &amp; cash'!E83)&lt;0.001,"OK","Check")</f>
        <v/>
      </c>
      <c r="D83" s="80">
        <f>IF('Debt &amp; cash'!S83&gt;=-0.001,"OK","Check")</f>
        <v/>
      </c>
      <c r="E83" s="81">
        <f>'Debt &amp; cash'!V83</f>
        <v/>
      </c>
      <c r="F83" s="80">
        <f>IF($A83&lt;1887,"n/a",IF(E83&lt;=cap_debt,"OK","Check"))</f>
        <v/>
      </c>
      <c r="G83" s="81">
        <f>'Debt &amp; cash'!W83</f>
        <v/>
      </c>
      <c r="H83" s="80">
        <f>IF($A83&lt;1887,"n/a",IF(G83&lt;=cap_int,"OK","Check"))</f>
        <v/>
      </c>
      <c r="I83" s="81">
        <f>Budget!AC83</f>
        <v/>
      </c>
      <c r="J83" s="80">
        <f>IF($A83&lt;1887,"n/a",IF(Paths!AC83=1,"War year",IF(I83&lt;=cap_def,"OK","Check")))</f>
        <v/>
      </c>
      <c r="K83" s="63">
        <f>'Debt &amp; cash'!Y83/Economy!O83</f>
        <v/>
      </c>
      <c r="L83" s="80">
        <f>IF('Debt &amp; cash'!Y83&lt;=mkt_capacity*Economy!O83+foreign_capacity,"OK","Check")</f>
        <v/>
      </c>
      <c r="M83" s="80">
        <f>IF($A83&lt;1900,"n/a",IF('Gold &amp; money'!K83&gt;=0,"OK","Check"))</f>
        <v/>
      </c>
      <c r="N83" s="81">
        <f>Japan!AA83</f>
        <v/>
      </c>
      <c r="O83" s="80">
        <f>IF(N83&lt;=1,"OK","Check")</f>
        <v/>
      </c>
      <c r="P83" s="80">
        <f>IF($A83&lt;1922,"n/a",IF(AND(Navy!AE83&gt;=0.95,Navy!AE83&lt;=1.1),"OK","Check"))</f>
        <v/>
      </c>
      <c r="Q83" s="80">
        <f>IF(Navy!Z83=0,"n/a",IF(Resources!K83&gt;=Navy!Z83,"OK","Check"))</f>
        <v/>
      </c>
      <c r="R83" s="80">
        <f>IF(AND(gulf_on=1,$A83=gulf_year),IF(Gulf!AF83=1,"OK","Check"),"n/a")</f>
        <v/>
      </c>
      <c r="S83" s="47">
        <f>COUNTIF(B83:R83,"Check")</f>
        <v/>
      </c>
    </row>
    <row r="84">
      <c r="A84" s="58" t="n">
        <v>1924</v>
      </c>
      <c r="B84" s="80">
        <f>IF(ABS(People!L84-(People!B84+People!C84+People!D84+People!K84))&lt;1,"OK","Check")</f>
        <v/>
      </c>
      <c r="C84" s="80">
        <f>IF(ABS('Debt &amp; cash'!M84-'Debt &amp; cash'!E84)&lt;0.001,"OK","Check")</f>
        <v/>
      </c>
      <c r="D84" s="80">
        <f>IF('Debt &amp; cash'!S84&gt;=-0.001,"OK","Check")</f>
        <v/>
      </c>
      <c r="E84" s="81">
        <f>'Debt &amp; cash'!V84</f>
        <v/>
      </c>
      <c r="F84" s="80">
        <f>IF($A84&lt;1887,"n/a",IF(E84&lt;=cap_debt,"OK","Check"))</f>
        <v/>
      </c>
      <c r="G84" s="81">
        <f>'Debt &amp; cash'!W84</f>
        <v/>
      </c>
      <c r="H84" s="80">
        <f>IF($A84&lt;1887,"n/a",IF(G84&lt;=cap_int,"OK","Check"))</f>
        <v/>
      </c>
      <c r="I84" s="81">
        <f>Budget!AC84</f>
        <v/>
      </c>
      <c r="J84" s="80">
        <f>IF($A84&lt;1887,"n/a",IF(Paths!AC84=1,"War year",IF(I84&lt;=cap_def,"OK","Check")))</f>
        <v/>
      </c>
      <c r="K84" s="63">
        <f>'Debt &amp; cash'!Y84/Economy!O84</f>
        <v/>
      </c>
      <c r="L84" s="80">
        <f>IF('Debt &amp; cash'!Y84&lt;=mkt_capacity*Economy!O84+foreign_capacity,"OK","Check")</f>
        <v/>
      </c>
      <c r="M84" s="80">
        <f>IF($A84&lt;1900,"n/a",IF('Gold &amp; money'!K84&gt;=0,"OK","Check"))</f>
        <v/>
      </c>
      <c r="N84" s="81">
        <f>Japan!AA84</f>
        <v/>
      </c>
      <c r="O84" s="80">
        <f>IF(N84&lt;=1,"OK","Check")</f>
        <v/>
      </c>
      <c r="P84" s="80">
        <f>IF($A84&lt;1922,"n/a",IF(AND(Navy!AE84&gt;=0.95,Navy!AE84&lt;=1.1),"OK","Check"))</f>
        <v/>
      </c>
      <c r="Q84" s="80">
        <f>IF(Navy!Z84=0,"n/a",IF(Resources!K84&gt;=Navy!Z84,"OK","Check"))</f>
        <v/>
      </c>
      <c r="R84" s="80">
        <f>IF(AND(gulf_on=1,$A84=gulf_year),IF(Gulf!AF84=1,"OK","Check"),"n/a")</f>
        <v/>
      </c>
      <c r="S84" s="47">
        <f>COUNTIF(B84:R84,"Check")</f>
        <v/>
      </c>
    </row>
    <row r="85">
      <c r="A85" s="58" t="n">
        <v>1925</v>
      </c>
      <c r="B85" s="80">
        <f>IF(ABS(People!L85-(People!B85+People!C85+People!D85+People!K85))&lt;1,"OK","Check")</f>
        <v/>
      </c>
      <c r="C85" s="80">
        <f>IF(ABS('Debt &amp; cash'!M85-'Debt &amp; cash'!E85)&lt;0.001,"OK","Check")</f>
        <v/>
      </c>
      <c r="D85" s="80">
        <f>IF('Debt &amp; cash'!S85&gt;=-0.001,"OK","Check")</f>
        <v/>
      </c>
      <c r="E85" s="81">
        <f>'Debt &amp; cash'!V85</f>
        <v/>
      </c>
      <c r="F85" s="80">
        <f>IF($A85&lt;1887,"n/a",IF(E85&lt;=cap_debt,"OK","Check"))</f>
        <v/>
      </c>
      <c r="G85" s="81">
        <f>'Debt &amp; cash'!W85</f>
        <v/>
      </c>
      <c r="H85" s="80">
        <f>IF($A85&lt;1887,"n/a",IF(G85&lt;=cap_int,"OK","Check"))</f>
        <v/>
      </c>
      <c r="I85" s="81">
        <f>Budget!AC85</f>
        <v/>
      </c>
      <c r="J85" s="80">
        <f>IF($A85&lt;1887,"n/a",IF(Paths!AC85=1,"War year",IF(I85&lt;=cap_def,"OK","Check")))</f>
        <v/>
      </c>
      <c r="K85" s="63">
        <f>'Debt &amp; cash'!Y85/Economy!O85</f>
        <v/>
      </c>
      <c r="L85" s="80">
        <f>IF('Debt &amp; cash'!Y85&lt;=mkt_capacity*Economy!O85+foreign_capacity,"OK","Check")</f>
        <v/>
      </c>
      <c r="M85" s="80">
        <f>IF($A85&lt;1900,"n/a",IF('Gold &amp; money'!K85&gt;=0,"OK","Check"))</f>
        <v/>
      </c>
      <c r="N85" s="81">
        <f>Japan!AA85</f>
        <v/>
      </c>
      <c r="O85" s="80">
        <f>IF(N85&lt;=1,"OK","Check")</f>
        <v/>
      </c>
      <c r="P85" s="80">
        <f>IF($A85&lt;1922,"n/a",IF(AND(Navy!AE85&gt;=0.95,Navy!AE85&lt;=1.1),"OK","Check"))</f>
        <v/>
      </c>
      <c r="Q85" s="80">
        <f>IF(Navy!Z85=0,"n/a",IF(Resources!K85&gt;=Navy!Z85,"OK","Check"))</f>
        <v/>
      </c>
      <c r="R85" s="80">
        <f>IF(AND(gulf_on=1,$A85=gulf_year),IF(Gulf!AF85=1,"OK","Check"),"n/a")</f>
        <v/>
      </c>
      <c r="S85" s="47">
        <f>COUNTIF(B85:R85,"Check")</f>
        <v/>
      </c>
    </row>
    <row r="86">
      <c r="A86" s="58" t="n">
        <v>1926</v>
      </c>
      <c r="B86" s="80">
        <f>IF(ABS(People!L86-(People!B86+People!C86+People!D86+People!K86))&lt;1,"OK","Check")</f>
        <v/>
      </c>
      <c r="C86" s="80">
        <f>IF(ABS('Debt &amp; cash'!M86-'Debt &amp; cash'!E86)&lt;0.001,"OK","Check")</f>
        <v/>
      </c>
      <c r="D86" s="80">
        <f>IF('Debt &amp; cash'!S86&gt;=-0.001,"OK","Check")</f>
        <v/>
      </c>
      <c r="E86" s="81">
        <f>'Debt &amp; cash'!V86</f>
        <v/>
      </c>
      <c r="F86" s="80">
        <f>IF($A86&lt;1887,"n/a",IF(E86&lt;=cap_debt,"OK","Check"))</f>
        <v/>
      </c>
      <c r="G86" s="81">
        <f>'Debt &amp; cash'!W86</f>
        <v/>
      </c>
      <c r="H86" s="80">
        <f>IF($A86&lt;1887,"n/a",IF(G86&lt;=cap_int,"OK","Check"))</f>
        <v/>
      </c>
      <c r="I86" s="81">
        <f>Budget!AC86</f>
        <v/>
      </c>
      <c r="J86" s="80">
        <f>IF($A86&lt;1887,"n/a",IF(Paths!AC86=1,"War year",IF(I86&lt;=cap_def,"OK","Check")))</f>
        <v/>
      </c>
      <c r="K86" s="63">
        <f>'Debt &amp; cash'!Y86/Economy!O86</f>
        <v/>
      </c>
      <c r="L86" s="80">
        <f>IF('Debt &amp; cash'!Y86&lt;=mkt_capacity*Economy!O86+foreign_capacity,"OK","Check")</f>
        <v/>
      </c>
      <c r="M86" s="80">
        <f>IF($A86&lt;1900,"n/a",IF('Gold &amp; money'!K86&gt;=0,"OK","Check"))</f>
        <v/>
      </c>
      <c r="N86" s="81">
        <f>Japan!AA86</f>
        <v/>
      </c>
      <c r="O86" s="80">
        <f>IF(N86&lt;=1,"OK","Check")</f>
        <v/>
      </c>
      <c r="P86" s="80">
        <f>IF($A86&lt;1922,"n/a",IF(AND(Navy!AE86&gt;=0.95,Navy!AE86&lt;=1.1),"OK","Check"))</f>
        <v/>
      </c>
      <c r="Q86" s="80">
        <f>IF(Navy!Z86=0,"n/a",IF(Resources!K86&gt;=Navy!Z86,"OK","Check"))</f>
        <v/>
      </c>
      <c r="R86" s="80">
        <f>IF(AND(gulf_on=1,$A86=gulf_year),IF(Gulf!AF86=1,"OK","Check"),"n/a")</f>
        <v/>
      </c>
      <c r="S86" s="47">
        <f>COUNTIF(B86:R86,"Check")</f>
        <v/>
      </c>
    </row>
    <row r="87">
      <c r="A87" s="58" t="n">
        <v>1927</v>
      </c>
      <c r="B87" s="80">
        <f>IF(ABS(People!L87-(People!B87+People!C87+People!D87+People!K87))&lt;1,"OK","Check")</f>
        <v/>
      </c>
      <c r="C87" s="80">
        <f>IF(ABS('Debt &amp; cash'!M87-'Debt &amp; cash'!E87)&lt;0.001,"OK","Check")</f>
        <v/>
      </c>
      <c r="D87" s="80">
        <f>IF('Debt &amp; cash'!S87&gt;=-0.001,"OK","Check")</f>
        <v/>
      </c>
      <c r="E87" s="81">
        <f>'Debt &amp; cash'!V87</f>
        <v/>
      </c>
      <c r="F87" s="80">
        <f>IF($A87&lt;1887,"n/a",IF(E87&lt;=cap_debt,"OK","Check"))</f>
        <v/>
      </c>
      <c r="G87" s="81">
        <f>'Debt &amp; cash'!W87</f>
        <v/>
      </c>
      <c r="H87" s="80">
        <f>IF($A87&lt;1887,"n/a",IF(G87&lt;=cap_int,"OK","Check"))</f>
        <v/>
      </c>
      <c r="I87" s="81">
        <f>Budget!AC87</f>
        <v/>
      </c>
      <c r="J87" s="80">
        <f>IF($A87&lt;1887,"n/a",IF(Paths!AC87=1,"War year",IF(I87&lt;=cap_def,"OK","Check")))</f>
        <v/>
      </c>
      <c r="K87" s="63">
        <f>'Debt &amp; cash'!Y87/Economy!O87</f>
        <v/>
      </c>
      <c r="L87" s="80">
        <f>IF('Debt &amp; cash'!Y87&lt;=mkt_capacity*Economy!O87+foreign_capacity,"OK","Check")</f>
        <v/>
      </c>
      <c r="M87" s="80">
        <f>IF($A87&lt;1900,"n/a",IF('Gold &amp; money'!K87&gt;=0,"OK","Check"))</f>
        <v/>
      </c>
      <c r="N87" s="81">
        <f>Japan!AA87</f>
        <v/>
      </c>
      <c r="O87" s="80">
        <f>IF(N87&lt;=1,"OK","Check")</f>
        <v/>
      </c>
      <c r="P87" s="80">
        <f>IF($A87&lt;1922,"n/a",IF(AND(Navy!AE87&gt;=0.95,Navy!AE87&lt;=1.1),"OK","Check"))</f>
        <v/>
      </c>
      <c r="Q87" s="80">
        <f>IF(Navy!Z87=0,"n/a",IF(Resources!K87&gt;=Navy!Z87,"OK","Check"))</f>
        <v/>
      </c>
      <c r="R87" s="80">
        <f>IF(AND(gulf_on=1,$A87=gulf_year),IF(Gulf!AF87=1,"OK","Check"),"n/a")</f>
        <v/>
      </c>
      <c r="S87" s="47">
        <f>COUNTIF(B87:R87,"Check")</f>
        <v/>
      </c>
    </row>
    <row r="88">
      <c r="A88" s="58" t="n">
        <v>1928</v>
      </c>
      <c r="B88" s="80">
        <f>IF(ABS(People!L88-(People!B88+People!C88+People!D88+People!K88))&lt;1,"OK","Check")</f>
        <v/>
      </c>
      <c r="C88" s="80">
        <f>IF(ABS('Debt &amp; cash'!M88-'Debt &amp; cash'!E88)&lt;0.001,"OK","Check")</f>
        <v/>
      </c>
      <c r="D88" s="80">
        <f>IF('Debt &amp; cash'!S88&gt;=-0.001,"OK","Check")</f>
        <v/>
      </c>
      <c r="E88" s="81">
        <f>'Debt &amp; cash'!V88</f>
        <v/>
      </c>
      <c r="F88" s="80">
        <f>IF($A88&lt;1887,"n/a",IF(E88&lt;=cap_debt,"OK","Check"))</f>
        <v/>
      </c>
      <c r="G88" s="81">
        <f>'Debt &amp; cash'!W88</f>
        <v/>
      </c>
      <c r="H88" s="80">
        <f>IF($A88&lt;1887,"n/a",IF(G88&lt;=cap_int,"OK","Check"))</f>
        <v/>
      </c>
      <c r="I88" s="81">
        <f>Budget!AC88</f>
        <v/>
      </c>
      <c r="J88" s="80">
        <f>IF($A88&lt;1887,"n/a",IF(Paths!AC88=1,"War year",IF(I88&lt;=cap_def,"OK","Check")))</f>
        <v/>
      </c>
      <c r="K88" s="63">
        <f>'Debt &amp; cash'!Y88/Economy!O88</f>
        <v/>
      </c>
      <c r="L88" s="80">
        <f>IF('Debt &amp; cash'!Y88&lt;=mkt_capacity*Economy!O88+foreign_capacity,"OK","Check")</f>
        <v/>
      </c>
      <c r="M88" s="80">
        <f>IF($A88&lt;1900,"n/a",IF('Gold &amp; money'!K88&gt;=0,"OK","Check"))</f>
        <v/>
      </c>
      <c r="N88" s="81">
        <f>Japan!AA88</f>
        <v/>
      </c>
      <c r="O88" s="80">
        <f>IF(N88&lt;=1,"OK","Check")</f>
        <v/>
      </c>
      <c r="P88" s="80">
        <f>IF($A88&lt;1922,"n/a",IF(AND(Navy!AE88&gt;=0.95,Navy!AE88&lt;=1.1),"OK","Check"))</f>
        <v/>
      </c>
      <c r="Q88" s="80">
        <f>IF(Navy!Z88=0,"n/a",IF(Resources!K88&gt;=Navy!Z88,"OK","Check"))</f>
        <v/>
      </c>
      <c r="R88" s="80">
        <f>IF(AND(gulf_on=1,$A88=gulf_year),IF(Gulf!AF88=1,"OK","Check"),"n/a")</f>
        <v/>
      </c>
      <c r="S88" s="47">
        <f>COUNTIF(B88:R88,"Check")</f>
        <v/>
      </c>
    </row>
    <row r="89">
      <c r="A89" s="58" t="n">
        <v>1929</v>
      </c>
      <c r="B89" s="80">
        <f>IF(ABS(People!L89-(People!B89+People!C89+People!D89+People!K89))&lt;1,"OK","Check")</f>
        <v/>
      </c>
      <c r="C89" s="80">
        <f>IF(ABS('Debt &amp; cash'!M89-'Debt &amp; cash'!E89)&lt;0.001,"OK","Check")</f>
        <v/>
      </c>
      <c r="D89" s="80">
        <f>IF('Debt &amp; cash'!S89&gt;=-0.001,"OK","Check")</f>
        <v/>
      </c>
      <c r="E89" s="81">
        <f>'Debt &amp; cash'!V89</f>
        <v/>
      </c>
      <c r="F89" s="80">
        <f>IF($A89&lt;1887,"n/a",IF(E89&lt;=cap_debt,"OK","Check"))</f>
        <v/>
      </c>
      <c r="G89" s="81">
        <f>'Debt &amp; cash'!W89</f>
        <v/>
      </c>
      <c r="H89" s="80">
        <f>IF($A89&lt;1887,"n/a",IF(G89&lt;=cap_int,"OK","Check"))</f>
        <v/>
      </c>
      <c r="I89" s="81">
        <f>Budget!AC89</f>
        <v/>
      </c>
      <c r="J89" s="80">
        <f>IF($A89&lt;1887,"n/a",IF(Paths!AC89=1,"War year",IF(I89&lt;=cap_def,"OK","Check")))</f>
        <v/>
      </c>
      <c r="K89" s="63">
        <f>'Debt &amp; cash'!Y89/Economy!O89</f>
        <v/>
      </c>
      <c r="L89" s="80">
        <f>IF('Debt &amp; cash'!Y89&lt;=mkt_capacity*Economy!O89+foreign_capacity,"OK","Check")</f>
        <v/>
      </c>
      <c r="M89" s="80">
        <f>IF($A89&lt;1900,"n/a",IF('Gold &amp; money'!K89&gt;=0,"OK","Check"))</f>
        <v/>
      </c>
      <c r="N89" s="81">
        <f>Japan!AA89</f>
        <v/>
      </c>
      <c r="O89" s="80">
        <f>IF(N89&lt;=1,"OK","Check")</f>
        <v/>
      </c>
      <c r="P89" s="80">
        <f>IF($A89&lt;1922,"n/a",IF(AND(Navy!AE89&gt;=0.95,Navy!AE89&lt;=1.1),"OK","Check"))</f>
        <v/>
      </c>
      <c r="Q89" s="80">
        <f>IF(Navy!Z89=0,"n/a",IF(Resources!K89&gt;=Navy!Z89,"OK","Check"))</f>
        <v/>
      </c>
      <c r="R89" s="80">
        <f>IF(AND(gulf_on=1,$A89=gulf_year),IF(Gulf!AF89=1,"OK","Check"),"n/a")</f>
        <v/>
      </c>
      <c r="S89" s="47">
        <f>COUNTIF(B89:R89,"Check")</f>
        <v/>
      </c>
    </row>
    <row r="90">
      <c r="A90" s="58" t="n">
        <v>1930</v>
      </c>
      <c r="B90" s="80">
        <f>IF(ABS(People!L90-(People!B90+People!C90+People!D90+People!K90))&lt;1,"OK","Check")</f>
        <v/>
      </c>
      <c r="C90" s="80">
        <f>IF(ABS('Debt &amp; cash'!M90-'Debt &amp; cash'!E90)&lt;0.001,"OK","Check")</f>
        <v/>
      </c>
      <c r="D90" s="80">
        <f>IF('Debt &amp; cash'!S90&gt;=-0.001,"OK","Check")</f>
        <v/>
      </c>
      <c r="E90" s="81">
        <f>'Debt &amp; cash'!V90</f>
        <v/>
      </c>
      <c r="F90" s="80">
        <f>IF($A90&lt;1887,"n/a",IF(E90&lt;=cap_debt,"OK","Check"))</f>
        <v/>
      </c>
      <c r="G90" s="81">
        <f>'Debt &amp; cash'!W90</f>
        <v/>
      </c>
      <c r="H90" s="80">
        <f>IF($A90&lt;1887,"n/a",IF(G90&lt;=cap_int,"OK","Check"))</f>
        <v/>
      </c>
      <c r="I90" s="81">
        <f>Budget!AC90</f>
        <v/>
      </c>
      <c r="J90" s="80">
        <f>IF($A90&lt;1887,"n/a",IF(Paths!AC90=1,"War year",IF(I90&lt;=cap_def,"OK","Check")))</f>
        <v/>
      </c>
      <c r="K90" s="63">
        <f>'Debt &amp; cash'!Y90/Economy!O90</f>
        <v/>
      </c>
      <c r="L90" s="80">
        <f>IF('Debt &amp; cash'!Y90&lt;=mkt_capacity*Economy!O90+foreign_capacity,"OK","Check")</f>
        <v/>
      </c>
      <c r="M90" s="80">
        <f>IF($A90&lt;1900,"n/a",IF('Gold &amp; money'!K90&gt;=0,"OK","Check"))</f>
        <v/>
      </c>
      <c r="N90" s="81">
        <f>Japan!AA90</f>
        <v/>
      </c>
      <c r="O90" s="80">
        <f>IF(N90&lt;=1,"OK","Check")</f>
        <v/>
      </c>
      <c r="P90" s="80">
        <f>IF($A90&lt;1922,"n/a",IF(AND(Navy!AE90&gt;=0.95,Navy!AE90&lt;=1.1),"OK","Check"))</f>
        <v/>
      </c>
      <c r="Q90" s="80">
        <f>IF(Navy!Z90=0,"n/a",IF(Resources!K90&gt;=Navy!Z90,"OK","Check"))</f>
        <v/>
      </c>
      <c r="R90" s="80">
        <f>IF(AND(gulf_on=1,$A90=gulf_year),IF(Gulf!AF90=1,"OK","Check"),"n/a")</f>
        <v/>
      </c>
      <c r="S90" s="47">
        <f>COUNTIF(B90:R90,"Check")</f>
        <v/>
      </c>
    </row>
    <row r="91">
      <c r="A91" s="58" t="n">
        <v>1931</v>
      </c>
      <c r="B91" s="80">
        <f>IF(ABS(People!L91-(People!B91+People!C91+People!D91+People!K91))&lt;1,"OK","Check")</f>
        <v/>
      </c>
      <c r="C91" s="80">
        <f>IF(ABS('Debt &amp; cash'!M91-'Debt &amp; cash'!E91)&lt;0.001,"OK","Check")</f>
        <v/>
      </c>
      <c r="D91" s="80">
        <f>IF('Debt &amp; cash'!S91&gt;=-0.001,"OK","Check")</f>
        <v/>
      </c>
      <c r="E91" s="81">
        <f>'Debt &amp; cash'!V91</f>
        <v/>
      </c>
      <c r="F91" s="80">
        <f>IF($A91&lt;1887,"n/a",IF(E91&lt;=cap_debt,"OK","Check"))</f>
        <v/>
      </c>
      <c r="G91" s="81">
        <f>'Debt &amp; cash'!W91</f>
        <v/>
      </c>
      <c r="H91" s="80">
        <f>IF($A91&lt;1887,"n/a",IF(G91&lt;=cap_int,"OK","Check"))</f>
        <v/>
      </c>
      <c r="I91" s="81">
        <f>Budget!AC91</f>
        <v/>
      </c>
      <c r="J91" s="80">
        <f>IF($A91&lt;1887,"n/a",IF(Paths!AC91=1,"War year",IF(I91&lt;=cap_def,"OK","Check")))</f>
        <v/>
      </c>
      <c r="K91" s="63">
        <f>'Debt &amp; cash'!Y91/Economy!O91</f>
        <v/>
      </c>
      <c r="L91" s="80">
        <f>IF('Debt &amp; cash'!Y91&lt;=mkt_capacity*Economy!O91+foreign_capacity,"OK","Check")</f>
        <v/>
      </c>
      <c r="M91" s="80">
        <f>IF($A91&lt;1900,"n/a",IF('Gold &amp; money'!K91&gt;=0,"OK","Check"))</f>
        <v/>
      </c>
      <c r="N91" s="81">
        <f>Japan!AA91</f>
        <v/>
      </c>
      <c r="O91" s="80">
        <f>IF(N91&lt;=1,"OK","Check")</f>
        <v/>
      </c>
      <c r="P91" s="80">
        <f>IF($A91&lt;1922,"n/a",IF(AND(Navy!AE91&gt;=0.95,Navy!AE91&lt;=1.1),"OK","Check"))</f>
        <v/>
      </c>
      <c r="Q91" s="80">
        <f>IF(Navy!Z91=0,"n/a",IF(Resources!K91&gt;=Navy!Z91,"OK","Check"))</f>
        <v/>
      </c>
      <c r="R91" s="80">
        <f>IF(AND(gulf_on=1,$A91=gulf_year),IF(Gulf!AF91=1,"OK","Check"),"n/a")</f>
        <v/>
      </c>
      <c r="S91" s="47">
        <f>COUNTIF(B91:R91,"Check")</f>
        <v/>
      </c>
    </row>
    <row r="92">
      <c r="A92" s="58" t="n">
        <v>1932</v>
      </c>
      <c r="B92" s="80">
        <f>IF(ABS(People!L92-(People!B92+People!C92+People!D92+People!K92))&lt;1,"OK","Check")</f>
        <v/>
      </c>
      <c r="C92" s="80">
        <f>IF(ABS('Debt &amp; cash'!M92-'Debt &amp; cash'!E92)&lt;0.001,"OK","Check")</f>
        <v/>
      </c>
      <c r="D92" s="80">
        <f>IF('Debt &amp; cash'!S92&gt;=-0.001,"OK","Check")</f>
        <v/>
      </c>
      <c r="E92" s="81">
        <f>'Debt &amp; cash'!V92</f>
        <v/>
      </c>
      <c r="F92" s="80">
        <f>IF($A92&lt;1887,"n/a",IF(E92&lt;=cap_debt,"OK","Check"))</f>
        <v/>
      </c>
      <c r="G92" s="81">
        <f>'Debt &amp; cash'!W92</f>
        <v/>
      </c>
      <c r="H92" s="80">
        <f>IF($A92&lt;1887,"n/a",IF(G92&lt;=cap_int,"OK","Check"))</f>
        <v/>
      </c>
      <c r="I92" s="81">
        <f>Budget!AC92</f>
        <v/>
      </c>
      <c r="J92" s="80">
        <f>IF($A92&lt;1887,"n/a",IF(Paths!AC92=1,"War year",IF(I92&lt;=cap_def,"OK","Check")))</f>
        <v/>
      </c>
      <c r="K92" s="63">
        <f>'Debt &amp; cash'!Y92/Economy!O92</f>
        <v/>
      </c>
      <c r="L92" s="80">
        <f>IF('Debt &amp; cash'!Y92&lt;=mkt_capacity*Economy!O92+foreign_capacity,"OK","Check")</f>
        <v/>
      </c>
      <c r="M92" s="80">
        <f>IF($A92&lt;1900,"n/a",IF('Gold &amp; money'!K92&gt;=0,"OK","Check"))</f>
        <v/>
      </c>
      <c r="N92" s="81">
        <f>Japan!AA92</f>
        <v/>
      </c>
      <c r="O92" s="80">
        <f>IF(N92&lt;=1,"OK","Check")</f>
        <v/>
      </c>
      <c r="P92" s="80">
        <f>IF($A92&lt;1922,"n/a",IF(AND(Navy!AE92&gt;=0.95,Navy!AE92&lt;=1.1),"OK","Check"))</f>
        <v/>
      </c>
      <c r="Q92" s="80">
        <f>IF(Navy!Z92=0,"n/a",IF(Resources!K92&gt;=Navy!Z92,"OK","Check"))</f>
        <v/>
      </c>
      <c r="R92" s="80">
        <f>IF(AND(gulf_on=1,$A92=gulf_year),IF(Gulf!AF92=1,"OK","Check"),"n/a")</f>
        <v/>
      </c>
      <c r="S92" s="47">
        <f>COUNTIF(B92:R92,"Check")</f>
        <v/>
      </c>
    </row>
  </sheetData>
  <mergeCells count="4">
    <mergeCell ref="E4:J4"/>
    <mergeCell ref="P4:R4"/>
    <mergeCell ref="K4:O4"/>
    <mergeCell ref="B4:D4"/>
  </mergeCells>
  <conditionalFormatting sqref="B6:R92">
    <cfRule type="cellIs" priority="1" operator="equal" dxfId="0">
      <formula>"Check"</formula>
    </cfRule>
    <cfRule type="cellIs" priority="2" operator="equal" dxfId="1">
      <formula>"OK"</formula>
    </cfRule>
  </conditionalFormatting>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2026-10-20T05:40:27Z</dcterms:created>
  <dcterms:modified xmlns:dcterms="http://purl.org/dc/terms/" xmlns:xsi="http://www.w3.org/2001/XMLSchema-instance" xsi:type="dcterms:W3CDTF">2026-10-20T05:40:28Z</dcterms:modified>
</cp:coreProperties>
</file>